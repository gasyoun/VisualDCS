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Женский род" sheetId="1" state="visible" r:id="rId3"/>
    <sheet name="Мужской род" sheetId="2" state="visible" r:id="rId4"/>
    <sheet name="Средний род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<sst xmlns="http://schemas.openxmlformats.org/spreadsheetml/2006/main" count="123" uniqueCount="52">
  <si>
    <t xml:space="preserve">Окончание</t>
  </si>
  <si>
    <t xml:space="preserve">Абс.Частота</t>
  </si>
  <si>
    <t xml:space="preserve">%</t>
  </si>
  <si>
    <t xml:space="preserve">ā </t>
  </si>
  <si>
    <t xml:space="preserve">ī </t>
  </si>
  <si>
    <t xml:space="preserve">i </t>
  </si>
  <si>
    <t xml:space="preserve">c </t>
  </si>
  <si>
    <t xml:space="preserve">ū </t>
  </si>
  <si>
    <t xml:space="preserve">ś </t>
  </si>
  <si>
    <t xml:space="preserve">d </t>
  </si>
  <si>
    <t xml:space="preserve">ṛ </t>
  </si>
  <si>
    <t xml:space="preserve">t </t>
  </si>
  <si>
    <t xml:space="preserve">u </t>
  </si>
  <si>
    <t xml:space="preserve">dh </t>
  </si>
  <si>
    <t xml:space="preserve">s </t>
  </si>
  <si>
    <t xml:space="preserve">r </t>
  </si>
  <si>
    <t xml:space="preserve">ṣ </t>
  </si>
  <si>
    <t xml:space="preserve">j </t>
  </si>
  <si>
    <t xml:space="preserve">bh </t>
  </si>
  <si>
    <t xml:space="preserve">au </t>
  </si>
  <si>
    <t xml:space="preserve">h </t>
  </si>
  <si>
    <t xml:space="preserve">p </t>
  </si>
  <si>
    <t xml:space="preserve">n </t>
  </si>
  <si>
    <t xml:space="preserve">m </t>
  </si>
  <si>
    <t xml:space="preserve">k </t>
  </si>
  <si>
    <t xml:space="preserve">v </t>
  </si>
  <si>
    <t xml:space="preserve">ṭ </t>
  </si>
  <si>
    <t xml:space="preserve">th </t>
  </si>
  <si>
    <t xml:space="preserve">Итого 25</t>
  </si>
  <si>
    <t xml:space="preserve">ai </t>
  </si>
  <si>
    <t xml:space="preserve">a </t>
  </si>
  <si>
    <t xml:space="preserve">o </t>
  </si>
  <si>
    <t xml:space="preserve">e </t>
  </si>
  <si>
    <t xml:space="preserve">ṝ </t>
  </si>
  <si>
    <t xml:space="preserve">ḷ </t>
  </si>
  <si>
    <t xml:space="preserve">ṁ </t>
  </si>
  <si>
    <t xml:space="preserve">ḥ </t>
  </si>
  <si>
    <t xml:space="preserve">kh </t>
  </si>
  <si>
    <t xml:space="preserve">gh </t>
  </si>
  <si>
    <t xml:space="preserve">g </t>
  </si>
  <si>
    <t xml:space="preserve">ṅ </t>
  </si>
  <si>
    <t xml:space="preserve">ṭh </t>
  </si>
  <si>
    <t xml:space="preserve">ḍh </t>
  </si>
  <si>
    <t xml:space="preserve">ḍ </t>
  </si>
  <si>
    <t xml:space="preserve">ṇ </t>
  </si>
  <si>
    <t xml:space="preserve">ch </t>
  </si>
  <si>
    <t xml:space="preserve">jh </t>
  </si>
  <si>
    <t xml:space="preserve">ñ </t>
  </si>
  <si>
    <t xml:space="preserve">ph </t>
  </si>
  <si>
    <t xml:space="preserve">b </t>
  </si>
  <si>
    <t xml:space="preserve">y </t>
  </si>
  <si>
    <t xml:space="preserve">l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</si>
</sst>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%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4" activeCellId="0" sqref="4: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2" t="s">
        <v>3</v>
      </c>
      <c r="B2" s="2" t="n">
        <v>123796</v>
      </c>
      <c r="C2" s="3" t="n">
        <f aca="false">B2/295193*100</f>
        <v>41.9373088115233</v>
      </c>
    </row>
    <row r="3" customFormat="false" ht="12.8" hidden="false" customHeight="false" outlineLevel="0" collapsed="false">
      <c r="A3" s="2" t="s">
        <v>4</v>
      </c>
      <c r="B3" s="2" t="n">
        <v>68152</v>
      </c>
      <c r="C3" s="3" t="n">
        <f aca="false">B3/295193*100</f>
        <v>23.0872683295336</v>
      </c>
    </row>
    <row r="4" s="7" customFormat="true" ht="12.8" hidden="false" customHeight="false" outlineLevel="0" collapsed="false">
      <c r="A4" s="4" t="s">
        <v>5</v>
      </c>
      <c r="B4" s="4" t="n">
        <v>66675</v>
      </c>
      <c r="C4" s="5" t="n">
        <f aca="false">B4/295193*100</f>
        <v>22.5869177114633</v>
      </c>
      <c r="D4" s="6" t="n">
        <v>0.86</v>
      </c>
    </row>
    <row r="5" customFormat="false" ht="12.8" hidden="false" customHeight="false" outlineLevel="0" collapsed="false">
      <c r="A5" s="2" t="s">
        <v>6</v>
      </c>
      <c r="B5" s="2" t="n">
        <v>5232</v>
      </c>
      <c r="C5" s="3" t="n">
        <f aca="false">B5/295193*100</f>
        <v>1.77239975202664</v>
      </c>
    </row>
    <row r="6" customFormat="false" ht="12.8" hidden="false" customHeight="false" outlineLevel="0" collapsed="false">
      <c r="A6" s="2" t="s">
        <v>7</v>
      </c>
      <c r="B6" s="2" t="n">
        <v>4965</v>
      </c>
      <c r="C6" s="3" t="n">
        <f aca="false">B6/295193*100</f>
        <v>1.68195045275464</v>
      </c>
    </row>
    <row r="7" customFormat="false" ht="12.8" hidden="false" customHeight="false" outlineLevel="0" collapsed="false">
      <c r="A7" s="2" t="s">
        <v>8</v>
      </c>
      <c r="B7" s="2" t="n">
        <v>4586</v>
      </c>
      <c r="C7" s="3" t="n">
        <f aca="false">B7/295193*100</f>
        <v>1.55355987438727</v>
      </c>
      <c r="D7" s="8" t="n">
        <v>0.9</v>
      </c>
    </row>
    <row r="8" customFormat="false" ht="12.8" hidden="false" customHeight="false" outlineLevel="0" collapsed="false">
      <c r="A8" s="2" t="s">
        <v>9</v>
      </c>
      <c r="B8" s="2" t="n">
        <v>4215</v>
      </c>
      <c r="C8" s="3" t="n">
        <f aca="false">B8/295193*100</f>
        <v>1.42787938738385</v>
      </c>
    </row>
    <row r="9" customFormat="false" ht="12.8" hidden="false" customHeight="false" outlineLevel="0" collapsed="false">
      <c r="A9" s="2" t="s">
        <v>10</v>
      </c>
      <c r="B9" s="2" t="n">
        <v>3842</v>
      </c>
      <c r="C9" s="3" t="n">
        <f aca="false">B9/295193*100</f>
        <v>1.30152137753944</v>
      </c>
    </row>
    <row r="10" customFormat="false" ht="12.8" hidden="false" customHeight="false" outlineLevel="0" collapsed="false">
      <c r="A10" s="2" t="s">
        <v>11</v>
      </c>
      <c r="B10" s="2" t="n">
        <v>3571</v>
      </c>
      <c r="C10" s="3" t="n">
        <f aca="false">B10/295193*100</f>
        <v>1.20971703258546</v>
      </c>
    </row>
    <row r="11" customFormat="false" ht="12.8" hidden="false" customHeight="false" outlineLevel="0" collapsed="false">
      <c r="A11" s="2" t="s">
        <v>12</v>
      </c>
      <c r="B11" s="2" t="n">
        <v>2069</v>
      </c>
      <c r="C11" s="3" t="n">
        <f aca="false">B11/295193*100</f>
        <v>0.70089737900289</v>
      </c>
    </row>
    <row r="12" customFormat="false" ht="12.8" hidden="false" customHeight="false" outlineLevel="0" collapsed="false">
      <c r="A12" s="2" t="s">
        <v>13</v>
      </c>
      <c r="B12" s="2" t="n">
        <v>1821</v>
      </c>
      <c r="C12" s="3" t="n">
        <f aca="false">B12/295193*100</f>
        <v>0.616884546720281</v>
      </c>
    </row>
    <row r="13" customFormat="false" ht="12.8" hidden="false" customHeight="false" outlineLevel="0" collapsed="false">
      <c r="A13" s="2" t="s">
        <v>14</v>
      </c>
      <c r="B13" s="2" t="n">
        <v>1758</v>
      </c>
      <c r="C13" s="3" t="n">
        <f aca="false">B13/295193*100</f>
        <v>0.595542577229135</v>
      </c>
    </row>
    <row r="14" customFormat="false" ht="12.8" hidden="false" customHeight="false" outlineLevel="0" collapsed="false">
      <c r="A14" s="2" t="s">
        <v>15</v>
      </c>
      <c r="B14" s="2" t="n">
        <v>1436</v>
      </c>
      <c r="C14" s="3" t="n">
        <f aca="false">B14/295193*100</f>
        <v>0.486461399829942</v>
      </c>
    </row>
    <row r="15" customFormat="false" ht="12.8" hidden="false" customHeight="false" outlineLevel="0" collapsed="false">
      <c r="A15" s="2" t="s">
        <v>16</v>
      </c>
      <c r="B15" s="2" t="n">
        <v>1253</v>
      </c>
      <c r="C15" s="3" t="n">
        <f aca="false">B15/295193*100</f>
        <v>0.424468059879469</v>
      </c>
    </row>
    <row r="16" customFormat="false" ht="12.8" hidden="false" customHeight="false" outlineLevel="0" collapsed="false">
      <c r="A16" s="2" t="s">
        <v>17</v>
      </c>
      <c r="B16" s="2" t="n">
        <v>715</v>
      </c>
      <c r="C16" s="3" t="n">
        <f aca="false">B16/295193*100</f>
        <v>0.242214415653488</v>
      </c>
    </row>
    <row r="17" customFormat="false" ht="12.8" hidden="false" customHeight="false" outlineLevel="0" collapsed="false">
      <c r="A17" s="2" t="s">
        <v>18</v>
      </c>
      <c r="B17" s="2" t="n">
        <v>376</v>
      </c>
      <c r="C17" s="3" t="n">
        <f aca="false">B17/295193*100</f>
        <v>0.12737429410589</v>
      </c>
    </row>
    <row r="18" customFormat="false" ht="12.8" hidden="false" customHeight="false" outlineLevel="0" collapsed="false">
      <c r="A18" s="2" t="s">
        <v>19</v>
      </c>
      <c r="B18" s="2" t="n">
        <v>304</v>
      </c>
      <c r="C18" s="3" t="n">
        <f aca="false">B18/295193*100</f>
        <v>0.102983471830294</v>
      </c>
    </row>
    <row r="19" customFormat="false" ht="12.8" hidden="false" customHeight="false" outlineLevel="0" collapsed="false">
      <c r="A19" s="2" t="s">
        <v>20</v>
      </c>
      <c r="B19" s="2" t="n">
        <v>251</v>
      </c>
      <c r="C19" s="3" t="n">
        <f aca="false">B19/295193*100</f>
        <v>0.0850291165440915</v>
      </c>
    </row>
    <row r="20" customFormat="false" ht="12.8" hidden="false" customHeight="false" outlineLevel="0" collapsed="false">
      <c r="A20" s="2" t="s">
        <v>21</v>
      </c>
      <c r="B20" s="2" t="n">
        <v>84</v>
      </c>
      <c r="C20" s="3" t="n">
        <f aca="false">B20/295193*100</f>
        <v>0.0284559593215286</v>
      </c>
    </row>
    <row r="21" customFormat="false" ht="12.8" hidden="false" customHeight="false" outlineLevel="0" collapsed="false">
      <c r="A21" s="2" t="s">
        <v>22</v>
      </c>
      <c r="B21" s="2" t="n">
        <v>43</v>
      </c>
      <c r="C21" s="3" t="n">
        <f aca="false">B21/295193*100</f>
        <v>0.0145667410812587</v>
      </c>
    </row>
    <row r="22" customFormat="false" ht="12.8" hidden="false" customHeight="false" outlineLevel="0" collapsed="false">
      <c r="A22" s="2" t="s">
        <v>23</v>
      </c>
      <c r="B22" s="2" t="n">
        <v>42</v>
      </c>
      <c r="C22" s="3" t="n">
        <f aca="false">B22/295193*100</f>
        <v>0.0142279796607643</v>
      </c>
    </row>
    <row r="23" customFormat="false" ht="12.8" hidden="false" customHeight="false" outlineLevel="0" collapsed="false">
      <c r="A23" s="2" t="s">
        <v>24</v>
      </c>
      <c r="B23" s="2" t="n">
        <v>3</v>
      </c>
      <c r="C23" s="3" t="n">
        <f aca="false">B23/295193*100</f>
        <v>0.00101628426148317</v>
      </c>
    </row>
    <row r="24" customFormat="false" ht="12.8" hidden="false" customHeight="false" outlineLevel="0" collapsed="false">
      <c r="A24" s="2" t="s">
        <v>25</v>
      </c>
      <c r="B24" s="2" t="n">
        <v>2</v>
      </c>
      <c r="C24" s="3" t="n">
        <f aca="false">B24/295193*100</f>
        <v>0.000677522840988777</v>
      </c>
    </row>
    <row r="25" customFormat="false" ht="12.8" hidden="false" customHeight="false" outlineLevel="0" collapsed="false">
      <c r="A25" s="2" t="s">
        <v>26</v>
      </c>
      <c r="B25" s="2" t="n">
        <v>1</v>
      </c>
      <c r="C25" s="3" t="n">
        <f aca="false">B25/295193*100</f>
        <v>0.000338761420494388</v>
      </c>
    </row>
    <row r="26" customFormat="false" ht="12.8" hidden="false" customHeight="false" outlineLevel="0" collapsed="false">
      <c r="A26" s="2" t="s">
        <v>27</v>
      </c>
      <c r="B26" s="2" t="n">
        <v>1</v>
      </c>
      <c r="C26" s="3" t="n">
        <f aca="false">B26/295193*100</f>
        <v>0.000338761420494388</v>
      </c>
    </row>
    <row r="27" customFormat="false" ht="12.8" hidden="false" customHeight="false" outlineLevel="0" collapsed="false">
      <c r="A27" s="9" t="s">
        <v>28</v>
      </c>
      <c r="B27" s="9" t="n">
        <f aca="false">SUM(B2:B26)</f>
        <v>295193</v>
      </c>
    </row>
    <row r="28" customFormat="false" ht="12.8" hidden="false" customHeight="false" outlineLevel="0" collapsed="false">
      <c r="A28" s="2" t="s">
        <v>29</v>
      </c>
      <c r="B28" s="2" t="n">
        <v>0</v>
      </c>
    </row>
    <row r="29" customFormat="false" ht="12.8" hidden="false" customHeight="false" outlineLevel="0" collapsed="false">
      <c r="A29" s="2" t="s">
        <v>30</v>
      </c>
      <c r="B29" s="2" t="n">
        <v>0</v>
      </c>
    </row>
    <row r="30" customFormat="false" ht="12.8" hidden="false" customHeight="false" outlineLevel="0" collapsed="false">
      <c r="A30" s="2" t="s">
        <v>31</v>
      </c>
      <c r="B30" s="2" t="n">
        <v>0</v>
      </c>
    </row>
    <row r="31" customFormat="false" ht="12.8" hidden="false" customHeight="false" outlineLevel="0" collapsed="false">
      <c r="A31" s="2" t="s">
        <v>32</v>
      </c>
      <c r="B31" s="2" t="n">
        <v>0</v>
      </c>
    </row>
    <row r="32" customFormat="false" ht="12.8" hidden="false" customHeight="false" outlineLevel="0" collapsed="false">
      <c r="A32" s="2" t="s">
        <v>33</v>
      </c>
      <c r="B32" s="2" t="n">
        <v>0</v>
      </c>
    </row>
    <row r="33" customFormat="false" ht="12.8" hidden="false" customHeight="false" outlineLevel="0" collapsed="false">
      <c r="A33" s="2" t="s">
        <v>34</v>
      </c>
      <c r="B33" s="2" t="n">
        <v>0</v>
      </c>
    </row>
    <row r="34" customFormat="false" ht="12.8" hidden="false" customHeight="false" outlineLevel="0" collapsed="false">
      <c r="A34" s="2" t="s">
        <v>34</v>
      </c>
      <c r="B34" s="2" t="n">
        <v>0</v>
      </c>
    </row>
    <row r="35" customFormat="false" ht="12.8" hidden="false" customHeight="false" outlineLevel="0" collapsed="false">
      <c r="A35" s="2" t="s">
        <v>35</v>
      </c>
      <c r="B35" s="2" t="n">
        <v>0</v>
      </c>
    </row>
    <row r="36" customFormat="false" ht="12.8" hidden="false" customHeight="false" outlineLevel="0" collapsed="false">
      <c r="A36" s="2" t="s">
        <v>36</v>
      </c>
      <c r="B36" s="2" t="n">
        <v>0</v>
      </c>
    </row>
    <row r="37" customFormat="false" ht="12.8" hidden="false" customHeight="false" outlineLevel="0" collapsed="false">
      <c r="A37" s="2" t="s">
        <v>37</v>
      </c>
      <c r="B37" s="2" t="n">
        <v>0</v>
      </c>
    </row>
    <row r="38" customFormat="false" ht="12.8" hidden="false" customHeight="false" outlineLevel="0" collapsed="false">
      <c r="A38" s="2" t="s">
        <v>38</v>
      </c>
      <c r="B38" s="2" t="n">
        <v>0</v>
      </c>
    </row>
    <row r="39" customFormat="false" ht="12.8" hidden="false" customHeight="false" outlineLevel="0" collapsed="false">
      <c r="A39" s="2" t="s">
        <v>39</v>
      </c>
      <c r="B39" s="2" t="n">
        <v>0</v>
      </c>
    </row>
    <row r="40" customFormat="false" ht="12.8" hidden="false" customHeight="false" outlineLevel="0" collapsed="false">
      <c r="A40" s="2" t="s">
        <v>40</v>
      </c>
      <c r="B40" s="2" t="n">
        <v>0</v>
      </c>
    </row>
    <row r="41" customFormat="false" ht="12.8" hidden="false" customHeight="false" outlineLevel="0" collapsed="false">
      <c r="A41" s="2" t="s">
        <v>41</v>
      </c>
      <c r="B41" s="2" t="n">
        <v>0</v>
      </c>
    </row>
    <row r="42" customFormat="false" ht="12.8" hidden="false" customHeight="false" outlineLevel="0" collapsed="false">
      <c r="A42" s="2" t="s">
        <v>42</v>
      </c>
      <c r="B42" s="2" t="n">
        <v>0</v>
      </c>
    </row>
    <row r="43" customFormat="false" ht="12.8" hidden="false" customHeight="false" outlineLevel="0" collapsed="false">
      <c r="A43" s="2" t="s">
        <v>43</v>
      </c>
      <c r="B43" s="2" t="n">
        <v>0</v>
      </c>
    </row>
    <row r="44" customFormat="false" ht="12.8" hidden="false" customHeight="false" outlineLevel="0" collapsed="false">
      <c r="A44" s="2" t="s">
        <v>44</v>
      </c>
      <c r="B44" s="2" t="n">
        <v>0</v>
      </c>
    </row>
    <row r="45" customFormat="false" ht="12.8" hidden="false" customHeight="false" outlineLevel="0" collapsed="false">
      <c r="A45" s="2" t="s">
        <v>45</v>
      </c>
      <c r="B45" s="2" t="n">
        <v>0</v>
      </c>
    </row>
    <row r="46" customFormat="false" ht="12.8" hidden="false" customHeight="false" outlineLevel="0" collapsed="false">
      <c r="A46" s="2" t="s">
        <v>46</v>
      </c>
      <c r="B46" s="2" t="n">
        <v>0</v>
      </c>
    </row>
    <row r="47" customFormat="false" ht="12.8" hidden="false" customHeight="false" outlineLevel="0" collapsed="false">
      <c r="A47" s="2" t="s">
        <v>47</v>
      </c>
      <c r="B47" s="2" t="n">
        <v>0</v>
      </c>
    </row>
    <row r="48" customFormat="false" ht="12.8" hidden="false" customHeight="false" outlineLevel="0" collapsed="false">
      <c r="A48" s="2" t="s">
        <v>48</v>
      </c>
      <c r="B48" s="2" t="n">
        <v>0</v>
      </c>
    </row>
    <row r="49" customFormat="false" ht="12.8" hidden="false" customHeight="false" outlineLevel="0" collapsed="false">
      <c r="A49" s="2" t="s">
        <v>49</v>
      </c>
      <c r="B49" s="2" t="n">
        <v>0</v>
      </c>
    </row>
    <row r="50" customFormat="false" ht="12.8" hidden="false" customHeight="false" outlineLevel="0" collapsed="false">
      <c r="A50" s="2" t="s">
        <v>50</v>
      </c>
      <c r="B50" s="2" t="n">
        <v>0</v>
      </c>
    </row>
    <row r="51" customFormat="false" ht="12.8" hidden="false" customHeight="false" outlineLevel="0" collapsed="false">
      <c r="A51" s="2" t="s">
        <v>51</v>
      </c>
      <c r="B51" s="2" t="n">
        <v>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1" sqref="4:4 A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9" t="s">
        <v>0</v>
      </c>
      <c r="B1" s="9" t="s">
        <v>1</v>
      </c>
      <c r="C1" s="10" t="s">
        <v>2</v>
      </c>
    </row>
    <row r="2" customFormat="false" ht="12.8" hidden="false" customHeight="false" outlineLevel="0" collapsed="false">
      <c r="A2" s="2" t="s">
        <v>30</v>
      </c>
      <c r="B2" s="2" t="n">
        <v>682500</v>
      </c>
      <c r="C2" s="3" t="n">
        <f aca="false">B2/919606*100</f>
        <v>74.2165666600697</v>
      </c>
    </row>
    <row r="3" s="7" customFormat="true" ht="12.8" hidden="false" customHeight="false" outlineLevel="0" collapsed="false">
      <c r="A3" s="4" t="s">
        <v>5</v>
      </c>
      <c r="B3" s="4" t="n">
        <v>84864</v>
      </c>
      <c r="C3" s="5" t="n">
        <f aca="false">B3/919606*100</f>
        <v>9.22829994584637</v>
      </c>
    </row>
    <row r="4" customFormat="false" ht="12.8" hidden="false" customHeight="false" outlineLevel="0" collapsed="false">
      <c r="A4" s="2" t="s">
        <v>22</v>
      </c>
      <c r="B4" s="2" t="n">
        <v>61411</v>
      </c>
      <c r="C4" s="3" t="n">
        <f aca="false">B4/919606*100</f>
        <v>6.67796860829529</v>
      </c>
    </row>
    <row r="5" customFormat="false" ht="12.8" hidden="false" customHeight="false" outlineLevel="0" collapsed="false">
      <c r="A5" s="2" t="s">
        <v>12</v>
      </c>
      <c r="B5" s="2" t="n">
        <v>44068</v>
      </c>
      <c r="C5" s="3" t="n">
        <f aca="false">B5/919606*100</f>
        <v>4.79205224846293</v>
      </c>
    </row>
    <row r="6" customFormat="false" ht="12.8" hidden="false" customHeight="false" outlineLevel="0" collapsed="false">
      <c r="A6" s="2" t="s">
        <v>10</v>
      </c>
      <c r="B6" s="2" t="n">
        <v>17114</v>
      </c>
      <c r="C6" s="3" t="n">
        <f aca="false">B6/919606*100</f>
        <v>1.86101439094569</v>
      </c>
    </row>
    <row r="7" customFormat="false" ht="12.8" hidden="false" customHeight="false" outlineLevel="0" collapsed="false">
      <c r="A7" s="2" t="s">
        <v>11</v>
      </c>
      <c r="B7" s="2" t="n">
        <v>10720</v>
      </c>
      <c r="C7" s="3" t="n">
        <f aca="false">B7/919606*100</f>
        <v>1.1657166221186</v>
      </c>
    </row>
    <row r="8" customFormat="false" ht="12.8" hidden="false" customHeight="false" outlineLevel="0" collapsed="false">
      <c r="A8" s="2" t="s">
        <v>14</v>
      </c>
      <c r="B8" s="2" t="n">
        <v>5852</v>
      </c>
      <c r="C8" s="3" t="n">
        <f aca="false">B8/919606*100</f>
        <v>0.636359484387879</v>
      </c>
    </row>
    <row r="9" customFormat="false" ht="12.8" hidden="false" customHeight="false" outlineLevel="0" collapsed="false">
      <c r="A9" s="2" t="s">
        <v>21</v>
      </c>
      <c r="B9" s="2" t="n">
        <v>2745</v>
      </c>
      <c r="C9" s="3" t="n">
        <f aca="false">B9/919606*100</f>
        <v>0.298497399973467</v>
      </c>
    </row>
    <row r="10" customFormat="false" ht="12.8" hidden="false" customHeight="false" outlineLevel="0" collapsed="false">
      <c r="A10" s="2" t="s">
        <v>17</v>
      </c>
      <c r="B10" s="2" t="n">
        <v>2623</v>
      </c>
      <c r="C10" s="3" t="n">
        <f aca="false">B10/919606*100</f>
        <v>0.285230848863535</v>
      </c>
    </row>
    <row r="11" customFormat="false" ht="12.8" hidden="false" customHeight="false" outlineLevel="0" collapsed="false">
      <c r="A11" s="2" t="s">
        <v>25</v>
      </c>
      <c r="B11" s="2" t="n">
        <v>2561</v>
      </c>
      <c r="C11" s="3" t="n">
        <f aca="false">B11/919606*100</f>
        <v>0.278488831086357</v>
      </c>
    </row>
    <row r="12" customFormat="false" ht="12.8" hidden="false" customHeight="false" outlineLevel="0" collapsed="false">
      <c r="A12" s="2" t="s">
        <v>9</v>
      </c>
      <c r="B12" s="2" t="n">
        <v>2043</v>
      </c>
      <c r="C12" s="3" t="n">
        <f aca="false">B12/919606*100</f>
        <v>0.222160359980252</v>
      </c>
    </row>
    <row r="13" customFormat="false" ht="12.8" hidden="false" customHeight="false" outlineLevel="0" collapsed="false">
      <c r="A13" s="2" t="s">
        <v>6</v>
      </c>
      <c r="B13" s="2" t="n">
        <v>335</v>
      </c>
      <c r="C13" s="3" t="n">
        <f aca="false">B13/919606*100</f>
        <v>0.0364286444412063</v>
      </c>
    </row>
    <row r="14" customFormat="false" ht="12.8" hidden="false" customHeight="false" outlineLevel="0" collapsed="false">
      <c r="A14" s="2" t="s">
        <v>29</v>
      </c>
      <c r="B14" s="2" t="n">
        <v>313</v>
      </c>
      <c r="C14" s="3" t="n">
        <f aca="false">B14/919606*100</f>
        <v>0.0340363155525301</v>
      </c>
    </row>
    <row r="15" customFormat="false" ht="12.8" hidden="false" customHeight="false" outlineLevel="0" collapsed="false">
      <c r="A15" s="2" t="s">
        <v>24</v>
      </c>
      <c r="B15" s="2" t="n">
        <v>258</v>
      </c>
      <c r="C15" s="3" t="n">
        <f aca="false">B15/919606*100</f>
        <v>0.0280554933308395</v>
      </c>
    </row>
    <row r="16" customFormat="false" ht="12.8" hidden="false" customHeight="false" outlineLevel="0" collapsed="false">
      <c r="A16" s="2" t="s">
        <v>40</v>
      </c>
      <c r="B16" s="2" t="n">
        <v>240</v>
      </c>
      <c r="C16" s="3" t="n">
        <f aca="false">B16/919606*100</f>
        <v>0.0260981333310135</v>
      </c>
    </row>
    <row r="17" customFormat="false" ht="12.8" hidden="false" customHeight="false" outlineLevel="0" collapsed="false">
      <c r="A17" s="2" t="s">
        <v>47</v>
      </c>
      <c r="B17" s="2" t="n">
        <v>233</v>
      </c>
      <c r="C17" s="3" t="n">
        <f aca="false">B17/919606*100</f>
        <v>0.0253369377755256</v>
      </c>
    </row>
    <row r="18" customFormat="false" ht="12.8" hidden="false" customHeight="false" outlineLevel="0" collapsed="false">
      <c r="A18" s="2" t="s">
        <v>20</v>
      </c>
      <c r="B18" s="2" t="n">
        <v>216</v>
      </c>
      <c r="C18" s="3" t="n">
        <f aca="false">B18/919606*100</f>
        <v>0.0234883199979121</v>
      </c>
    </row>
    <row r="19" customFormat="false" ht="12.8" hidden="false" customHeight="false" outlineLevel="0" collapsed="false">
      <c r="A19" s="2" t="s">
        <v>3</v>
      </c>
      <c r="B19" s="2" t="n">
        <v>179</v>
      </c>
      <c r="C19" s="3" t="n">
        <f aca="false">B19/919606*100</f>
        <v>0.0194648577760476</v>
      </c>
    </row>
    <row r="20" customFormat="false" ht="12.8" hidden="false" customHeight="false" outlineLevel="0" collapsed="false">
      <c r="A20" s="2" t="s">
        <v>26</v>
      </c>
      <c r="B20" s="2" t="n">
        <v>178</v>
      </c>
      <c r="C20" s="3" t="n">
        <f aca="false">B20/919606*100</f>
        <v>0.019356115553835</v>
      </c>
    </row>
    <row r="21" customFormat="false" ht="12.8" hidden="false" customHeight="false" outlineLevel="0" collapsed="false">
      <c r="A21" s="2" t="s">
        <v>8</v>
      </c>
      <c r="B21" s="2" t="n">
        <v>169</v>
      </c>
      <c r="C21" s="3" t="n">
        <f aca="false">B21/919606*100</f>
        <v>0.018377435553922</v>
      </c>
    </row>
    <row r="22" customFormat="false" ht="12.8" hidden="false" customHeight="false" outlineLevel="0" collapsed="false">
      <c r="A22" s="2" t="s">
        <v>23</v>
      </c>
      <c r="B22" s="2" t="n">
        <v>152</v>
      </c>
      <c r="C22" s="3" t="n">
        <f aca="false">B22/919606*100</f>
        <v>0.0165288177763085</v>
      </c>
    </row>
    <row r="23" customFormat="false" ht="12.8" hidden="false" customHeight="false" outlineLevel="0" collapsed="false">
      <c r="A23" s="2" t="s">
        <v>13</v>
      </c>
      <c r="B23" s="2" t="n">
        <v>131</v>
      </c>
      <c r="C23" s="3" t="n">
        <f aca="false">B23/919606*100</f>
        <v>0.0142452311098449</v>
      </c>
    </row>
    <row r="24" customFormat="false" ht="12.8" hidden="false" customHeight="false" outlineLevel="0" collapsed="false">
      <c r="A24" s="2" t="s">
        <v>7</v>
      </c>
      <c r="B24" s="2" t="n">
        <v>126</v>
      </c>
      <c r="C24" s="3" t="n">
        <f aca="false">B24/919606*100</f>
        <v>0.0137015199987821</v>
      </c>
    </row>
    <row r="25" customFormat="false" ht="12.8" hidden="false" customHeight="false" outlineLevel="0" collapsed="false">
      <c r="A25" s="2" t="s">
        <v>51</v>
      </c>
      <c r="B25" s="2" t="n">
        <v>126</v>
      </c>
      <c r="C25" s="3" t="n">
        <f aca="false">B25/919606*100</f>
        <v>0.0137015199987821</v>
      </c>
    </row>
    <row r="26" customFormat="false" ht="12.8" hidden="false" customHeight="false" outlineLevel="0" collapsed="false">
      <c r="A26" s="2" t="s">
        <v>44</v>
      </c>
      <c r="B26" s="2" t="n">
        <v>125</v>
      </c>
      <c r="C26" s="3" t="n">
        <f aca="false">B26/919606*100</f>
        <v>0.0135927777765695</v>
      </c>
    </row>
    <row r="27" customFormat="false" ht="12.8" hidden="false" customHeight="false" outlineLevel="0" collapsed="false">
      <c r="A27" s="2" t="s">
        <v>16</v>
      </c>
      <c r="B27" s="2" t="n">
        <v>116</v>
      </c>
      <c r="C27" s="3" t="n">
        <f aca="false">B27/919606*100</f>
        <v>0.0126140977766565</v>
      </c>
    </row>
    <row r="28" customFormat="false" ht="12.8" hidden="false" customHeight="false" outlineLevel="0" collapsed="false">
      <c r="A28" s="2" t="s">
        <v>15</v>
      </c>
      <c r="B28" s="2" t="n">
        <v>72</v>
      </c>
      <c r="C28" s="3" t="n">
        <f aca="false">B28/919606*100</f>
        <v>0.00782943999930405</v>
      </c>
    </row>
    <row r="29" customFormat="false" ht="12.8" hidden="false" customHeight="false" outlineLevel="0" collapsed="false">
      <c r="A29" s="2" t="s">
        <v>50</v>
      </c>
      <c r="B29" s="2" t="n">
        <v>36</v>
      </c>
      <c r="C29" s="3" t="n">
        <f aca="false">B29/919606*100</f>
        <v>0.00391471999965202</v>
      </c>
    </row>
    <row r="30" customFormat="false" ht="12.8" hidden="false" customHeight="false" outlineLevel="0" collapsed="false">
      <c r="A30" s="2" t="s">
        <v>33</v>
      </c>
      <c r="B30" s="2" t="n">
        <v>23</v>
      </c>
      <c r="C30" s="3" t="n">
        <f aca="false">B30/919606*100</f>
        <v>0.00250107111088879</v>
      </c>
    </row>
    <row r="31" customFormat="false" ht="12.8" hidden="false" customHeight="false" outlineLevel="0" collapsed="false">
      <c r="A31" s="2" t="s">
        <v>27</v>
      </c>
      <c r="B31" s="2" t="n">
        <v>18</v>
      </c>
      <c r="C31" s="3" t="n">
        <f aca="false">B31/919606*100</f>
        <v>0.00195735999982601</v>
      </c>
    </row>
    <row r="32" customFormat="false" ht="12.8" hidden="false" customHeight="false" outlineLevel="0" collapsed="false">
      <c r="A32" s="2" t="s">
        <v>32</v>
      </c>
      <c r="B32" s="2" t="n">
        <v>12</v>
      </c>
      <c r="C32" s="3" t="n">
        <f aca="false">B32/919606*100</f>
        <v>0.00130490666655068</v>
      </c>
    </row>
    <row r="33" customFormat="false" ht="12.8" hidden="false" customHeight="false" outlineLevel="0" collapsed="false">
      <c r="A33" s="2" t="s">
        <v>18</v>
      </c>
      <c r="B33" s="2" t="n">
        <v>11</v>
      </c>
      <c r="C33" s="3" t="n">
        <f aca="false">B33/919606*100</f>
        <v>0.00119616444433812</v>
      </c>
    </row>
    <row r="34" customFormat="false" ht="12.8" hidden="false" customHeight="false" outlineLevel="0" collapsed="false">
      <c r="A34" s="2" t="s">
        <v>43</v>
      </c>
      <c r="B34" s="2" t="n">
        <v>8</v>
      </c>
      <c r="C34" s="3" t="n">
        <f aca="false">B34/919606*100</f>
        <v>0.00086993777770045</v>
      </c>
    </row>
    <row r="35" customFormat="false" ht="12.8" hidden="false" customHeight="false" outlineLevel="0" collapsed="false">
      <c r="A35" s="2" t="s">
        <v>19</v>
      </c>
      <c r="B35" s="2" t="n">
        <v>7</v>
      </c>
      <c r="C35" s="3" t="n">
        <f aca="false">B35/919606*100</f>
        <v>0.000761195555487894</v>
      </c>
    </row>
    <row r="36" customFormat="false" ht="12.8" hidden="false" customHeight="false" outlineLevel="0" collapsed="false">
      <c r="A36" s="2" t="s">
        <v>41</v>
      </c>
      <c r="B36" s="2" t="n">
        <v>4</v>
      </c>
      <c r="C36" s="3" t="n">
        <f aca="false">B36/919606*100</f>
        <v>0.000434968888850225</v>
      </c>
    </row>
    <row r="37" customFormat="false" ht="12.8" hidden="false" customHeight="false" outlineLevel="0" collapsed="false">
      <c r="A37" s="2" t="s">
        <v>42</v>
      </c>
      <c r="B37" s="2" t="n">
        <v>4</v>
      </c>
      <c r="C37" s="3" t="n">
        <f aca="false">B37/919606*100</f>
        <v>0.000434968888850225</v>
      </c>
    </row>
    <row r="38" customFormat="false" ht="12.8" hidden="false" customHeight="false" outlineLevel="0" collapsed="false">
      <c r="A38" s="2" t="s">
        <v>31</v>
      </c>
      <c r="B38" s="2" t="n">
        <v>3</v>
      </c>
      <c r="C38" s="3" t="n">
        <f aca="false">B38/919606*100</f>
        <v>0.000326226666637669</v>
      </c>
    </row>
    <row r="39" customFormat="false" ht="12.8" hidden="false" customHeight="false" outlineLevel="0" collapsed="false">
      <c r="A39" s="2" t="s">
        <v>45</v>
      </c>
      <c r="B39" s="2" t="n">
        <v>3</v>
      </c>
      <c r="C39" s="3" t="n">
        <f aca="false">B39/919606*100</f>
        <v>0.000326226666637669</v>
      </c>
    </row>
    <row r="40" customFormat="false" ht="12.8" hidden="false" customHeight="false" outlineLevel="0" collapsed="false">
      <c r="A40" s="2" t="s">
        <v>36</v>
      </c>
      <c r="B40" s="2" t="n">
        <v>2</v>
      </c>
      <c r="C40" s="3" t="n">
        <f aca="false">B40/919606*100</f>
        <v>0.000217484444425112</v>
      </c>
    </row>
    <row r="41" customFormat="false" ht="12.8" hidden="false" customHeight="false" outlineLevel="0" collapsed="false">
      <c r="A41" s="2" t="s">
        <v>37</v>
      </c>
      <c r="B41" s="2" t="n">
        <v>2</v>
      </c>
      <c r="C41" s="3" t="n">
        <f aca="false">B41/919606*100</f>
        <v>0.000217484444425112</v>
      </c>
    </row>
    <row r="42" customFormat="false" ht="12.8" hidden="false" customHeight="false" outlineLevel="0" collapsed="false">
      <c r="A42" s="2" t="s">
        <v>38</v>
      </c>
      <c r="B42" s="2" t="n">
        <v>2</v>
      </c>
      <c r="C42" s="3" t="n">
        <f aca="false">B42/919606*100</f>
        <v>0.000217484444425112</v>
      </c>
    </row>
    <row r="43" customFormat="false" ht="12.8" hidden="false" customHeight="false" outlineLevel="0" collapsed="false">
      <c r="A43" s="2" t="s">
        <v>39</v>
      </c>
      <c r="B43" s="2" t="n">
        <v>1</v>
      </c>
      <c r="C43" s="3" t="n">
        <f aca="false">B43/919606*100</f>
        <v>0.000108742222212556</v>
      </c>
    </row>
    <row r="44" customFormat="false" ht="12.8" hidden="false" customHeight="false" outlineLevel="0" collapsed="false">
      <c r="A44" s="2" t="s">
        <v>4</v>
      </c>
      <c r="B44" s="2" t="n">
        <v>0</v>
      </c>
      <c r="C44" s="3"/>
    </row>
    <row r="45" customFormat="false" ht="12.8" hidden="false" customHeight="false" outlineLevel="0" collapsed="false">
      <c r="A45" s="2" t="s">
        <v>34</v>
      </c>
      <c r="B45" s="2" t="n">
        <v>0</v>
      </c>
      <c r="C45" s="3"/>
    </row>
    <row r="46" customFormat="false" ht="12.8" hidden="false" customHeight="false" outlineLevel="0" collapsed="false">
      <c r="A46" s="2" t="s">
        <v>34</v>
      </c>
      <c r="B46" s="2" t="n">
        <v>0</v>
      </c>
      <c r="C46" s="3"/>
    </row>
    <row r="47" customFormat="false" ht="12.8" hidden="false" customHeight="false" outlineLevel="0" collapsed="false">
      <c r="A47" s="2" t="s">
        <v>35</v>
      </c>
      <c r="B47" s="2" t="n">
        <v>0</v>
      </c>
      <c r="C47" s="3"/>
    </row>
    <row r="48" customFormat="false" ht="12.8" hidden="false" customHeight="false" outlineLevel="0" collapsed="false">
      <c r="A48" s="2" t="s">
        <v>46</v>
      </c>
      <c r="B48" s="2" t="n">
        <v>0</v>
      </c>
      <c r="C48" s="3"/>
    </row>
    <row r="49" customFormat="false" ht="12.8" hidden="false" customHeight="false" outlineLevel="0" collapsed="false">
      <c r="A49" s="2" t="s">
        <v>48</v>
      </c>
      <c r="B49" s="2" t="n">
        <v>0</v>
      </c>
      <c r="C49" s="3"/>
    </row>
    <row r="50" customFormat="false" ht="12.8" hidden="false" customHeight="false" outlineLevel="0" collapsed="false">
      <c r="A50" s="2" t="s">
        <v>49</v>
      </c>
      <c r="B50" s="2" t="n">
        <v>0</v>
      </c>
      <c r="C50" s="3"/>
    </row>
    <row r="51" customFormat="false" ht="12.8" hidden="false" customHeight="false" outlineLevel="0" collapsed="false">
      <c r="A51" s="11" t="n">
        <v>42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1" sqref="4:4 A3"/>
    </sheetView>
  </sheetViews>
  <sheetFormatPr defaultColWidth="11.53515625" defaultRowHeight="12.8" zeroHeight="false" outlineLevelRow="0" outlineLevelCol="0"/>
  <cols>
    <col collapsed="false" customWidth="false" hidden="false" outlineLevel="0" max="3" min="2" style="12" width="11.52"/>
  </cols>
  <sheetData>
    <row r="1" customFormat="false" ht="12.8" hidden="false" customHeight="false" outlineLevel="0" collapsed="false">
      <c r="A1" s="9" t="s">
        <v>0</v>
      </c>
      <c r="B1" s="10" t="s">
        <v>1</v>
      </c>
      <c r="C1" s="10" t="s">
        <v>2</v>
      </c>
    </row>
    <row r="2" customFormat="false" ht="12.8" hidden="false" customHeight="false" outlineLevel="0" collapsed="false">
      <c r="A2" s="2" t="s">
        <v>30</v>
      </c>
      <c r="B2" s="12" t="n">
        <v>368288</v>
      </c>
      <c r="C2" s="13" t="n">
        <f aca="false">B2/463606*100</f>
        <v>79.439869199277</v>
      </c>
    </row>
    <row r="3" s="7" customFormat="true" ht="12.8" hidden="false" customHeight="false" outlineLevel="0" collapsed="false">
      <c r="A3" s="4" t="s">
        <v>14</v>
      </c>
      <c r="B3" s="14" t="n">
        <v>53133</v>
      </c>
      <c r="C3" s="15" t="n">
        <f aca="false">B3/463606*100</f>
        <v>11.4608093941839</v>
      </c>
    </row>
    <row r="4" customFormat="false" ht="12.8" hidden="false" customHeight="false" outlineLevel="0" collapsed="false">
      <c r="A4" s="2" t="s">
        <v>22</v>
      </c>
      <c r="B4" s="12" t="n">
        <v>26608</v>
      </c>
      <c r="C4" s="13" t="n">
        <f aca="false">B4/463606*100</f>
        <v>5.73935626372394</v>
      </c>
    </row>
    <row r="5" customFormat="false" ht="12.8" hidden="false" customHeight="false" outlineLevel="0" collapsed="false">
      <c r="A5" s="2" t="s">
        <v>12</v>
      </c>
      <c r="B5" s="12" t="n">
        <v>5096</v>
      </c>
      <c r="C5" s="13" t="n">
        <f aca="false">B5/463606*100</f>
        <v>1.09920924233077</v>
      </c>
    </row>
    <row r="6" customFormat="false" ht="12.8" hidden="false" customHeight="false" outlineLevel="0" collapsed="false">
      <c r="A6" s="2" t="s">
        <v>5</v>
      </c>
      <c r="B6" s="12" t="n">
        <v>3323</v>
      </c>
      <c r="C6" s="13" t="n">
        <f aca="false">B6/463606*100</f>
        <v>0.716772431763178</v>
      </c>
    </row>
    <row r="7" customFormat="false" ht="12.8" hidden="false" customHeight="false" outlineLevel="0" collapsed="false">
      <c r="A7" s="2" t="s">
        <v>11</v>
      </c>
      <c r="B7" s="12" t="n">
        <v>2954</v>
      </c>
      <c r="C7" s="13" t="n">
        <f aca="false">B7/463606*100</f>
        <v>0.637178983878552</v>
      </c>
    </row>
    <row r="8" customFormat="false" ht="12.8" hidden="false" customHeight="false" outlineLevel="0" collapsed="false">
      <c r="A8" s="2" t="s">
        <v>15</v>
      </c>
      <c r="B8" s="12" t="n">
        <v>2308</v>
      </c>
      <c r="C8" s="13" t="n">
        <f aca="false">B8/463606*100</f>
        <v>0.497836524980263</v>
      </c>
    </row>
    <row r="9" customFormat="false" ht="12.8" hidden="false" customHeight="false" outlineLevel="0" collapsed="false">
      <c r="A9" s="2" t="s">
        <v>9</v>
      </c>
      <c r="B9" s="12" t="n">
        <v>1289</v>
      </c>
      <c r="C9" s="13" t="n">
        <f aca="false">B9/463606*100</f>
        <v>0.278037816594263</v>
      </c>
    </row>
    <row r="10" customFormat="false" ht="12.8" hidden="false" customHeight="false" outlineLevel="0" collapsed="false">
      <c r="A10" s="2" t="s">
        <v>17</v>
      </c>
      <c r="B10" s="12" t="n">
        <v>413</v>
      </c>
      <c r="C10" s="13" t="n">
        <f aca="false">B10/463606*100</f>
        <v>0.0890842655185653</v>
      </c>
    </row>
    <row r="11" customFormat="false" ht="12.8" hidden="false" customHeight="false" outlineLevel="0" collapsed="false">
      <c r="A11" s="2" t="s">
        <v>23</v>
      </c>
      <c r="B11" s="12" t="n">
        <v>147</v>
      </c>
      <c r="C11" s="13" t="n">
        <f aca="false">B11/463606*100</f>
        <v>0.0317079589133877</v>
      </c>
    </row>
    <row r="12" customFormat="false" ht="12.8" hidden="false" customHeight="false" outlineLevel="0" collapsed="false">
      <c r="A12" s="2" t="s">
        <v>10</v>
      </c>
      <c r="B12" s="12" t="n">
        <v>34</v>
      </c>
      <c r="C12" s="13" t="n">
        <f aca="false">B12/463606*100</f>
        <v>0.00733381362622572</v>
      </c>
    </row>
    <row r="13" customFormat="false" ht="12.8" hidden="false" customHeight="false" outlineLevel="0" collapsed="false">
      <c r="A13" s="2" t="s">
        <v>27</v>
      </c>
      <c r="B13" s="12" t="n">
        <v>7</v>
      </c>
      <c r="C13" s="13" t="n">
        <f aca="false">B13/463606*100</f>
        <v>0.00150990280539941</v>
      </c>
    </row>
    <row r="14" customFormat="false" ht="12.8" hidden="false" customHeight="false" outlineLevel="0" collapsed="false">
      <c r="A14" s="2" t="s">
        <v>20</v>
      </c>
      <c r="B14" s="12" t="n">
        <v>4</v>
      </c>
      <c r="C14" s="13" t="n">
        <f aca="false">B14/463606*100</f>
        <v>0.000862801603085378</v>
      </c>
    </row>
    <row r="15" customFormat="false" ht="12.8" hidden="false" customHeight="false" outlineLevel="0" collapsed="false">
      <c r="A15" s="2" t="s">
        <v>24</v>
      </c>
      <c r="B15" s="12" t="n">
        <v>1</v>
      </c>
      <c r="C15" s="13" t="n">
        <f aca="false">B15/463606*100</f>
        <v>0.000215700400771345</v>
      </c>
    </row>
    <row r="16" customFormat="false" ht="12.8" hidden="false" customHeight="false" outlineLevel="0" collapsed="false">
      <c r="A16" s="2" t="s">
        <v>6</v>
      </c>
      <c r="B16" s="12" t="n">
        <v>1</v>
      </c>
      <c r="C16" s="13" t="n">
        <f aca="false">B16/463606*100</f>
        <v>0.000215700400771345</v>
      </c>
    </row>
    <row r="17" customFormat="false" ht="12.8" hidden="false" customHeight="false" outlineLevel="0" collapsed="false">
      <c r="A17" s="11" t="n">
        <v>15</v>
      </c>
      <c r="B17" s="12" t="n">
        <f aca="false">SUM(B2:V16)</f>
        <v>463706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LibreOffice/24.8.2.1$Windows_X86_64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2023-01-24T20:35:15Z</dcterms:created>
  <dc:creator/>
  <dc:description/>
  <dc:language>ru-RU</dc:language>
  <cp:lastModifiedBy/>
  <dcterms:modified xsi:type="dcterms:W3CDTF">2024-12-30T10:48:37Z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