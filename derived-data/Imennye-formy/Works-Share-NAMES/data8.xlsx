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бщий анализ" sheetId="1" state="visible" r:id="rId2"/>
    <sheet name="Данные по периодам" sheetId="2" state="visible" r:id="rId3"/>
    <sheet name="Диаграмма 1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<sst xmlns="http://schemas.openxmlformats.org/spreadsheetml/2006/main" count="207" uniqueCount="60">
  <si>
    <t xml:space="preserve">Всего словоупотреблений, содержащих признак рода - </t>
  </si>
  <si>
    <t xml:space="preserve">Всего мужского рода</t>
  </si>
  <si>
    <t xml:space="preserve">Всего женского рода</t>
  </si>
  <si>
    <t xml:space="preserve">Всего среднего рода</t>
  </si>
  <si>
    <t xml:space="preserve">Мужской род по падежам</t>
  </si>
  <si>
    <t xml:space="preserve">Падеж</t>
  </si>
  <si>
    <t xml:space="preserve">итого</t>
  </si>
  <si>
    <t xml:space="preserve">%</t>
  </si>
  <si>
    <t xml:space="preserve">N</t>
  </si>
  <si>
    <t xml:space="preserve">V</t>
  </si>
  <si>
    <t xml:space="preserve">Acc</t>
  </si>
  <si>
    <t xml:space="preserve">Ins</t>
  </si>
  <si>
    <t xml:space="preserve">Abl</t>
  </si>
  <si>
    <t xml:space="preserve">Dat</t>
  </si>
  <si>
    <t xml:space="preserve">Gen</t>
  </si>
  <si>
    <t xml:space="preserve">Loc</t>
  </si>
  <si>
    <t xml:space="preserve">Женский род</t>
  </si>
  <si>
    <t xml:space="preserve">Итого</t>
  </si>
  <si>
    <t xml:space="preserve">Средний род</t>
  </si>
  <si>
    <t xml:space="preserve">Период до -800 г.</t>
  </si>
  <si>
    <t xml:space="preserve">Динамика рспределения грамм. Категории рода</t>
  </si>
  <si>
    <t xml:space="preserve">m.</t>
  </si>
  <si>
    <t xml:space="preserve">f.</t>
  </si>
  <si>
    <t xml:space="preserve">n.</t>
  </si>
  <si>
    <t xml:space="preserve">Период</t>
  </si>
  <si>
    <t xml:space="preserve">N.</t>
  </si>
  <si>
    <t xml:space="preserve">До -800</t>
  </si>
  <si>
    <t xml:space="preserve">V.</t>
  </si>
  <si>
    <t xml:space="preserve">-800_-300</t>
  </si>
  <si>
    <t xml:space="preserve">A.</t>
  </si>
  <si>
    <t xml:space="preserve">-300_200</t>
  </si>
  <si>
    <t xml:space="preserve">I.</t>
  </si>
  <si>
    <t xml:space="preserve">200_700</t>
  </si>
  <si>
    <t xml:space="preserve">D.</t>
  </si>
  <si>
    <t xml:space="preserve">700_1200</t>
  </si>
  <si>
    <t xml:space="preserve">Ab.</t>
  </si>
  <si>
    <t xml:space="preserve">1200_1700</t>
  </si>
  <si>
    <t xml:space="preserve">G.</t>
  </si>
  <si>
    <t xml:space="preserve">1700_1956</t>
  </si>
  <si>
    <t xml:space="preserve">L.</t>
  </si>
  <si>
    <t xml:space="preserve">61.65</t>
  </si>
  <si>
    <t xml:space="preserve">16.03</t>
  </si>
  <si>
    <t xml:space="preserve">22.32</t>
  </si>
  <si>
    <t xml:space="preserve">Главные падежи</t>
  </si>
  <si>
    <t xml:space="preserve">Период от -800 г. до -300 г</t>
  </si>
  <si>
    <t xml:space="preserve">N, A</t>
  </si>
  <si>
    <t xml:space="preserve">A, N</t>
  </si>
  <si>
    <t xml:space="preserve">N,A, L</t>
  </si>
  <si>
    <t xml:space="preserve">G, N, A</t>
  </si>
  <si>
    <t xml:space="preserve">L, N, G</t>
  </si>
  <si>
    <t xml:space="preserve">N, G, A</t>
  </si>
  <si>
    <t xml:space="preserve">G,N, A</t>
  </si>
  <si>
    <t xml:space="preserve">N, A, G</t>
  </si>
  <si>
    <t xml:space="preserve">N. L, G</t>
  </si>
  <si>
    <t xml:space="preserve">N, G, V</t>
  </si>
  <si>
    <t xml:space="preserve">Период от -300 г. до 200 г</t>
  </si>
  <si>
    <t xml:space="preserve">Период от 200 г. до 700 г</t>
  </si>
  <si>
    <t xml:space="preserve">Период от 700 г. до 1200 г</t>
  </si>
  <si>
    <t xml:space="preserve">Период от 1200 г. до 1700 г</t>
  </si>
  <si>
    <t xml:space="preserve">Период от 1700 г. до 1956 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</si>
</sst>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sz val="10"/>
      <color rgb="FF00FFFF"/>
      <name val="Arial"/>
      <family val="2"/>
      <charset val="204"/>
    </font>
    <font>
      <sz val="10"/>
      <color rgb="FF00FFFF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22222"/>
        <bgColor rgb="FF993366"/>
      </patternFill>
    </fill>
    <fill>
      <patternFill patternType="solid">
        <fgColor rgb="FFFF0000"/>
        <bgColor rgb="FFFF420E"/>
      </patternFill>
    </fill>
    <fill>
      <patternFill patternType="solid">
        <fgColor rgb="FF40E0D0"/>
        <bgColor rgb="FF00FFFF"/>
      </patternFill>
    </fill>
    <fill>
      <patternFill patternType="solid">
        <fgColor rgb="FF00BFFF"/>
        <bgColor rgb="FF40E0D0"/>
      </patternFill>
    </fill>
    <fill>
      <patternFill patternType="solid">
        <fgColor rgb="FF00FF00"/>
        <bgColor rgb="FF40E0D0"/>
      </patternFill>
    </fill>
    <fill>
      <patternFill patternType="solid">
        <fgColor rgb="FFFFEFD5"/>
        <bgColor rgb="FFFFEBCD"/>
      </patternFill>
    </fill>
    <fill>
      <patternFill patternType="solid">
        <fgColor rgb="FFFFEBCD"/>
        <bgColor rgb="FFFFEFD5"/>
      </patternFill>
    </fill>
    <fill>
      <patternFill patternType="solid">
        <fgColor rgb="FF90EE90"/>
        <bgColor rgb="FF99CCFF"/>
      </patternFill>
    </fill>
    <fill>
      <patternFill patternType="solid">
        <fgColor rgb="FFF08080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BC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EFD5"/>
      <rgbColor rgb="FFCCFFFF"/>
      <rgbColor rgb="FF660066"/>
      <rgbColor rgb="FFF0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40E0D0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ДИНАМИКА РАСПРЕДЕЛЕНИЯ ГРАММАТИЧЕСКОЙ КАТЕГОРИИ РОДА В РАЗЛИЧНЫЕ ИСТОРИЧЕСКИЕ ПЕРИОДЫ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'Данные по периодам'!$J$2</c:f>
              <c:strCache>
                <c:ptCount val="1"/>
                <c:pt idx="0">
                  <c:v>m.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по периодам'!$I$3:$I$9</c:f>
              <c:strCache>
                <c:ptCount val="7"/>
                <c:pt idx="0">
                  <c:v>До -800</c:v>
                </c:pt>
                <c:pt idx="1">
                  <c:v>-800_-300</c:v>
                </c:pt>
                <c:pt idx="2">
                  <c:v>-300_200</c:v>
                </c:pt>
                <c:pt idx="3">
                  <c:v>200_700</c:v>
                </c:pt>
                <c:pt idx="4">
                  <c:v>700_1200</c:v>
                </c:pt>
                <c:pt idx="5">
                  <c:v>1200_1700</c:v>
                </c:pt>
                <c:pt idx="6">
                  <c:v>1700_1956</c:v>
                </c:pt>
              </c:strCache>
            </c:strRef>
          </c:cat>
          <c:val>
            <c:numRef>
              <c:f>'Данные по периодам'!$J$3:$J$9</c:f>
              <c:numCache>
                <c:formatCode>General</c:formatCode>
                <c:ptCount val="7"/>
                <c:pt idx="0">
                  <c:v>61.65</c:v>
                </c:pt>
                <c:pt idx="1">
                  <c:v>51.07</c:v>
                </c:pt>
                <c:pt idx="2">
                  <c:v>53.63</c:v>
                </c:pt>
                <c:pt idx="3">
                  <c:v>43.69</c:v>
                </c:pt>
                <c:pt idx="4">
                  <c:v>44.04</c:v>
                </c:pt>
                <c:pt idx="5">
                  <c:v>32.73</c:v>
                </c:pt>
                <c:pt idx="6">
                  <c:v>40.83</c:v>
                </c:pt>
              </c:numCache>
            </c:numRef>
          </c:val>
        </c:ser>
        <c:ser>
          <c:idx val="1"/>
          <c:order val="1"/>
          <c:tx>
            <c:strRef>
              <c:f>'Данные по периодам'!$K$2</c:f>
              <c:strCache>
                <c:ptCount val="1"/>
                <c:pt idx="0">
                  <c:v>f.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по периодам'!$I$3:$I$9</c:f>
              <c:strCache>
                <c:ptCount val="7"/>
                <c:pt idx="0">
                  <c:v>До -800</c:v>
                </c:pt>
                <c:pt idx="1">
                  <c:v>-800_-300</c:v>
                </c:pt>
                <c:pt idx="2">
                  <c:v>-300_200</c:v>
                </c:pt>
                <c:pt idx="3">
                  <c:v>200_700</c:v>
                </c:pt>
                <c:pt idx="4">
                  <c:v>700_1200</c:v>
                </c:pt>
                <c:pt idx="5">
                  <c:v>1200_1700</c:v>
                </c:pt>
                <c:pt idx="6">
                  <c:v>1700_1956</c:v>
                </c:pt>
              </c:strCache>
            </c:strRef>
          </c:cat>
          <c:val>
            <c:numRef>
              <c:f>'Данные по периодам'!$K$3:$K$9</c:f>
              <c:numCache>
                <c:formatCode>General</c:formatCode>
                <c:ptCount val="7"/>
                <c:pt idx="0">
                  <c:v>16.06</c:v>
                </c:pt>
                <c:pt idx="1">
                  <c:v>15.99</c:v>
                </c:pt>
                <c:pt idx="2">
                  <c:v>12.91</c:v>
                </c:pt>
                <c:pt idx="3">
                  <c:v>16.16</c:v>
                </c:pt>
                <c:pt idx="4">
                  <c:v>16.45</c:v>
                </c:pt>
                <c:pt idx="5">
                  <c:v>19.82</c:v>
                </c:pt>
                <c:pt idx="6">
                  <c:v>15.57</c:v>
                </c:pt>
              </c:numCache>
            </c:numRef>
          </c:val>
        </c:ser>
        <c:ser>
          <c:idx val="2"/>
          <c:order val="2"/>
          <c:tx>
            <c:strRef>
              <c:f>'Данные по периодам'!$L$2</c:f>
              <c:strCache>
                <c:ptCount val="1"/>
                <c:pt idx="0">
                  <c:v>n.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по периодам'!$I$3:$I$9</c:f>
              <c:strCache>
                <c:ptCount val="7"/>
                <c:pt idx="0">
                  <c:v>До -800</c:v>
                </c:pt>
                <c:pt idx="1">
                  <c:v>-800_-300</c:v>
                </c:pt>
                <c:pt idx="2">
                  <c:v>-300_200</c:v>
                </c:pt>
                <c:pt idx="3">
                  <c:v>200_700</c:v>
                </c:pt>
                <c:pt idx="4">
                  <c:v>700_1200</c:v>
                </c:pt>
                <c:pt idx="5">
                  <c:v>1200_1700</c:v>
                </c:pt>
                <c:pt idx="6">
                  <c:v>1700_1956</c:v>
                </c:pt>
              </c:strCache>
            </c:strRef>
          </c:cat>
          <c:val>
            <c:numRef>
              <c:f>'Данные по периодам'!$L$3:$L$9</c:f>
              <c:numCache>
                <c:formatCode>General</c:formatCode>
                <c:ptCount val="7"/>
                <c:pt idx="0">
                  <c:v>22.32</c:v>
                </c:pt>
                <c:pt idx="1">
                  <c:v>32.94</c:v>
                </c:pt>
                <c:pt idx="2">
                  <c:v>33.45</c:v>
                </c:pt>
                <c:pt idx="3">
                  <c:v>40.14</c:v>
                </c:pt>
                <c:pt idx="4">
                  <c:v>39.5</c:v>
                </c:pt>
                <c:pt idx="5">
                  <c:v>47.43</c:v>
                </c:pt>
                <c:pt idx="6">
                  <c:v>43.59</c:v>
                </c:pt>
              </c:numCache>
            </c:numRef>
          </c:val>
        </c:ser>
        <c:axId val="40097137"/>
        <c:axId val="13041723"/>
      </c:areaChart>
      <c:catAx>
        <c:axId val="400971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041723"/>
        <c:crosses val="autoZero"/>
        <c:auto val="1"/>
        <c:lblAlgn val="ctr"/>
        <c:lblOffset val="100"/>
        <c:noMultiLvlLbl val="0"/>
      </c:catAx>
      <c:valAx>
        <c:axId val="130417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09713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7</xdr:col>
      <xdr:colOff>70560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360" y="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50.41"/>
  </cols>
  <sheetData>
    <row r="1" customFormat="false" ht="12.8" hidden="false" customHeight="false" outlineLevel="0" collapsed="false">
      <c r="A1" s="0" t="s">
        <v>0</v>
      </c>
      <c r="B1" s="0" t="n">
        <v>3305052</v>
      </c>
    </row>
    <row r="2" customFormat="false" ht="12.8" hidden="false" customHeight="false" outlineLevel="0" collapsed="false">
      <c r="A2" s="0" t="s">
        <v>1</v>
      </c>
      <c r="B2" s="0" t="n">
        <v>1580239</v>
      </c>
      <c r="C2" s="1" t="n">
        <v>0.4781</v>
      </c>
    </row>
    <row r="3" customFormat="false" ht="12.8" hidden="false" customHeight="false" outlineLevel="0" collapsed="false">
      <c r="A3" s="0" t="s">
        <v>2</v>
      </c>
      <c r="B3" s="0" t="n">
        <v>500117</v>
      </c>
      <c r="C3" s="1" t="n">
        <v>0.1513</v>
      </c>
    </row>
    <row r="4" customFormat="false" ht="12.8" hidden="false" customHeight="false" outlineLevel="0" collapsed="false">
      <c r="A4" s="0" t="s">
        <v>3</v>
      </c>
      <c r="B4" s="0" t="n">
        <v>1206853</v>
      </c>
      <c r="C4" s="1" t="n">
        <v>0.3652</v>
      </c>
    </row>
    <row r="5" customFormat="false" ht="12.8" hidden="false" customHeight="false" outlineLevel="0" collapsed="false">
      <c r="A5" s="2" t="s">
        <v>4</v>
      </c>
      <c r="B5" s="3" t="s">
        <v>5</v>
      </c>
      <c r="C5" s="4" t="s">
        <v>6</v>
      </c>
      <c r="D5" s="4" t="s">
        <v>7</v>
      </c>
    </row>
    <row r="6" customFormat="false" ht="12.8" hidden="false" customHeight="false" outlineLevel="0" collapsed="false">
      <c r="B6" s="0" t="s">
        <v>8</v>
      </c>
      <c r="C6" s="0" t="n">
        <v>680405</v>
      </c>
      <c r="D6" s="5" t="n">
        <f aca="false">C6/1580239*100</f>
        <v>43.0570945281062</v>
      </c>
    </row>
    <row r="7" customFormat="false" ht="12.8" hidden="false" customHeight="false" outlineLevel="0" collapsed="false">
      <c r="B7" s="0" t="s">
        <v>9</v>
      </c>
      <c r="C7" s="0" t="n">
        <v>80106</v>
      </c>
      <c r="D7" s="5" t="n">
        <f aca="false">C7/1580239*100</f>
        <v>5.06923319826938</v>
      </c>
    </row>
    <row r="8" customFormat="false" ht="12.8" hidden="false" customHeight="false" outlineLevel="0" collapsed="false">
      <c r="B8" s="0" t="s">
        <v>10</v>
      </c>
      <c r="C8" s="0" t="n">
        <v>282088</v>
      </c>
      <c r="D8" s="5" t="n">
        <f aca="false">C8/1580239*100</f>
        <v>17.8509706443139</v>
      </c>
    </row>
    <row r="9" customFormat="false" ht="12.8" hidden="false" customHeight="false" outlineLevel="0" collapsed="false">
      <c r="B9" s="0" t="s">
        <v>11</v>
      </c>
      <c r="C9" s="0" t="n">
        <v>130009</v>
      </c>
      <c r="D9" s="5" t="n">
        <f aca="false">C9/1580239*100</f>
        <v>8.22717323139095</v>
      </c>
    </row>
    <row r="10" customFormat="false" ht="12.8" hidden="false" customHeight="false" outlineLevel="0" collapsed="false">
      <c r="B10" s="0" t="s">
        <v>12</v>
      </c>
      <c r="C10" s="0" t="n">
        <v>24101</v>
      </c>
      <c r="D10" s="5" t="n">
        <f aca="false">C10/1580239*100</f>
        <v>1.52514904391045</v>
      </c>
    </row>
    <row r="11" customFormat="false" ht="12.8" hidden="false" customHeight="false" outlineLevel="0" collapsed="false">
      <c r="B11" s="0" t="s">
        <v>13</v>
      </c>
      <c r="C11" s="0" t="n">
        <v>58882</v>
      </c>
      <c r="D11" s="5" t="n">
        <f aca="false">C11/1580239*100</f>
        <v>3.72614522233662</v>
      </c>
    </row>
    <row r="12" customFormat="false" ht="12.8" hidden="false" customHeight="false" outlineLevel="0" collapsed="false">
      <c r="B12" s="0" t="s">
        <v>14</v>
      </c>
      <c r="C12" s="0" t="n">
        <v>223518</v>
      </c>
      <c r="D12" s="5" t="n">
        <f aca="false">C12/1580239*100</f>
        <v>14.1445692708508</v>
      </c>
    </row>
    <row r="13" customFormat="false" ht="12.8" hidden="false" customHeight="false" outlineLevel="0" collapsed="false">
      <c r="B13" s="0" t="s">
        <v>15</v>
      </c>
      <c r="C13" s="0" t="n">
        <v>101130</v>
      </c>
      <c r="D13" s="5" t="n">
        <f aca="false">C13/1580239*100</f>
        <v>6.39966486082169</v>
      </c>
    </row>
    <row r="14" customFormat="false" ht="12.8" hidden="false" customHeight="false" outlineLevel="0" collapsed="false">
      <c r="A14" s="6" t="s">
        <v>16</v>
      </c>
      <c r="B14" s="6" t="s">
        <v>5</v>
      </c>
      <c r="C14" s="7" t="s">
        <v>17</v>
      </c>
      <c r="D14" s="8" t="s">
        <v>7</v>
      </c>
    </row>
    <row r="15" customFormat="false" ht="12.8" hidden="false" customHeight="false" outlineLevel="0" collapsed="false">
      <c r="B15" s="0" t="s">
        <v>8</v>
      </c>
      <c r="C15" s="0" t="n">
        <v>175043</v>
      </c>
      <c r="D15" s="5" t="n">
        <f aca="false">C15/500117*100</f>
        <v>35.0004099040824</v>
      </c>
    </row>
    <row r="16" customFormat="false" ht="12.8" hidden="false" customHeight="false" outlineLevel="0" collapsed="false">
      <c r="B16" s="0" t="s">
        <v>9</v>
      </c>
      <c r="C16" s="0" t="n">
        <v>7958</v>
      </c>
      <c r="D16" s="5" t="n">
        <f aca="false">C16/500117*100</f>
        <v>1.59122765272926</v>
      </c>
    </row>
    <row r="17" customFormat="false" ht="12.8" hidden="false" customHeight="false" outlineLevel="0" collapsed="false">
      <c r="B17" s="0" t="s">
        <v>10</v>
      </c>
      <c r="C17" s="0" t="n">
        <v>87114</v>
      </c>
      <c r="D17" s="5" t="n">
        <f aca="false">C17/500117*100</f>
        <v>17.4187240185797</v>
      </c>
    </row>
    <row r="18" customFormat="false" ht="12.8" hidden="false" customHeight="false" outlineLevel="0" collapsed="false">
      <c r="B18" s="0" t="s">
        <v>11</v>
      </c>
      <c r="C18" s="0" t="n">
        <v>30334</v>
      </c>
      <c r="D18" s="5" t="n">
        <f aca="false">C18/500117*100</f>
        <v>6.06538070091599</v>
      </c>
    </row>
    <row r="19" customFormat="false" ht="12.8" hidden="false" customHeight="false" outlineLevel="0" collapsed="false">
      <c r="B19" s="0" t="s">
        <v>12</v>
      </c>
      <c r="C19" s="0" t="n">
        <v>4756</v>
      </c>
      <c r="D19" s="5" t="n">
        <f aca="false">C19/500117*100</f>
        <v>0.950977471271722</v>
      </c>
    </row>
    <row r="20" customFormat="false" ht="12.8" hidden="false" customHeight="false" outlineLevel="0" collapsed="false">
      <c r="B20" s="0" t="s">
        <v>13</v>
      </c>
      <c r="C20" s="0" t="n">
        <v>2484</v>
      </c>
      <c r="D20" s="5" t="n">
        <f aca="false">C20/500117*100</f>
        <v>0.496683775996417</v>
      </c>
    </row>
    <row r="21" customFormat="false" ht="12.8" hidden="false" customHeight="false" outlineLevel="0" collapsed="false">
      <c r="B21" s="0" t="s">
        <v>14</v>
      </c>
      <c r="C21" s="0" t="n">
        <v>167732</v>
      </c>
      <c r="D21" s="5" t="n">
        <f aca="false">C21/500117*100</f>
        <v>33.5385519788369</v>
      </c>
    </row>
    <row r="22" customFormat="false" ht="12.8" hidden="false" customHeight="false" outlineLevel="0" collapsed="false">
      <c r="B22" s="0" t="s">
        <v>15</v>
      </c>
      <c r="C22" s="0" t="n">
        <v>24696</v>
      </c>
      <c r="D22" s="5" t="n">
        <f aca="false">C22/500117*100</f>
        <v>4.93804449758756</v>
      </c>
    </row>
    <row r="24" customFormat="false" ht="12.8" hidden="false" customHeight="false" outlineLevel="0" collapsed="false">
      <c r="A24" s="9" t="s">
        <v>18</v>
      </c>
      <c r="B24" s="9" t="s">
        <v>5</v>
      </c>
      <c r="C24" s="8" t="s">
        <v>17</v>
      </c>
      <c r="D24" s="10" t="s">
        <v>7</v>
      </c>
    </row>
    <row r="25" customFormat="false" ht="12.8" hidden="false" customHeight="false" outlineLevel="0" collapsed="false">
      <c r="B25" s="0" t="s">
        <v>8</v>
      </c>
      <c r="C25" s="0" t="n">
        <v>289148</v>
      </c>
      <c r="D25" s="5" t="n">
        <f aca="false">C25/1206853*100</f>
        <v>23.9588417147739</v>
      </c>
    </row>
    <row r="26" customFormat="false" ht="12.8" hidden="false" customHeight="false" outlineLevel="0" collapsed="false">
      <c r="B26" s="0" t="s">
        <v>9</v>
      </c>
      <c r="C26" s="0" t="n">
        <v>180</v>
      </c>
      <c r="D26" s="5" t="n">
        <f aca="false">C26/1206853*100</f>
        <v>0.0149148239263605</v>
      </c>
    </row>
    <row r="27" customFormat="false" ht="12.8" hidden="false" customHeight="false" outlineLevel="0" collapsed="false">
      <c r="B27" s="0" t="s">
        <v>10</v>
      </c>
      <c r="C27" s="0" t="n">
        <v>199046</v>
      </c>
      <c r="D27" s="5" t="n">
        <f aca="false">C27/1206853*100</f>
        <v>16.4929780180353</v>
      </c>
    </row>
    <row r="28" customFormat="false" ht="12.8" hidden="false" customHeight="false" outlineLevel="0" collapsed="false">
      <c r="B28" s="0" t="s">
        <v>11</v>
      </c>
      <c r="C28" s="0" t="n">
        <v>62585</v>
      </c>
      <c r="D28" s="5" t="n">
        <f aca="false">C28/1206853*100</f>
        <v>5.18580141906264</v>
      </c>
    </row>
    <row r="29" customFormat="false" ht="12.8" hidden="false" customHeight="false" outlineLevel="0" collapsed="false">
      <c r="B29" s="0" t="s">
        <v>12</v>
      </c>
      <c r="C29" s="0" t="n">
        <v>3842</v>
      </c>
      <c r="D29" s="5" t="n">
        <f aca="false">C29/1206853*100</f>
        <v>0.318348630694873</v>
      </c>
    </row>
    <row r="30" customFormat="false" ht="12.8" hidden="false" customHeight="false" outlineLevel="0" collapsed="false">
      <c r="B30" s="0" t="s">
        <v>13</v>
      </c>
      <c r="C30" s="0" t="n">
        <v>26653</v>
      </c>
      <c r="D30" s="5" t="n">
        <f aca="false">C30/1206853*100</f>
        <v>2.20847112282938</v>
      </c>
    </row>
    <row r="31" customFormat="false" ht="12.8" hidden="false" customHeight="false" outlineLevel="0" collapsed="false">
      <c r="B31" s="0" t="s">
        <v>14</v>
      </c>
      <c r="C31" s="0" t="n">
        <v>237802</v>
      </c>
      <c r="D31" s="5" t="n">
        <f aca="false">C31/1206853*100</f>
        <v>19.7043053296466</v>
      </c>
    </row>
    <row r="32" customFormat="false" ht="12.8" hidden="false" customHeight="false" outlineLevel="0" collapsed="false">
      <c r="B32" s="0" t="s">
        <v>15</v>
      </c>
      <c r="C32" s="0" t="n">
        <v>387597</v>
      </c>
      <c r="D32" s="5" t="n">
        <f aca="false">C32/1206853*100</f>
        <v>32.1163389410309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6.58"/>
  </cols>
  <sheetData>
    <row r="1" customFormat="false" ht="12.8" hidden="false" customHeight="false" outlineLevel="0" collapsed="false">
      <c r="A1" s="11" t="s">
        <v>19</v>
      </c>
      <c r="B1" s="11"/>
      <c r="C1" s="11"/>
      <c r="D1" s="11"/>
      <c r="E1" s="11"/>
      <c r="F1" s="11"/>
      <c r="G1" s="11"/>
      <c r="I1" s="12" t="s">
        <v>20</v>
      </c>
      <c r="J1" s="12"/>
      <c r="K1" s="12"/>
      <c r="L1" s="12"/>
    </row>
    <row r="2" customFormat="false" ht="12.8" hidden="false" customHeight="false" outlineLevel="0" collapsed="false">
      <c r="A2" s="13" t="s">
        <v>5</v>
      </c>
      <c r="B2" s="14" t="s">
        <v>21</v>
      </c>
      <c r="C2" s="14" t="s">
        <v>7</v>
      </c>
      <c r="D2" s="14" t="s">
        <v>22</v>
      </c>
      <c r="E2" s="14" t="s">
        <v>7</v>
      </c>
      <c r="F2" s="14" t="s">
        <v>23</v>
      </c>
      <c r="G2" s="14" t="s">
        <v>7</v>
      </c>
      <c r="I2" s="3" t="s">
        <v>24</v>
      </c>
      <c r="J2" s="4" t="s">
        <v>21</v>
      </c>
      <c r="K2" s="4" t="s">
        <v>22</v>
      </c>
      <c r="L2" s="4" t="s">
        <v>23</v>
      </c>
    </row>
    <row r="3" customFormat="false" ht="12.8" hidden="false" customHeight="false" outlineLevel="0" collapsed="false">
      <c r="A3" s="15" t="s">
        <v>25</v>
      </c>
      <c r="B3" s="15" t="n">
        <v>36670</v>
      </c>
      <c r="C3" s="16" t="n">
        <f aca="false">B3/94630*100</f>
        <v>38.7509246539152</v>
      </c>
      <c r="D3" s="15" t="n">
        <v>8522</v>
      </c>
      <c r="E3" s="16" t="n">
        <f aca="false">D3/24607*100</f>
        <v>34.6324216686309</v>
      </c>
      <c r="F3" s="15" t="n">
        <v>6567</v>
      </c>
      <c r="G3" s="16" t="n">
        <f aca="false">F3/34254*100</f>
        <v>19.1714836223507</v>
      </c>
      <c r="I3" s="3" t="s">
        <v>26</v>
      </c>
      <c r="J3" s="0" t="n">
        <v>61.65</v>
      </c>
      <c r="K3" s="0" t="n">
        <v>16.06</v>
      </c>
      <c r="L3" s="0" t="n">
        <v>22.32</v>
      </c>
    </row>
    <row r="4" customFormat="false" ht="12.8" hidden="false" customHeight="false" outlineLevel="0" collapsed="false">
      <c r="A4" s="15" t="s">
        <v>27</v>
      </c>
      <c r="B4" s="15" t="n">
        <v>9791</v>
      </c>
      <c r="C4" s="16" t="n">
        <f aca="false">B4/94630*100</f>
        <v>10.3466131248019</v>
      </c>
      <c r="D4" s="15" t="n">
        <v>822</v>
      </c>
      <c r="E4" s="16" t="n">
        <f aca="false">D4/24607*100</f>
        <v>3.34051286219368</v>
      </c>
      <c r="F4" s="15" t="n">
        <v>42</v>
      </c>
      <c r="G4" s="16" t="n">
        <f aca="false">F4/34254*100</f>
        <v>0.122613417411105</v>
      </c>
      <c r="I4" s="3" t="s">
        <v>28</v>
      </c>
      <c r="J4" s="0" t="n">
        <v>51.07</v>
      </c>
      <c r="K4" s="0" t="n">
        <v>15.99</v>
      </c>
      <c r="L4" s="0" t="n">
        <v>32.94</v>
      </c>
    </row>
    <row r="5" customFormat="false" ht="12.8" hidden="false" customHeight="false" outlineLevel="0" collapsed="false">
      <c r="A5" s="15" t="s">
        <v>29</v>
      </c>
      <c r="B5" s="15" t="n">
        <v>20626</v>
      </c>
      <c r="C5" s="16" t="n">
        <f aca="false">B5/94630*100</f>
        <v>21.7964704639121</v>
      </c>
      <c r="D5" s="15" t="n">
        <v>6427</v>
      </c>
      <c r="E5" s="16" t="n">
        <f aca="false">D5/24607*100</f>
        <v>26.1185841427236</v>
      </c>
      <c r="F5" s="15" t="n">
        <v>12937</v>
      </c>
      <c r="G5" s="16" t="n">
        <f aca="false">F5/34254*100</f>
        <v>37.7678519297016</v>
      </c>
      <c r="I5" s="3" t="s">
        <v>30</v>
      </c>
      <c r="J5" s="0" t="n">
        <v>53.63</v>
      </c>
      <c r="K5" s="0" t="n">
        <v>12.91</v>
      </c>
      <c r="L5" s="0" t="n">
        <v>33.45</v>
      </c>
    </row>
    <row r="6" customFormat="false" ht="12.8" hidden="false" customHeight="false" outlineLevel="0" collapsed="false">
      <c r="A6" s="15" t="s">
        <v>31</v>
      </c>
      <c r="B6" s="15" t="n">
        <v>5087</v>
      </c>
      <c r="C6" s="16" t="n">
        <f aca="false">B6/94630*100</f>
        <v>5.37567367642397</v>
      </c>
      <c r="D6" s="15" t="n">
        <v>2865</v>
      </c>
      <c r="E6" s="16" t="n">
        <f aca="false">D6/24607*100</f>
        <v>11.643028406551</v>
      </c>
      <c r="F6" s="15" t="n">
        <v>3385</v>
      </c>
      <c r="G6" s="16" t="n">
        <f aca="false">F6/34254*100</f>
        <v>9.88205756991884</v>
      </c>
      <c r="I6" s="3" t="s">
        <v>32</v>
      </c>
      <c r="J6" s="0" t="n">
        <v>43.69</v>
      </c>
      <c r="K6" s="0" t="n">
        <v>16.16</v>
      </c>
      <c r="L6" s="0" t="n">
        <v>40.14</v>
      </c>
    </row>
    <row r="7" customFormat="false" ht="12.8" hidden="false" customHeight="false" outlineLevel="0" collapsed="false">
      <c r="A7" s="15" t="s">
        <v>33</v>
      </c>
      <c r="B7" s="15" t="n">
        <v>5699</v>
      </c>
      <c r="C7" s="16" t="n">
        <f aca="false">B7/94630*100</f>
        <v>6.02240304343232</v>
      </c>
      <c r="D7" s="15" t="n">
        <v>1006</v>
      </c>
      <c r="E7" s="16" t="n">
        <f aca="false">D7/24607*100</f>
        <v>4.08826756613972</v>
      </c>
      <c r="F7" s="15" t="n">
        <v>877</v>
      </c>
      <c r="G7" s="16" t="n">
        <f aca="false">F7/34254*100</f>
        <v>2.56028493022713</v>
      </c>
      <c r="I7" s="3" t="s">
        <v>34</v>
      </c>
      <c r="J7" s="0" t="n">
        <v>44.04</v>
      </c>
      <c r="K7" s="0" t="n">
        <v>16.45</v>
      </c>
      <c r="L7" s="0" t="n">
        <v>39.5</v>
      </c>
    </row>
    <row r="8" customFormat="false" ht="12.8" hidden="false" customHeight="false" outlineLevel="0" collapsed="false">
      <c r="A8" s="15" t="s">
        <v>35</v>
      </c>
      <c r="B8" s="15" t="n">
        <v>3242</v>
      </c>
      <c r="C8" s="16" t="n">
        <f aca="false">B8/94630*100</f>
        <v>3.42597484941351</v>
      </c>
      <c r="D8" s="15" t="n">
        <v>407</v>
      </c>
      <c r="E8" s="16" t="n">
        <f aca="false">D8/24607*100</f>
        <v>1.65400089405454</v>
      </c>
      <c r="F8" s="15" t="n">
        <v>777</v>
      </c>
      <c r="G8" s="16" t="n">
        <f aca="false">F8/34254*100</f>
        <v>2.26834822210545</v>
      </c>
      <c r="I8" s="3" t="s">
        <v>36</v>
      </c>
      <c r="J8" s="0" t="n">
        <v>32.73</v>
      </c>
      <c r="K8" s="0" t="n">
        <v>19.82</v>
      </c>
      <c r="L8" s="0" t="n">
        <v>47.43</v>
      </c>
    </row>
    <row r="9" customFormat="false" ht="12.8" hidden="false" customHeight="false" outlineLevel="0" collapsed="false">
      <c r="A9" s="15" t="s">
        <v>37</v>
      </c>
      <c r="B9" s="15" t="n">
        <v>9827</v>
      </c>
      <c r="C9" s="16" t="n">
        <f aca="false">B9/94630*100</f>
        <v>10.3846560287435</v>
      </c>
      <c r="D9" s="15" t="n">
        <v>2931</v>
      </c>
      <c r="E9" s="16" t="n">
        <f aca="false">D9/24607*100</f>
        <v>11.911244767749</v>
      </c>
      <c r="F9" s="15" t="n">
        <v>4684</v>
      </c>
      <c r="G9" s="16" t="n">
        <f aca="false">F9/34254*100</f>
        <v>13.6743154084195</v>
      </c>
      <c r="I9" s="3" t="s">
        <v>38</v>
      </c>
      <c r="J9" s="0" t="n">
        <v>40.83</v>
      </c>
      <c r="K9" s="0" t="n">
        <v>15.57</v>
      </c>
      <c r="L9" s="0" t="n">
        <v>43.59</v>
      </c>
    </row>
    <row r="10" customFormat="false" ht="12.8" hidden="false" customHeight="false" outlineLevel="0" collapsed="false">
      <c r="A10" s="15" t="s">
        <v>39</v>
      </c>
      <c r="B10" s="15" t="n">
        <v>3688</v>
      </c>
      <c r="C10" s="16" t="n">
        <f aca="false">B10/94630*100</f>
        <v>3.8972841593575</v>
      </c>
      <c r="D10" s="15" t="n">
        <v>1627</v>
      </c>
      <c r="E10" s="16" t="n">
        <f aca="false">D10/24607*100</f>
        <v>6.61193969195757</v>
      </c>
      <c r="F10" s="15" t="n">
        <v>4985</v>
      </c>
      <c r="G10" s="16" t="n">
        <f aca="false">F10/34254*100</f>
        <v>14.5530448998657</v>
      </c>
    </row>
    <row r="11" customFormat="false" ht="12.8" hidden="false" customHeight="false" outlineLevel="0" collapsed="false">
      <c r="A11" s="17" t="s">
        <v>17</v>
      </c>
      <c r="B11" s="17" t="n">
        <v>94630</v>
      </c>
      <c r="C11" s="18" t="s">
        <v>40</v>
      </c>
      <c r="D11" s="17" t="n">
        <v>24607</v>
      </c>
      <c r="E11" s="18" t="s">
        <v>41</v>
      </c>
      <c r="F11" s="17" t="n">
        <v>34254</v>
      </c>
      <c r="G11" s="18" t="s">
        <v>42</v>
      </c>
      <c r="I11" s="12" t="s">
        <v>43</v>
      </c>
      <c r="J11" s="12"/>
      <c r="K11" s="12"/>
      <c r="L11" s="12"/>
    </row>
    <row r="12" customFormat="false" ht="12.8" hidden="false" customHeight="false" outlineLevel="0" collapsed="false">
      <c r="I12" s="3" t="s">
        <v>24</v>
      </c>
      <c r="J12" s="4" t="s">
        <v>21</v>
      </c>
      <c r="K12" s="4" t="s">
        <v>22</v>
      </c>
      <c r="L12" s="4" t="s">
        <v>23</v>
      </c>
    </row>
    <row r="13" customFormat="false" ht="12.8" hidden="false" customHeight="false" outlineLevel="0" collapsed="false">
      <c r="A13" s="19" t="s">
        <v>44</v>
      </c>
      <c r="B13" s="19"/>
      <c r="C13" s="19"/>
      <c r="D13" s="19"/>
      <c r="E13" s="19"/>
      <c r="F13" s="19"/>
      <c r="G13" s="19"/>
      <c r="I13" s="3" t="s">
        <v>26</v>
      </c>
      <c r="J13" s="0" t="s">
        <v>45</v>
      </c>
      <c r="K13" s="0" t="s">
        <v>45</v>
      </c>
      <c r="L13" s="0" t="s">
        <v>46</v>
      </c>
    </row>
    <row r="14" customFormat="false" ht="12.8" hidden="false" customHeight="false" outlineLevel="0" collapsed="false">
      <c r="A14" s="3" t="s">
        <v>5</v>
      </c>
      <c r="B14" s="4" t="s">
        <v>21</v>
      </c>
      <c r="C14" s="4" t="s">
        <v>7</v>
      </c>
      <c r="D14" s="4" t="s">
        <v>22</v>
      </c>
      <c r="E14" s="4" t="s">
        <v>7</v>
      </c>
      <c r="F14" s="4" t="s">
        <v>23</v>
      </c>
      <c r="G14" s="4" t="s">
        <v>7</v>
      </c>
      <c r="I14" s="3" t="s">
        <v>28</v>
      </c>
      <c r="J14" s="0" t="s">
        <v>45</v>
      </c>
      <c r="K14" s="0" t="s">
        <v>45</v>
      </c>
      <c r="L14" s="0" t="s">
        <v>47</v>
      </c>
    </row>
    <row r="15" customFormat="false" ht="12.8" hidden="false" customHeight="false" outlineLevel="0" collapsed="false">
      <c r="A15" s="2" t="s">
        <v>25</v>
      </c>
      <c r="B15" s="2" t="n">
        <v>42384</v>
      </c>
      <c r="C15" s="20" t="n">
        <f aca="false">B15/94772*100</f>
        <v>44.7220698096484</v>
      </c>
      <c r="D15" s="2" t="n">
        <v>11193</v>
      </c>
      <c r="E15" s="20" t="n">
        <f aca="false">D15/29674*100</f>
        <v>37.7198894655254</v>
      </c>
      <c r="F15" s="2" t="n">
        <v>18560</v>
      </c>
      <c r="G15" s="20" t="n">
        <f aca="false">F15/61125*100</f>
        <v>30.3640081799591</v>
      </c>
      <c r="I15" s="3" t="s">
        <v>30</v>
      </c>
      <c r="J15" s="0" t="s">
        <v>45</v>
      </c>
      <c r="K15" s="0" t="s">
        <v>48</v>
      </c>
      <c r="L15" s="0" t="s">
        <v>49</v>
      </c>
    </row>
    <row r="16" customFormat="false" ht="12.8" hidden="false" customHeight="false" outlineLevel="0" collapsed="false">
      <c r="A16" s="2" t="s">
        <v>27</v>
      </c>
      <c r="B16" s="2" t="n">
        <v>3712</v>
      </c>
      <c r="C16" s="20" t="n">
        <f aca="false">B16/94772*100</f>
        <v>3.91676866585067</v>
      </c>
      <c r="D16" s="2" t="n">
        <v>406</v>
      </c>
      <c r="E16" s="20" t="n">
        <f aca="false">D16/29674*100</f>
        <v>1.36820111882456</v>
      </c>
      <c r="F16" s="2" t="n">
        <v>16</v>
      </c>
      <c r="G16" s="20" t="n">
        <f aca="false">F16/61125*100</f>
        <v>0.0261758691206544</v>
      </c>
      <c r="I16" s="3" t="s">
        <v>32</v>
      </c>
      <c r="J16" s="0" t="s">
        <v>50</v>
      </c>
      <c r="K16" s="0" t="s">
        <v>51</v>
      </c>
      <c r="L16" s="0" t="s">
        <v>49</v>
      </c>
    </row>
    <row r="17" customFormat="false" ht="12.8" hidden="false" customHeight="false" outlineLevel="0" collapsed="false">
      <c r="A17" s="2" t="s">
        <v>29</v>
      </c>
      <c r="B17" s="2" t="n">
        <v>20504</v>
      </c>
      <c r="C17" s="20" t="n">
        <f aca="false">B17/94772*100</f>
        <v>21.6350820917571</v>
      </c>
      <c r="D17" s="2" t="n">
        <v>7266</v>
      </c>
      <c r="E17" s="20" t="n">
        <f aca="false">D17/29674*100</f>
        <v>24.4860820920671</v>
      </c>
      <c r="F17" s="2" t="n">
        <v>14693</v>
      </c>
      <c r="G17" s="20" t="n">
        <f aca="false">F17/61125*100</f>
        <v>24.0376278118609</v>
      </c>
      <c r="I17" s="3" t="s">
        <v>34</v>
      </c>
      <c r="J17" s="0" t="s">
        <v>52</v>
      </c>
      <c r="K17" s="0" t="s">
        <v>50</v>
      </c>
      <c r="L17" s="0" t="s">
        <v>49</v>
      </c>
    </row>
    <row r="18" customFormat="false" ht="12.8" hidden="false" customHeight="false" outlineLevel="0" collapsed="false">
      <c r="A18" s="2" t="s">
        <v>31</v>
      </c>
      <c r="B18" s="2" t="n">
        <v>6834</v>
      </c>
      <c r="C18" s="20" t="n">
        <f aca="false">B18/94772*100</f>
        <v>7.21099058793737</v>
      </c>
      <c r="D18" s="2" t="n">
        <v>2689</v>
      </c>
      <c r="E18" s="20" t="n">
        <f aca="false">D18/29674*100</f>
        <v>9.06180494709173</v>
      </c>
      <c r="F18" s="2" t="n">
        <v>4229</v>
      </c>
      <c r="G18" s="20" t="n">
        <f aca="false">F18/61125*100</f>
        <v>6.91860940695296</v>
      </c>
      <c r="I18" s="3" t="s">
        <v>36</v>
      </c>
      <c r="J18" s="0" t="s">
        <v>50</v>
      </c>
      <c r="K18" s="0" t="s">
        <v>50</v>
      </c>
      <c r="L18" s="0" t="s">
        <v>53</v>
      </c>
    </row>
    <row r="19" customFormat="false" ht="12.8" hidden="false" customHeight="false" outlineLevel="0" collapsed="false">
      <c r="A19" s="2" t="s">
        <v>33</v>
      </c>
      <c r="B19" s="2" t="n">
        <v>2553</v>
      </c>
      <c r="C19" s="20" t="n">
        <f aca="false">B19/94772*100</f>
        <v>2.69383362174482</v>
      </c>
      <c r="D19" s="2" t="n">
        <v>1134</v>
      </c>
      <c r="E19" s="20" t="n">
        <f aca="false">D19/29674*100</f>
        <v>3.82152726292377</v>
      </c>
      <c r="F19" s="2" t="n">
        <v>356</v>
      </c>
      <c r="G19" s="20" t="n">
        <f aca="false">F19/61125*100</f>
        <v>0.58241308793456</v>
      </c>
      <c r="I19" s="3" t="s">
        <v>38</v>
      </c>
      <c r="J19" s="0" t="s">
        <v>54</v>
      </c>
      <c r="K19" s="0" t="s">
        <v>50</v>
      </c>
      <c r="L19" s="0" t="s">
        <v>49</v>
      </c>
    </row>
    <row r="20" customFormat="false" ht="12.8" hidden="false" customHeight="false" outlineLevel="0" collapsed="false">
      <c r="A20" s="2" t="s">
        <v>35</v>
      </c>
      <c r="B20" s="2" t="n">
        <v>3587</v>
      </c>
      <c r="C20" s="20" t="n">
        <f aca="false">B20/94772*100</f>
        <v>3.78487316929051</v>
      </c>
      <c r="D20" s="2" t="n">
        <v>223</v>
      </c>
      <c r="E20" s="20" t="n">
        <f aca="false">D20/29674*100</f>
        <v>0.751499629305116</v>
      </c>
      <c r="F20" s="2" t="n">
        <v>1266</v>
      </c>
      <c r="G20" s="20" t="n">
        <f aca="false">F20/61125*100</f>
        <v>2.07116564417178</v>
      </c>
    </row>
    <row r="21" customFormat="false" ht="12.8" hidden="false" customHeight="false" outlineLevel="0" collapsed="false">
      <c r="A21" s="2" t="s">
        <v>37</v>
      </c>
      <c r="B21" s="2" t="n">
        <v>10336</v>
      </c>
      <c r="C21" s="20" t="n">
        <f aca="false">B21/94772*100</f>
        <v>10.906174819567</v>
      </c>
      <c r="D21" s="2" t="n">
        <v>5262</v>
      </c>
      <c r="E21" s="20" t="n">
        <f aca="false">D21/29674*100</f>
        <v>17.732695288805</v>
      </c>
      <c r="F21" s="2" t="n">
        <v>9592</v>
      </c>
      <c r="G21" s="20" t="n">
        <f aca="false">F21/61125*100</f>
        <v>15.6924335378323</v>
      </c>
    </row>
    <row r="22" customFormat="false" ht="12.8" hidden="false" customHeight="false" outlineLevel="0" collapsed="false">
      <c r="A22" s="2" t="s">
        <v>39</v>
      </c>
      <c r="B22" s="2" t="n">
        <v>4862</v>
      </c>
      <c r="C22" s="20" t="n">
        <f aca="false">B22/94772*100</f>
        <v>5.1302072342042</v>
      </c>
      <c r="D22" s="2" t="n">
        <v>1501</v>
      </c>
      <c r="E22" s="20" t="n">
        <f aca="false">D22/29674*100</f>
        <v>5.0583001954573</v>
      </c>
      <c r="F22" s="2" t="n">
        <v>12413</v>
      </c>
      <c r="G22" s="20" t="n">
        <f aca="false">F22/61125*100</f>
        <v>20.3075664621677</v>
      </c>
    </row>
    <row r="23" customFormat="false" ht="12.8" hidden="false" customHeight="false" outlineLevel="0" collapsed="false">
      <c r="A23" s="17" t="s">
        <v>17</v>
      </c>
      <c r="B23" s="17" t="n">
        <v>94772</v>
      </c>
      <c r="C23" s="18" t="n">
        <v>51.07</v>
      </c>
      <c r="D23" s="17" t="n">
        <v>29674</v>
      </c>
      <c r="E23" s="18" t="n">
        <v>15.99</v>
      </c>
      <c r="F23" s="17" t="n">
        <v>61125</v>
      </c>
      <c r="G23" s="18" t="n">
        <v>32.94</v>
      </c>
    </row>
    <row r="25" customFormat="false" ht="12.8" hidden="false" customHeight="false" outlineLevel="0" collapsed="false">
      <c r="A25" s="21" t="s">
        <v>55</v>
      </c>
      <c r="B25" s="21"/>
      <c r="C25" s="21"/>
      <c r="D25" s="21"/>
      <c r="E25" s="21"/>
      <c r="F25" s="21"/>
      <c r="G25" s="21"/>
    </row>
    <row r="26" customFormat="false" ht="12.8" hidden="false" customHeight="false" outlineLevel="0" collapsed="false">
      <c r="A26" s="22" t="s">
        <v>5</v>
      </c>
      <c r="B26" s="23" t="s">
        <v>21</v>
      </c>
      <c r="C26" s="23" t="s">
        <v>7</v>
      </c>
      <c r="D26" s="23" t="s">
        <v>22</v>
      </c>
      <c r="E26" s="23" t="s">
        <v>7</v>
      </c>
      <c r="F26" s="23" t="s">
        <v>23</v>
      </c>
      <c r="G26" s="23" t="s">
        <v>7</v>
      </c>
    </row>
    <row r="27" customFormat="false" ht="12.8" hidden="false" customHeight="false" outlineLevel="0" collapsed="false">
      <c r="A27" s="24" t="s">
        <v>25</v>
      </c>
      <c r="B27" s="24" t="n">
        <v>303818</v>
      </c>
      <c r="C27" s="25" t="n">
        <f aca="false">B27/694577*100</f>
        <v>43.7414426334301</v>
      </c>
      <c r="D27" s="24" t="n">
        <v>51306</v>
      </c>
      <c r="E27" s="25" t="n">
        <f aca="false">D27/167230*100</f>
        <v>30.6799019314716</v>
      </c>
      <c r="F27" s="24" t="n">
        <v>90963</v>
      </c>
      <c r="G27" s="25" t="n">
        <f aca="false">F27/433247*100</f>
        <v>20.9956445168691</v>
      </c>
    </row>
    <row r="28" customFormat="false" ht="12.8" hidden="false" customHeight="false" outlineLevel="0" collapsed="false">
      <c r="A28" s="24" t="s">
        <v>27</v>
      </c>
      <c r="B28" s="24" t="n">
        <v>38634</v>
      </c>
      <c r="C28" s="25" t="n">
        <f aca="false">B28/694577*100</f>
        <v>5.5622342807205</v>
      </c>
      <c r="D28" s="24" t="n">
        <v>2116</v>
      </c>
      <c r="E28" s="25" t="n">
        <f aca="false">D28/167230*100</f>
        <v>1.26532320755845</v>
      </c>
      <c r="F28" s="24" t="n">
        <v>38</v>
      </c>
      <c r="G28" s="25" t="n">
        <f aca="false">F28/433247*100</f>
        <v>0.00877097821796804</v>
      </c>
    </row>
    <row r="29" customFormat="false" ht="12.8" hidden="false" customHeight="false" outlineLevel="0" collapsed="false">
      <c r="A29" s="24" t="s">
        <v>29</v>
      </c>
      <c r="B29" s="24" t="n">
        <v>134902</v>
      </c>
      <c r="C29" s="25" t="n">
        <f aca="false">B29/694577*100</f>
        <v>19.4221806941491</v>
      </c>
      <c r="D29" s="24" t="n">
        <v>36598</v>
      </c>
      <c r="E29" s="25" t="n">
        <f aca="false">D29/167230*100</f>
        <v>21.8848292770436</v>
      </c>
      <c r="F29" s="24" t="n">
        <v>80545</v>
      </c>
      <c r="G29" s="25" t="n">
        <f aca="false">F29/433247*100</f>
        <v>18.5910115938483</v>
      </c>
    </row>
    <row r="30" customFormat="false" ht="12.8" hidden="false" customHeight="false" outlineLevel="0" collapsed="false">
      <c r="A30" s="24" t="s">
        <v>31</v>
      </c>
      <c r="B30" s="24" t="n">
        <v>58747</v>
      </c>
      <c r="C30" s="25" t="n">
        <f aca="false">B30/694577*100</f>
        <v>8.45795354582717</v>
      </c>
      <c r="D30" s="24" t="n">
        <v>10048</v>
      </c>
      <c r="E30" s="25" t="n">
        <f aca="false">D30/167230*100</f>
        <v>6.008491299408</v>
      </c>
      <c r="F30" s="24" t="n">
        <v>22409</v>
      </c>
      <c r="G30" s="25" t="n">
        <f aca="false">F30/433247*100</f>
        <v>5.17233818122226</v>
      </c>
    </row>
    <row r="31" customFormat="false" ht="12.8" hidden="false" customHeight="false" outlineLevel="0" collapsed="false">
      <c r="A31" s="24" t="s">
        <v>33</v>
      </c>
      <c r="B31" s="24" t="n">
        <v>5547</v>
      </c>
      <c r="C31" s="25" t="n">
        <f aca="false">B31/694577*100</f>
        <v>0.798615560261857</v>
      </c>
      <c r="D31" s="24" t="n">
        <v>643</v>
      </c>
      <c r="E31" s="25" t="n">
        <f aca="false">D31/167230*100</f>
        <v>0.38450038868624</v>
      </c>
      <c r="F31" s="24" t="n">
        <v>1109</v>
      </c>
      <c r="G31" s="25" t="n">
        <f aca="false">F31/433247*100</f>
        <v>0.255974074834909</v>
      </c>
    </row>
    <row r="32" customFormat="false" ht="12.8" hidden="false" customHeight="false" outlineLevel="0" collapsed="false">
      <c r="A32" s="24" t="s">
        <v>35</v>
      </c>
      <c r="B32" s="24" t="n">
        <v>26098</v>
      </c>
      <c r="C32" s="25" t="n">
        <f aca="false">B32/694577*100</f>
        <v>3.75739478848277</v>
      </c>
      <c r="D32" s="24" t="n">
        <v>612</v>
      </c>
      <c r="E32" s="25" t="n">
        <f aca="false">D32/167230*100</f>
        <v>0.36596304490821</v>
      </c>
      <c r="F32" s="24" t="n">
        <v>9660</v>
      </c>
      <c r="G32" s="25" t="n">
        <f aca="false">F32/433247*100</f>
        <v>2.22967498909398</v>
      </c>
    </row>
    <row r="33" customFormat="false" ht="12.8" hidden="false" customHeight="false" outlineLevel="0" collapsed="false">
      <c r="A33" s="24" t="s">
        <v>37</v>
      </c>
      <c r="B33" s="24" t="n">
        <v>88185</v>
      </c>
      <c r="C33" s="25" t="n">
        <f aca="false">B33/694577*100</f>
        <v>12.6962165461857</v>
      </c>
      <c r="D33" s="24" t="n">
        <v>57480</v>
      </c>
      <c r="E33" s="25" t="n">
        <f aca="false">D33/167230*100</f>
        <v>34.3718232374574</v>
      </c>
      <c r="F33" s="24" t="n">
        <v>86015</v>
      </c>
      <c r="G33" s="25" t="n">
        <f aca="false">F33/433247*100</f>
        <v>19.8535708268032</v>
      </c>
    </row>
    <row r="34" customFormat="false" ht="12.8" hidden="false" customHeight="false" outlineLevel="0" collapsed="false">
      <c r="A34" s="24" t="s">
        <v>39</v>
      </c>
      <c r="B34" s="24" t="n">
        <v>38646</v>
      </c>
      <c r="C34" s="25" t="n">
        <f aca="false">B34/694577*100</f>
        <v>5.5639619509428</v>
      </c>
      <c r="D34" s="24" t="n">
        <v>8427</v>
      </c>
      <c r="E34" s="25" t="n">
        <f aca="false">D34/167230*100</f>
        <v>5.03916761346648</v>
      </c>
      <c r="F34" s="24" t="n">
        <v>142508</v>
      </c>
      <c r="G34" s="25" t="n">
        <f aca="false">F34/433247*100</f>
        <v>32.8930148391102</v>
      </c>
    </row>
    <row r="35" customFormat="false" ht="12.8" hidden="false" customHeight="false" outlineLevel="0" collapsed="false">
      <c r="A35" s="17" t="s">
        <v>17</v>
      </c>
      <c r="B35" s="17" t="n">
        <f aca="false">SUM(B27:B34)</f>
        <v>694577</v>
      </c>
      <c r="C35" s="17" t="n">
        <f aca="false">B35/(B35+D35+F35)*100</f>
        <v>53.6330531390969</v>
      </c>
      <c r="D35" s="17" t="n">
        <f aca="false">SUM(D27:D34)</f>
        <v>167230</v>
      </c>
      <c r="E35" s="17" t="n">
        <f aca="false">D35/(B35+D35+F35)*100</f>
        <v>12.9129750574107</v>
      </c>
      <c r="F35" s="17" t="n">
        <f aca="false">SUM(F27:F34)</f>
        <v>433247</v>
      </c>
      <c r="G35" s="17" t="n">
        <f aca="false">F35/(B35+D35+F35)*100</f>
        <v>33.4539718034924</v>
      </c>
    </row>
    <row r="37" customFormat="false" ht="12.8" hidden="false" customHeight="false" outlineLevel="0" collapsed="false">
      <c r="A37" s="26" t="s">
        <v>56</v>
      </c>
      <c r="B37" s="26"/>
      <c r="C37" s="26"/>
      <c r="D37" s="26"/>
      <c r="E37" s="26"/>
      <c r="F37" s="26"/>
      <c r="G37" s="26"/>
    </row>
    <row r="38" customFormat="false" ht="12.8" hidden="false" customHeight="false" outlineLevel="0" collapsed="false">
      <c r="A38" s="27" t="s">
        <v>5</v>
      </c>
      <c r="B38" s="28" t="s">
        <v>21</v>
      </c>
      <c r="C38" s="28" t="s">
        <v>7</v>
      </c>
      <c r="D38" s="28" t="s">
        <v>22</v>
      </c>
      <c r="E38" s="28" t="s">
        <v>7</v>
      </c>
      <c r="F38" s="28" t="s">
        <v>23</v>
      </c>
      <c r="G38" s="28" t="s">
        <v>7</v>
      </c>
    </row>
    <row r="39" customFormat="false" ht="12.8" hidden="false" customHeight="false" outlineLevel="0" collapsed="false">
      <c r="A39" s="29" t="s">
        <v>25</v>
      </c>
      <c r="B39" s="29" t="n">
        <v>94462</v>
      </c>
      <c r="C39" s="30" t="n">
        <f aca="false">B39/219948*100</f>
        <v>42.9474239365668</v>
      </c>
      <c r="D39" s="29" t="n">
        <v>26731</v>
      </c>
      <c r="E39" s="30" t="n">
        <f aca="false">D39/81350*100</f>
        <v>32.859250153657</v>
      </c>
      <c r="F39" s="29" t="n">
        <v>46173</v>
      </c>
      <c r="G39" s="30" t="n">
        <f aca="false">F39/202065*100</f>
        <v>22.8505678865712</v>
      </c>
    </row>
    <row r="40" customFormat="false" ht="12.8" hidden="false" customHeight="false" outlineLevel="0" collapsed="false">
      <c r="A40" s="29" t="s">
        <v>27</v>
      </c>
      <c r="B40" s="29" t="n">
        <v>6852</v>
      </c>
      <c r="C40" s="30" t="n">
        <f aca="false">B40/219948*100</f>
        <v>3.11528179387855</v>
      </c>
      <c r="D40" s="29" t="n">
        <v>659</v>
      </c>
      <c r="E40" s="30" t="n">
        <f aca="false">D40/81350*100</f>
        <v>0.810079901659496</v>
      </c>
      <c r="F40" s="29" t="n">
        <v>41</v>
      </c>
      <c r="G40" s="30" t="n">
        <f aca="false">F40/202065*100</f>
        <v>0.0202905005814961</v>
      </c>
    </row>
    <row r="41" customFormat="false" ht="12.8" hidden="false" customHeight="false" outlineLevel="0" collapsed="false">
      <c r="A41" s="29" t="s">
        <v>29</v>
      </c>
      <c r="B41" s="29" t="n">
        <v>32463</v>
      </c>
      <c r="C41" s="30" t="n">
        <f aca="false">B41/219948*100</f>
        <v>14.7593976758143</v>
      </c>
      <c r="D41" s="29" t="n">
        <v>11389</v>
      </c>
      <c r="E41" s="30" t="n">
        <f aca="false">D41/81350*100</f>
        <v>14</v>
      </c>
      <c r="F41" s="29" t="n">
        <v>26225</v>
      </c>
      <c r="G41" s="30" t="n">
        <f aca="false">F41/202065*100</f>
        <v>12.9784970182862</v>
      </c>
    </row>
    <row r="42" customFormat="false" ht="12.8" hidden="false" customHeight="false" outlineLevel="0" collapsed="false">
      <c r="A42" s="29" t="s">
        <v>31</v>
      </c>
      <c r="B42" s="29" t="n">
        <v>17770</v>
      </c>
      <c r="C42" s="30" t="n">
        <f aca="false">B42/219948*100</f>
        <v>8.07918235219234</v>
      </c>
      <c r="D42" s="29" t="n">
        <v>4092</v>
      </c>
      <c r="E42" s="30" t="n">
        <f aca="false">D42/81350*100</f>
        <v>5.03011677934849</v>
      </c>
      <c r="F42" s="29" t="n">
        <v>9863</v>
      </c>
      <c r="G42" s="30" t="n">
        <f aca="false">F42/202065*100</f>
        <v>4.88110261549501</v>
      </c>
    </row>
    <row r="43" customFormat="false" ht="12.8" hidden="false" customHeight="false" outlineLevel="0" collapsed="false">
      <c r="A43" s="29" t="s">
        <v>33</v>
      </c>
      <c r="B43" s="29" t="n">
        <v>3554</v>
      </c>
      <c r="C43" s="30" t="n">
        <f aca="false">B43/219948*100</f>
        <v>1.61583647043847</v>
      </c>
      <c r="D43" s="29" t="n">
        <v>537</v>
      </c>
      <c r="E43" s="30" t="n">
        <f aca="false">D43/81350*100</f>
        <v>0.660110633066994</v>
      </c>
      <c r="F43" s="29" t="n">
        <v>511</v>
      </c>
      <c r="G43" s="30" t="n">
        <f aca="false">F43/202065*100</f>
        <v>0.252888921881573</v>
      </c>
    </row>
    <row r="44" customFormat="false" ht="12.8" hidden="false" customHeight="false" outlineLevel="0" collapsed="false">
      <c r="A44" s="29" t="s">
        <v>35</v>
      </c>
      <c r="B44" s="29" t="n">
        <v>9231</v>
      </c>
      <c r="C44" s="30" t="n">
        <f aca="false">B44/219948*100</f>
        <v>4.19690108571117</v>
      </c>
      <c r="D44" s="29" t="n">
        <v>508</v>
      </c>
      <c r="E44" s="30" t="n">
        <f aca="false">D44/81350*100</f>
        <v>0.624462200368777</v>
      </c>
      <c r="F44" s="29" t="n">
        <v>5327</v>
      </c>
      <c r="G44" s="30" t="n">
        <f aca="false">F44/202065*100</f>
        <v>2.63628040482023</v>
      </c>
    </row>
    <row r="45" customFormat="false" ht="12.8" hidden="false" customHeight="false" outlineLevel="0" collapsed="false">
      <c r="A45" s="29" t="s">
        <v>37</v>
      </c>
      <c r="B45" s="29" t="n">
        <v>37765</v>
      </c>
      <c r="C45" s="30" t="n">
        <f aca="false">B45/219948*100</f>
        <v>17.1699674468511</v>
      </c>
      <c r="D45" s="29" t="n">
        <v>33153</v>
      </c>
      <c r="E45" s="30" t="n">
        <f aca="false">D45/81350*100</f>
        <v>40.7535341118623</v>
      </c>
      <c r="F45" s="29" t="n">
        <v>42226</v>
      </c>
      <c r="G45" s="30" t="n">
        <f aca="false">F45/202065*100</f>
        <v>20.8972360379086</v>
      </c>
    </row>
    <row r="46" customFormat="false" ht="12.8" hidden="false" customHeight="false" outlineLevel="0" collapsed="false">
      <c r="A46" s="29" t="s">
        <v>39</v>
      </c>
      <c r="B46" s="29" t="n">
        <v>17851</v>
      </c>
      <c r="C46" s="30" t="n">
        <f aca="false">B46/219948*100</f>
        <v>8.11600923854729</v>
      </c>
      <c r="D46" s="29" t="n">
        <v>4281</v>
      </c>
      <c r="E46" s="30" t="n">
        <f aca="false">D46/81350*100</f>
        <v>5.26244622003688</v>
      </c>
      <c r="F46" s="29" t="n">
        <v>71699</v>
      </c>
      <c r="G46" s="30" t="n">
        <f aca="false">F46/202065*100</f>
        <v>35.4831366144557</v>
      </c>
    </row>
    <row r="47" customFormat="false" ht="12.8" hidden="false" customHeight="false" outlineLevel="0" collapsed="false">
      <c r="A47" s="17" t="s">
        <v>17</v>
      </c>
      <c r="B47" s="17" t="n">
        <f aca="false">SUM(B39:B46)</f>
        <v>219948</v>
      </c>
      <c r="C47" s="17" t="n">
        <f aca="false">B47/(B47+D47+F47)*100</f>
        <v>43.6957027036155</v>
      </c>
      <c r="D47" s="17" t="n">
        <f aca="false">SUM(D39:D46)</f>
        <v>81350</v>
      </c>
      <c r="E47" s="17" t="n">
        <f aca="false">D47/(B47+D47+F47)*100</f>
        <v>16.1612991022383</v>
      </c>
      <c r="F47" s="17" t="n">
        <f aca="false">SUM(F39:F46)</f>
        <v>202065</v>
      </c>
      <c r="G47" s="17" t="n">
        <f aca="false">F47/(B47+D47+F47)*100</f>
        <v>40.1429981941462</v>
      </c>
    </row>
    <row r="49" customFormat="false" ht="12.8" hidden="false" customHeight="false" outlineLevel="0" collapsed="false">
      <c r="A49" s="31" t="s">
        <v>57</v>
      </c>
      <c r="B49" s="31"/>
      <c r="C49" s="31"/>
      <c r="D49" s="31"/>
      <c r="E49" s="31"/>
      <c r="F49" s="31"/>
      <c r="G49" s="31"/>
    </row>
    <row r="50" customFormat="false" ht="12.8" hidden="false" customHeight="false" outlineLevel="0" collapsed="false">
      <c r="A50" s="32" t="s">
        <v>5</v>
      </c>
      <c r="B50" s="33" t="s">
        <v>21</v>
      </c>
      <c r="C50" s="33" t="s">
        <v>7</v>
      </c>
      <c r="D50" s="33" t="s">
        <v>22</v>
      </c>
      <c r="E50" s="33" t="s">
        <v>7</v>
      </c>
      <c r="F50" s="33" t="s">
        <v>23</v>
      </c>
      <c r="G50" s="33" t="s">
        <v>7</v>
      </c>
    </row>
    <row r="51" customFormat="false" ht="12.8" hidden="false" customHeight="false" outlineLevel="0" collapsed="false">
      <c r="A51" s="34" t="s">
        <v>25</v>
      </c>
      <c r="B51" s="34" t="n">
        <v>159119</v>
      </c>
      <c r="C51" s="35" t="n">
        <f aca="false">B51/374320*100</f>
        <v>42.5088159863219</v>
      </c>
      <c r="D51" s="34" t="n">
        <v>49940</v>
      </c>
      <c r="E51" s="35" t="n">
        <f aca="false">D51/139833*100</f>
        <v>35.7140303075812</v>
      </c>
      <c r="F51" s="34" t="n">
        <v>80768</v>
      </c>
      <c r="G51" s="35" t="n">
        <f aca="false">F51/335749*100</f>
        <v>24.0560656919306</v>
      </c>
    </row>
    <row r="52" customFormat="false" ht="12.8" hidden="false" customHeight="false" outlineLevel="0" collapsed="false">
      <c r="A52" s="34" t="s">
        <v>27</v>
      </c>
      <c r="B52" s="34" t="n">
        <v>16940</v>
      </c>
      <c r="C52" s="35" t="n">
        <f aca="false">B52/374320*100</f>
        <v>4.52553964522334</v>
      </c>
      <c r="D52" s="34" t="n">
        <v>3408</v>
      </c>
      <c r="E52" s="35" t="n">
        <f aca="false">D52/139833*100</f>
        <v>2.43719293728948</v>
      </c>
      <c r="F52" s="34" t="n">
        <v>34</v>
      </c>
      <c r="G52" s="35" t="n">
        <f aca="false">F52/335749*100</f>
        <v>0.0101266124396499</v>
      </c>
    </row>
    <row r="53" customFormat="false" ht="12.8" hidden="false" customHeight="false" outlineLevel="0" collapsed="false">
      <c r="A53" s="34" t="s">
        <v>29</v>
      </c>
      <c r="B53" s="34" t="n">
        <v>59388</v>
      </c>
      <c r="C53" s="35" t="n">
        <f aca="false">B53/374320*100</f>
        <v>15.8655695661466</v>
      </c>
      <c r="D53" s="34" t="n">
        <v>20344</v>
      </c>
      <c r="E53" s="35" t="n">
        <f aca="false">D53/139833*100</f>
        <v>14.5487831913783</v>
      </c>
      <c r="F53" s="34" t="n">
        <v>49190</v>
      </c>
      <c r="G53" s="35" t="n">
        <f aca="false">F53/335749*100</f>
        <v>14.6508254678346</v>
      </c>
    </row>
    <row r="54" customFormat="false" ht="12.8" hidden="false" customHeight="false" outlineLevel="0" collapsed="false">
      <c r="A54" s="34" t="s">
        <v>31</v>
      </c>
      <c r="B54" s="34" t="n">
        <v>32195</v>
      </c>
      <c r="C54" s="35" t="n">
        <f aca="false">B54/374320*100</f>
        <v>8.60092968583031</v>
      </c>
      <c r="D54" s="34" t="n">
        <v>8543</v>
      </c>
      <c r="E54" s="35" t="n">
        <f aca="false">D54/139833*100</f>
        <v>6.10943053499532</v>
      </c>
      <c r="F54" s="34" t="n">
        <v>16435</v>
      </c>
      <c r="G54" s="35" t="n">
        <f aca="false">F54/335749*100</f>
        <v>4.89502574840134</v>
      </c>
    </row>
    <row r="55" customFormat="false" ht="12.8" hidden="false" customHeight="false" outlineLevel="0" collapsed="false">
      <c r="A55" s="34" t="s">
        <v>33</v>
      </c>
      <c r="B55" s="34" t="n">
        <v>6133</v>
      </c>
      <c r="C55" s="35" t="n">
        <f aca="false">B55/374320*100</f>
        <v>1.63843770036333</v>
      </c>
      <c r="D55" s="34" t="n">
        <v>1111</v>
      </c>
      <c r="E55" s="35" t="n">
        <f aca="false">D55/139833*100</f>
        <v>0.794519176446189</v>
      </c>
      <c r="F55" s="34" t="n">
        <v>795</v>
      </c>
      <c r="G55" s="35" t="n">
        <f aca="false">F55/335749*100</f>
        <v>0.236784026162401</v>
      </c>
    </row>
    <row r="56" customFormat="false" ht="12.8" hidden="false" customHeight="false" outlineLevel="0" collapsed="false">
      <c r="A56" s="34" t="s">
        <v>35</v>
      </c>
      <c r="B56" s="34" t="n">
        <v>14119</v>
      </c>
      <c r="C56" s="35" t="n">
        <f aca="false">B56/374320*100</f>
        <v>3.77190639025433</v>
      </c>
      <c r="D56" s="34" t="n">
        <v>581</v>
      </c>
      <c r="E56" s="35" t="n">
        <f aca="false">D56/139833*100</f>
        <v>0.415495626926405</v>
      </c>
      <c r="F56" s="34" t="n">
        <v>7411</v>
      </c>
      <c r="G56" s="35" t="n">
        <f aca="false">F56/335749*100</f>
        <v>2.20730367030133</v>
      </c>
    </row>
    <row r="57" customFormat="false" ht="12.8" hidden="false" customHeight="false" outlineLevel="0" collapsed="false">
      <c r="A57" s="34" t="s">
        <v>37</v>
      </c>
      <c r="B57" s="34" t="n">
        <v>59100</v>
      </c>
      <c r="C57" s="35" t="n">
        <f aca="false">B57/374320*100</f>
        <v>15.7886300491558</v>
      </c>
      <c r="D57" s="34" t="n">
        <v>49047</v>
      </c>
      <c r="E57" s="35" t="n">
        <f aca="false">D57/139833*100</f>
        <v>35.075411383579</v>
      </c>
      <c r="F57" s="34" t="n">
        <v>70644</v>
      </c>
      <c r="G57" s="35" t="n">
        <f aca="false">F57/335749*100</f>
        <v>21.0407179172537</v>
      </c>
    </row>
    <row r="58" customFormat="false" ht="12.8" hidden="false" customHeight="false" outlineLevel="0" collapsed="false">
      <c r="A58" s="34" t="s">
        <v>39</v>
      </c>
      <c r="B58" s="34" t="n">
        <v>27326</v>
      </c>
      <c r="C58" s="35" t="n">
        <f aca="false">B58/374320*100</f>
        <v>7.30017097670442</v>
      </c>
      <c r="D58" s="34" t="n">
        <v>6859</v>
      </c>
      <c r="E58" s="35" t="n">
        <f aca="false">D58/139833*100</f>
        <v>4.90513684180415</v>
      </c>
      <c r="F58" s="34" t="n">
        <v>110472</v>
      </c>
      <c r="G58" s="35" t="n">
        <f aca="false">F58/335749*100</f>
        <v>32.9031508656764</v>
      </c>
    </row>
    <row r="59" customFormat="false" ht="12.8" hidden="false" customHeight="false" outlineLevel="0" collapsed="false">
      <c r="A59" s="17" t="s">
        <v>17</v>
      </c>
      <c r="B59" s="17" t="n">
        <f aca="false">SUM(B51:B58)</f>
        <v>374320</v>
      </c>
      <c r="C59" s="17" t="n">
        <f aca="false">B59/(B59+D59+F59)*100</f>
        <v>44.0427249259326</v>
      </c>
      <c r="D59" s="17" t="n">
        <f aca="false">SUM(D51:D58)</f>
        <v>139833</v>
      </c>
      <c r="E59" s="17" t="n">
        <f aca="false">D59/(B59+D59+F59)*100</f>
        <v>16.4528380919212</v>
      </c>
      <c r="F59" s="17" t="n">
        <f aca="false">SUM(F51:F58)</f>
        <v>335749</v>
      </c>
      <c r="G59" s="17" t="n">
        <f aca="false">F59/(B59+D59+F59)*100</f>
        <v>39.5044369821462</v>
      </c>
    </row>
    <row r="61" customFormat="false" ht="12.8" hidden="false" customHeight="false" outlineLevel="0" collapsed="false">
      <c r="A61" s="36" t="s">
        <v>58</v>
      </c>
      <c r="B61" s="36"/>
      <c r="C61" s="36"/>
      <c r="D61" s="36"/>
      <c r="E61" s="36"/>
      <c r="F61" s="36"/>
      <c r="G61" s="36"/>
    </row>
    <row r="62" customFormat="false" ht="12.8" hidden="false" customHeight="false" outlineLevel="0" collapsed="false">
      <c r="A62" s="37" t="s">
        <v>5</v>
      </c>
      <c r="B62" s="38" t="s">
        <v>21</v>
      </c>
      <c r="C62" s="38" t="s">
        <v>7</v>
      </c>
      <c r="D62" s="38" t="s">
        <v>22</v>
      </c>
      <c r="E62" s="38" t="s">
        <v>7</v>
      </c>
      <c r="F62" s="38" t="s">
        <v>23</v>
      </c>
      <c r="G62" s="38" t="s">
        <v>7</v>
      </c>
    </row>
    <row r="63" customFormat="false" ht="12.8" hidden="false" customHeight="false" outlineLevel="0" collapsed="false">
      <c r="A63" s="39" t="s">
        <v>25</v>
      </c>
      <c r="B63" s="39" t="n">
        <v>36949</v>
      </c>
      <c r="C63" s="40" t="n">
        <f aca="false">B63/82667*100</f>
        <v>44.6961907411664</v>
      </c>
      <c r="D63" s="39" t="n">
        <v>24810</v>
      </c>
      <c r="E63" s="40" t="n">
        <f aca="false">D63/50053*100</f>
        <v>49.5674584939964</v>
      </c>
      <c r="F63" s="39" t="n">
        <v>40772</v>
      </c>
      <c r="G63" s="40" t="n">
        <f aca="false">F63/119782*100</f>
        <v>34.0385032809604</v>
      </c>
    </row>
    <row r="64" customFormat="false" ht="12.8" hidden="false" customHeight="false" outlineLevel="0" collapsed="false">
      <c r="A64" s="39" t="s">
        <v>27</v>
      </c>
      <c r="B64" s="39" t="n">
        <v>1397</v>
      </c>
      <c r="C64" s="40" t="n">
        <f aca="false">B64/82667*100</f>
        <v>1.68991254067524</v>
      </c>
      <c r="D64" s="39" t="n">
        <v>500</v>
      </c>
      <c r="E64" s="40" t="n">
        <f aca="false">D64/50053*100</f>
        <v>0.998941122410245</v>
      </c>
      <c r="F64" s="39" t="n">
        <v>7</v>
      </c>
      <c r="G64" s="40" t="n">
        <f aca="false">F64/119782*100</f>
        <v>0.00584394984221335</v>
      </c>
    </row>
    <row r="65" customFormat="false" ht="12.8" hidden="false" customHeight="false" outlineLevel="0" collapsed="false">
      <c r="A65" s="39" t="s">
        <v>29</v>
      </c>
      <c r="B65" s="39" t="n">
        <v>11502</v>
      </c>
      <c r="C65" s="40" t="n">
        <f aca="false">B65/82667*100</f>
        <v>13.9136535739775</v>
      </c>
      <c r="D65" s="39" t="n">
        <v>4116</v>
      </c>
      <c r="E65" s="40" t="n">
        <f aca="false">D65/50053*100</f>
        <v>8.22328331968114</v>
      </c>
      <c r="F65" s="39" t="n">
        <v>12824</v>
      </c>
      <c r="G65" s="40" t="n">
        <f aca="false">F65/119782*100</f>
        <v>10.7061161109349</v>
      </c>
    </row>
    <row r="66" customFormat="false" ht="12.8" hidden="false" customHeight="false" outlineLevel="0" collapsed="false">
      <c r="A66" s="39" t="s">
        <v>31</v>
      </c>
      <c r="B66" s="39" t="n">
        <v>7912</v>
      </c>
      <c r="C66" s="40" t="n">
        <f aca="false">B66/82667*100</f>
        <v>9.57092914947924</v>
      </c>
      <c r="D66" s="39" t="n">
        <v>1613</v>
      </c>
      <c r="E66" s="40" t="n">
        <f aca="false">D66/50053*100</f>
        <v>3.22258406089545</v>
      </c>
      <c r="F66" s="39" t="n">
        <v>5325</v>
      </c>
      <c r="G66" s="40" t="n">
        <f aca="false">F66/119782*100</f>
        <v>4.44557612996945</v>
      </c>
    </row>
    <row r="67" customFormat="false" ht="12.8" hidden="false" customHeight="false" outlineLevel="0" collapsed="false">
      <c r="A67" s="39" t="s">
        <v>33</v>
      </c>
      <c r="B67" s="39" t="n">
        <v>458</v>
      </c>
      <c r="C67" s="40" t="n">
        <f aca="false">B67/82667*100</f>
        <v>0.554030024072484</v>
      </c>
      <c r="D67" s="39" t="n">
        <v>293</v>
      </c>
      <c r="E67" s="40" t="n">
        <f aca="false">D67/50053*100</f>
        <v>0.585379497732404</v>
      </c>
      <c r="F67" s="39" t="n">
        <v>160</v>
      </c>
      <c r="G67" s="40" t="n">
        <f aca="false">F67/119782*100</f>
        <v>0.133575996393448</v>
      </c>
    </row>
    <row r="68" customFormat="false" ht="12.8" hidden="false" customHeight="false" outlineLevel="0" collapsed="false">
      <c r="A68" s="39" t="s">
        <v>35</v>
      </c>
      <c r="B68" s="39" t="n">
        <v>2017</v>
      </c>
      <c r="C68" s="40" t="n">
        <f aca="false">B68/82667*100</f>
        <v>2.43990951649388</v>
      </c>
      <c r="D68" s="39" t="n">
        <v>117</v>
      </c>
      <c r="E68" s="40" t="n">
        <f aca="false">D68/50053*100</f>
        <v>0.233752222643997</v>
      </c>
      <c r="F68" s="39" t="n">
        <v>1732</v>
      </c>
      <c r="G68" s="40" t="n">
        <f aca="false">F68/119782*100</f>
        <v>1.44596016095908</v>
      </c>
    </row>
    <row r="69" customFormat="false" ht="12.8" hidden="false" customHeight="false" outlineLevel="0" collapsed="false">
      <c r="A69" s="39" t="s">
        <v>37</v>
      </c>
      <c r="B69" s="39" t="n">
        <v>15196</v>
      </c>
      <c r="C69" s="40" t="n">
        <f aca="false">B69/82667*100</f>
        <v>18.3821839428067</v>
      </c>
      <c r="D69" s="39" t="n">
        <v>16995</v>
      </c>
      <c r="E69" s="40" t="n">
        <f aca="false">D69/50053*100</f>
        <v>33.9540087507242</v>
      </c>
      <c r="F69" s="39" t="n">
        <v>20133</v>
      </c>
      <c r="G69" s="40" t="n">
        <f aca="false">F69/119782*100</f>
        <v>16.8080345961831</v>
      </c>
    </row>
    <row r="70" customFormat="false" ht="12.8" hidden="false" customHeight="false" outlineLevel="0" collapsed="false">
      <c r="A70" s="39" t="s">
        <v>39</v>
      </c>
      <c r="B70" s="39" t="n">
        <v>7236</v>
      </c>
      <c r="C70" s="40" t="n">
        <f aca="false">B70/82667*100</f>
        <v>8.75319051132858</v>
      </c>
      <c r="D70" s="39" t="n">
        <v>1609</v>
      </c>
      <c r="E70" s="40" t="n">
        <f aca="false">D70/50053*100</f>
        <v>3.21459253191617</v>
      </c>
      <c r="F70" s="39" t="n">
        <v>38829</v>
      </c>
      <c r="G70" s="40" t="n">
        <f aca="false">F70/119782*100</f>
        <v>32.4163897747575</v>
      </c>
    </row>
    <row r="71" customFormat="false" ht="12.8" hidden="false" customHeight="false" outlineLevel="0" collapsed="false">
      <c r="A71" s="17" t="s">
        <v>17</v>
      </c>
      <c r="B71" s="17" t="n">
        <f aca="false">SUM(B63:B70)</f>
        <v>82667</v>
      </c>
      <c r="C71" s="17" t="n">
        <f aca="false">B71/(B71+D71+F71)*100</f>
        <v>32.7391466206208</v>
      </c>
      <c r="D71" s="17" t="n">
        <f aca="false">SUM(D63:D70)</f>
        <v>50053</v>
      </c>
      <c r="E71" s="17" t="n">
        <f aca="false">D71/(B71+D71+F71)*100</f>
        <v>19.8228132846472</v>
      </c>
      <c r="F71" s="17" t="n">
        <f aca="false">SUM(F63:F70)</f>
        <v>119782</v>
      </c>
      <c r="G71" s="17" t="n">
        <f aca="false">F71/(B71+D71+F71)*100</f>
        <v>47.4380400947319</v>
      </c>
    </row>
    <row r="73" customFormat="false" ht="12.8" hidden="false" customHeight="false" outlineLevel="0" collapsed="false">
      <c r="A73" s="41" t="s">
        <v>59</v>
      </c>
      <c r="B73" s="41"/>
      <c r="C73" s="41"/>
      <c r="D73" s="41"/>
      <c r="E73" s="41"/>
      <c r="F73" s="41"/>
      <c r="G73" s="41"/>
    </row>
    <row r="74" customFormat="false" ht="12.8" hidden="false" customHeight="false" outlineLevel="0" collapsed="false">
      <c r="A74" s="42" t="s">
        <v>5</v>
      </c>
      <c r="B74" s="43" t="s">
        <v>21</v>
      </c>
      <c r="C74" s="43" t="s">
        <v>7</v>
      </c>
      <c r="D74" s="43" t="s">
        <v>22</v>
      </c>
      <c r="E74" s="43" t="s">
        <v>7</v>
      </c>
      <c r="F74" s="43" t="s">
        <v>23</v>
      </c>
      <c r="G74" s="43" t="s">
        <v>7</v>
      </c>
    </row>
    <row r="75" customFormat="false" ht="12.8" hidden="false" customHeight="false" outlineLevel="0" collapsed="false">
      <c r="A75" s="44" t="s">
        <v>25</v>
      </c>
      <c r="B75" s="44" t="n">
        <v>7003</v>
      </c>
      <c r="C75" s="45" t="n">
        <f aca="false">B75/19925*100</f>
        <v>35.1468005018821</v>
      </c>
      <c r="D75" s="44" t="n">
        <v>2541</v>
      </c>
      <c r="E75" s="45" t="n">
        <f aca="false">D75/7370*100</f>
        <v>34.4776119402985</v>
      </c>
      <c r="F75" s="44" t="n">
        <v>5345</v>
      </c>
      <c r="G75" s="45" t="n">
        <f aca="false">F75/20631*100</f>
        <v>25.9076147544957</v>
      </c>
    </row>
    <row r="76" customFormat="false" ht="12.8" hidden="false" customHeight="false" outlineLevel="0" collapsed="false">
      <c r="A76" s="44" t="s">
        <v>27</v>
      </c>
      <c r="B76" s="44" t="n">
        <v>2780</v>
      </c>
      <c r="C76" s="45" t="n">
        <f aca="false">B76/19925*100</f>
        <v>13.9523212045169</v>
      </c>
      <c r="D76" s="44" t="n">
        <v>47</v>
      </c>
      <c r="E76" s="45" t="n">
        <f aca="false">D76/7370*100</f>
        <v>0.637720488466757</v>
      </c>
      <c r="F76" s="44" t="n">
        <v>2</v>
      </c>
      <c r="G76" s="45" t="n">
        <f aca="false">F76/20631*100</f>
        <v>0.00969414958072803</v>
      </c>
    </row>
    <row r="77" customFormat="false" ht="12.8" hidden="false" customHeight="false" outlineLevel="0" collapsed="false">
      <c r="A77" s="44" t="s">
        <v>29</v>
      </c>
      <c r="B77" s="44" t="n">
        <v>2703</v>
      </c>
      <c r="C77" s="45" t="n">
        <f aca="false">B77/19925*100</f>
        <v>13.5658720200753</v>
      </c>
      <c r="D77" s="44" t="n">
        <v>974</v>
      </c>
      <c r="E77" s="45" t="n">
        <f aca="false">D77/7370*100</f>
        <v>13.2157394843962</v>
      </c>
      <c r="F77" s="44" t="n">
        <v>2632</v>
      </c>
      <c r="G77" s="45" t="n">
        <f aca="false">F77/20631*100</f>
        <v>12.7575008482381</v>
      </c>
    </row>
    <row r="78" customFormat="false" ht="12.8" hidden="false" customHeight="false" outlineLevel="0" collapsed="false">
      <c r="A78" s="44" t="s">
        <v>31</v>
      </c>
      <c r="B78" s="44" t="n">
        <v>1464</v>
      </c>
      <c r="C78" s="45" t="n">
        <f aca="false">B78/19925*100</f>
        <v>7.34755332496863</v>
      </c>
      <c r="D78" s="44" t="n">
        <v>484</v>
      </c>
      <c r="E78" s="45" t="n">
        <f aca="false">D78/7370*100</f>
        <v>6.56716417910448</v>
      </c>
      <c r="F78" s="44" t="n">
        <v>939</v>
      </c>
      <c r="G78" s="45" t="n">
        <f aca="false">F78/20631*100</f>
        <v>4.55140322815181</v>
      </c>
    </row>
    <row r="79" customFormat="false" ht="12.8" hidden="false" customHeight="false" outlineLevel="0" collapsed="false">
      <c r="A79" s="44" t="s">
        <v>33</v>
      </c>
      <c r="B79" s="44" t="n">
        <v>157</v>
      </c>
      <c r="C79" s="45" t="n">
        <f aca="false">B79/19925*100</f>
        <v>0.787954830614806</v>
      </c>
      <c r="D79" s="44" t="n">
        <v>32</v>
      </c>
      <c r="E79" s="45" t="n">
        <f aca="false">D79/7370*100</f>
        <v>0.434192672998643</v>
      </c>
      <c r="F79" s="44" t="n">
        <v>34</v>
      </c>
      <c r="G79" s="45" t="n">
        <f aca="false">F79/20631*100</f>
        <v>0.164800542872377</v>
      </c>
    </row>
    <row r="80" customFormat="false" ht="12.8" hidden="false" customHeight="false" outlineLevel="0" collapsed="false">
      <c r="A80" s="44" t="s">
        <v>35</v>
      </c>
      <c r="B80" s="44" t="n">
        <v>588</v>
      </c>
      <c r="C80" s="45" t="n">
        <f aca="false">B80/19925*100</f>
        <v>2.95106649937265</v>
      </c>
      <c r="D80" s="44" t="n">
        <v>36</v>
      </c>
      <c r="E80" s="45" t="n">
        <f aca="false">D80/7370*100</f>
        <v>0.488466757123474</v>
      </c>
      <c r="F80" s="44" t="n">
        <v>480</v>
      </c>
      <c r="G80" s="45" t="n">
        <f aca="false">F80/20631*100</f>
        <v>2.32659589937473</v>
      </c>
    </row>
    <row r="81" customFormat="false" ht="12.8" hidden="false" customHeight="false" outlineLevel="0" collapsed="false">
      <c r="A81" s="44" t="s">
        <v>37</v>
      </c>
      <c r="B81" s="44" t="n">
        <v>3109</v>
      </c>
      <c r="C81" s="45" t="n">
        <f aca="false">B81/19925*100</f>
        <v>15.603513174404</v>
      </c>
      <c r="D81" s="44" t="n">
        <v>2864</v>
      </c>
      <c r="E81" s="45" t="n">
        <f aca="false">D81/7370*100</f>
        <v>38.8602442333786</v>
      </c>
      <c r="F81" s="44" t="n">
        <v>4508</v>
      </c>
      <c r="G81" s="45" t="n">
        <f aca="false">F81/20631*100</f>
        <v>21.850613154961</v>
      </c>
    </row>
    <row r="82" customFormat="false" ht="12.8" hidden="false" customHeight="false" outlineLevel="0" collapsed="false">
      <c r="A82" s="44" t="s">
        <v>39</v>
      </c>
      <c r="B82" s="44" t="n">
        <v>1521</v>
      </c>
      <c r="C82" s="45" t="n">
        <f aca="false">B82/19925*100</f>
        <v>7.633626097867</v>
      </c>
      <c r="D82" s="44" t="n">
        <v>392</v>
      </c>
      <c r="E82" s="45" t="n">
        <f aca="false">D82/50053*100</f>
        <v>0.783169839969632</v>
      </c>
      <c r="F82" s="44" t="n">
        <v>6691</v>
      </c>
      <c r="G82" s="45" t="n">
        <f aca="false">F82/20631*100</f>
        <v>32.4317774223256</v>
      </c>
    </row>
    <row r="83" customFormat="false" ht="12.8" hidden="false" customHeight="false" outlineLevel="0" collapsed="false">
      <c r="A83" s="17" t="s">
        <v>17</v>
      </c>
      <c r="B83" s="17" t="n">
        <f aca="false">SUM(B75:B82)</f>
        <v>19325</v>
      </c>
      <c r="C83" s="17" t="n">
        <f aca="false">B83/(B83+D83+F83)*100</f>
        <v>40.8337911507417</v>
      </c>
      <c r="D83" s="17" t="n">
        <f aca="false">SUM(D75:D82)</f>
        <v>7370</v>
      </c>
      <c r="E83" s="17" t="n">
        <f aca="false">D83/(B83+D83+F83)*100</f>
        <v>15.5728352279931</v>
      </c>
      <c r="F83" s="17" t="n">
        <f aca="false">SUM(F75:F82)</f>
        <v>20631</v>
      </c>
      <c r="G83" s="17" t="n">
        <f aca="false">F83/(B83+D83+F83)*100</f>
        <v>43.5933736212653</v>
      </c>
    </row>
  </sheetData>
  <mergeCells count="9">
    <mergeCell ref="A1:G1"/>
    <mergeCell ref="I1:L1"/>
    <mergeCell ref="I11:L11"/>
    <mergeCell ref="A13:G13"/>
    <mergeCell ref="A25:G25"/>
    <mergeCell ref="A37:G37"/>
    <mergeCell ref="A49:G49"/>
    <mergeCell ref="A61:G61"/>
    <mergeCell ref="A73:G7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2023-01-12T21:06:09Z</dcterms:created>
  <dc:creator/>
  <dc:description/>
  <dc:language>ru-RU</dc:language>
  <cp:lastModifiedBy/>
  <dcterms:modified xsi:type="dcterms:W3CDTF">2023-01-14T22:47:59Z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