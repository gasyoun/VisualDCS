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 позиций" sheetId="1" state="visible" r:id="rId3"/>
    <sheet name="Лист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<sst xmlns="http://schemas.openxmlformats.org/spreadsheetml/2006/main" count="17" uniqueCount="17">
  <si>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Поз. №1</t>
  </si>
  <si>
    <t xml:space="preserve">Поз. №2</t>
  </si>
  <si>
    <t xml:space="preserve">Поз. №3</t>
  </si>
  <si>
    <t xml:space="preserve">Поз. №4</t>
  </si>
  <si>
    <t xml:space="preserve">Поз. №5</t>
  </si>
  <si>
    <t xml:space="preserve">Поз. №6</t>
  </si>
  <si>
    <t xml:space="preserve">Поз. №7</t>
  </si>
  <si>
    <t xml:space="preserve">Поз. №8</t>
  </si>
  <si>
    <t xml:space="preserve">Поз. №9</t>
  </si>
  <si>
    <t xml:space="preserve">Поз. №10</t>
  </si>
  <si>
    <t xml:space="preserve">Посл. Поз.</t>
  </si>
  <si>
    <t xml:space="preserve">Финитные формы</t>
  </si>
  <si>
    <t xml:space="preserve">Нефинитные формы</t>
  </si>
  <si>
    <t xml:space="preserve">Кол. Фин.</t>
  </si>
  <si>
    <t xml:space="preserve">кол. Нефин</t>
  </si>
  <si>
    <t xml:space="preserve">%Финитные</t>
  </si>
  <si>
    <t xml:space="preserve">%нефинитные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</si>
</sst>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Позиционирование финитных и нефинитных глагольных форм санскритского глагола на первых десяти позициях в паде + последняя позиция в паде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percentStacked"/>
        <c:ser>
          <c:idx val="0"/>
          <c:order val="0"/>
          <c:tx>
            <c:strRef>
              <c:f>'10 позиций'!$A$2</c:f>
              <c:strCache>
                <c:ptCount val="1"/>
                <c:pt idx="0">
                  <c:v>Финитные формы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 позиций'!$B$1:$L$1</c:f>
              <c:strCache>
                <c:ptCount val="11"/>
                <c:pt idx="0">
                  <c:v>Поз. №1</c:v>
                </c:pt>
                <c:pt idx="1">
                  <c:v>Поз. №2</c:v>
                </c:pt>
                <c:pt idx="2">
                  <c:v>Поз. №3</c:v>
                </c:pt>
                <c:pt idx="3">
                  <c:v>Поз. №4</c:v>
                </c:pt>
                <c:pt idx="4">
                  <c:v>Поз. №5</c:v>
                </c:pt>
                <c:pt idx="5">
                  <c:v>Поз. №6</c:v>
                </c:pt>
                <c:pt idx="6">
                  <c:v>Поз. №7</c:v>
                </c:pt>
                <c:pt idx="7">
                  <c:v>Поз. №8</c:v>
                </c:pt>
                <c:pt idx="8">
                  <c:v>Поз. №9</c:v>
                </c:pt>
                <c:pt idx="9">
                  <c:v>Поз. №10</c:v>
                </c:pt>
                <c:pt idx="10">
                  <c:v>Посл. Поз.</c:v>
                </c:pt>
              </c:strCache>
            </c:strRef>
          </c:cat>
          <c:val>
            <c:numRef>
              <c:f>'10 позиций'!$B$2:$L$2</c:f>
              <c:numCache>
                <c:formatCode>0.00</c:formatCode>
                <c:ptCount val="11"/>
                <c:pt idx="0">
                  <c:v>43.5670925070218</c:v>
                </c:pt>
                <c:pt idx="1">
                  <c:v>44.9882555229747</c:v>
                </c:pt>
                <c:pt idx="2">
                  <c:v>41.3741700393196</c:v>
                </c:pt>
                <c:pt idx="3">
                  <c:v>47.548891060942</c:v>
                </c:pt>
                <c:pt idx="4">
                  <c:v>53.4698898695618</c:v>
                </c:pt>
                <c:pt idx="5">
                  <c:v>55.944035976872</c:v>
                </c:pt>
                <c:pt idx="6">
                  <c:v>57.8563750294958</c:v>
                </c:pt>
                <c:pt idx="7">
                  <c:v>57.5824811885009</c:v>
                </c:pt>
                <c:pt idx="8">
                  <c:v>57.7046360722383</c:v>
                </c:pt>
                <c:pt idx="9">
                  <c:v>58.3914402500601</c:v>
                </c:pt>
                <c:pt idx="10">
                  <c:v>70.9132661355877</c:v>
                </c:pt>
              </c:numCache>
            </c:numRef>
          </c:val>
        </c:ser>
        <c:ser>
          <c:idx val="1"/>
          <c:order val="1"/>
          <c:tx>
            <c:strRef>
              <c:f>'10 позиций'!$A$3</c:f>
              <c:strCache>
                <c:ptCount val="1"/>
                <c:pt idx="0">
                  <c:v>Нефинитные формы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 позиций'!$B$1:$L$1</c:f>
              <c:strCache>
                <c:ptCount val="11"/>
                <c:pt idx="0">
                  <c:v>Поз. №1</c:v>
                </c:pt>
                <c:pt idx="1">
                  <c:v>Поз. №2</c:v>
                </c:pt>
                <c:pt idx="2">
                  <c:v>Поз. №3</c:v>
                </c:pt>
                <c:pt idx="3">
                  <c:v>Поз. №4</c:v>
                </c:pt>
                <c:pt idx="4">
                  <c:v>Поз. №5</c:v>
                </c:pt>
                <c:pt idx="5">
                  <c:v>Поз. №6</c:v>
                </c:pt>
                <c:pt idx="6">
                  <c:v>Поз. №7</c:v>
                </c:pt>
                <c:pt idx="7">
                  <c:v>Поз. №8</c:v>
                </c:pt>
                <c:pt idx="8">
                  <c:v>Поз. №9</c:v>
                </c:pt>
                <c:pt idx="9">
                  <c:v>Поз. №10</c:v>
                </c:pt>
                <c:pt idx="10">
                  <c:v>Посл. Поз.</c:v>
                </c:pt>
              </c:strCache>
            </c:strRef>
          </c:cat>
          <c:val>
            <c:numRef>
              <c:f>'10 позиций'!$B$3:$L$3</c:f>
              <c:numCache>
                <c:formatCode>0.00</c:formatCode>
                <c:ptCount val="11"/>
                <c:pt idx="0">
                  <c:v>56.4329074929782</c:v>
                </c:pt>
                <c:pt idx="1">
                  <c:v>55.0117444770253</c:v>
                </c:pt>
                <c:pt idx="2">
                  <c:v>58.6258299606804</c:v>
                </c:pt>
                <c:pt idx="3">
                  <c:v>52.451108939058</c:v>
                </c:pt>
                <c:pt idx="4">
                  <c:v>46.5301101304382</c:v>
                </c:pt>
                <c:pt idx="5">
                  <c:v>44.055964023128</c:v>
                </c:pt>
                <c:pt idx="6">
                  <c:v>42.1436249705042</c:v>
                </c:pt>
                <c:pt idx="7">
                  <c:v>42.4175188114991</c:v>
                </c:pt>
                <c:pt idx="8">
                  <c:v>42.2953639277617</c:v>
                </c:pt>
                <c:pt idx="9">
                  <c:v>41.6085597499399</c:v>
                </c:pt>
                <c:pt idx="10">
                  <c:v>29.0867338644123</c:v>
                </c:pt>
              </c:numCache>
            </c:numRef>
          </c:val>
        </c:ser>
        <c:axId val="53504099"/>
        <c:axId val="42319012"/>
      </c:areaChart>
      <c:catAx>
        <c:axId val="5350409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Позиции в паде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42319012"/>
        <c:crosses val="autoZero"/>
        <c:auto val="1"/>
        <c:lblAlgn val="ctr"/>
        <c:lblOffset val="100"/>
        <c:noMultiLvlLbl val="0"/>
      </c:catAx>
      <c:valAx>
        <c:axId val="423190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%появления формы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19]0%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350409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zero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707040</xdr:colOff>
      <xdr:row>0</xdr:row>
      <xdr:rowOff>36000</xdr:rowOff>
    </xdr:from>
    <xdr:to>
      <xdr:col>11</xdr:col>
      <xdr:colOff>776880</xdr:colOff>
      <xdr:row>20</xdr:row>
      <xdr:rowOff>24480</xdr:rowOff>
    </xdr:to>
    <xdr:graphicFrame>
      <xdr:nvGraphicFramePr>
        <xdr:cNvPr id="0" name=""/>
        <xdr:cNvGraphicFramePr/>
      </xdr:nvGraphicFramePr>
      <xdr:xfrm>
        <a:off x="395820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</row>
    <row r="2" customFormat="false" ht="12.8" hidden="false" customHeight="false" outlineLevel="0" collapsed="false">
      <c r="A2" s="0" t="s">
        <v>11</v>
      </c>
      <c r="B2" s="1" t="n">
        <v>43.5670925070218</v>
      </c>
      <c r="C2" s="1" t="n">
        <v>44.9882555229747</v>
      </c>
      <c r="D2" s="1" t="n">
        <v>41.3741700393196</v>
      </c>
      <c r="E2" s="1" t="n">
        <v>47.548891060942</v>
      </c>
      <c r="F2" s="1" t="n">
        <v>53.4698898695618</v>
      </c>
      <c r="G2" s="1" t="n">
        <v>55.944035976872</v>
      </c>
      <c r="H2" s="1" t="n">
        <v>57.8563750294958</v>
      </c>
      <c r="I2" s="1" t="n">
        <v>57.5824811885009</v>
      </c>
      <c r="J2" s="1" t="n">
        <v>57.7046360722383</v>
      </c>
      <c r="K2" s="1" t="n">
        <v>58.3914402500601</v>
      </c>
      <c r="L2" s="1" t="n">
        <v>70.9132661355877</v>
      </c>
    </row>
    <row r="3" customFormat="false" ht="12.8" hidden="false" customHeight="false" outlineLevel="0" collapsed="false">
      <c r="A3" s="0" t="s">
        <v>12</v>
      </c>
      <c r="B3" s="1" t="n">
        <v>56.4329074929782</v>
      </c>
      <c r="C3" s="1" t="n">
        <v>55.0117444770253</v>
      </c>
      <c r="D3" s="1" t="n">
        <v>58.6258299606804</v>
      </c>
      <c r="E3" s="1" t="n">
        <v>52.451108939058</v>
      </c>
      <c r="F3" s="1" t="n">
        <v>46.5301101304382</v>
      </c>
      <c r="G3" s="1" t="n">
        <v>44.055964023128</v>
      </c>
      <c r="H3" s="1" t="n">
        <v>42.1436249705042</v>
      </c>
      <c r="I3" s="1" t="n">
        <v>42.4175188114991</v>
      </c>
      <c r="J3" s="1" t="n">
        <v>42.2953639277617</v>
      </c>
      <c r="K3" s="1" t="n">
        <v>41.6085597499399</v>
      </c>
      <c r="L3" s="1" t="n">
        <v>29.0867338644123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13</v>
      </c>
      <c r="B1" s="0" t="n">
        <v>38468</v>
      </c>
      <c r="C1" s="0" t="n">
        <v>58608</v>
      </c>
      <c r="D1" s="0" t="n">
        <v>57453</v>
      </c>
      <c r="E1" s="0" t="n">
        <v>59836</v>
      </c>
      <c r="F1" s="0" t="n">
        <v>54766</v>
      </c>
      <c r="G1" s="0" t="n">
        <v>39186</v>
      </c>
      <c r="H1" s="0" t="n">
        <v>22067</v>
      </c>
      <c r="I1" s="0" t="n">
        <v>11938</v>
      </c>
      <c r="J1" s="0" t="n">
        <v>7381</v>
      </c>
      <c r="K1" s="0" t="n">
        <v>4857</v>
      </c>
      <c r="L1" s="0" t="n">
        <v>3339</v>
      </c>
      <c r="M1" s="0" t="n">
        <v>2400</v>
      </c>
      <c r="N1" s="0" t="n">
        <v>1893</v>
      </c>
      <c r="O1" s="0" t="n">
        <v>1672</v>
      </c>
      <c r="P1" s="0" t="n">
        <v>1382</v>
      </c>
      <c r="Q1" s="0" t="n">
        <v>1200</v>
      </c>
      <c r="R1" s="0" t="n">
        <v>1050</v>
      </c>
      <c r="S1" s="0" t="n">
        <v>899</v>
      </c>
      <c r="T1" s="0" t="n">
        <v>732</v>
      </c>
      <c r="U1" s="0" t="n">
        <v>758</v>
      </c>
      <c r="V1" s="0" t="n">
        <v>675</v>
      </c>
      <c r="W1" s="0" t="n">
        <v>509</v>
      </c>
      <c r="X1" s="0" t="n">
        <v>500</v>
      </c>
      <c r="Y1" s="0" t="n">
        <v>484</v>
      </c>
      <c r="Z1" s="0" t="n">
        <v>398</v>
      </c>
      <c r="AA1" s="0" t="n">
        <v>398</v>
      </c>
      <c r="AB1" s="0" t="n">
        <v>305</v>
      </c>
      <c r="AC1" s="0" t="n">
        <v>321</v>
      </c>
      <c r="AD1" s="0" t="n">
        <v>283</v>
      </c>
      <c r="AE1" s="0" t="n">
        <v>276</v>
      </c>
      <c r="AF1" s="0" t="n">
        <v>262</v>
      </c>
      <c r="AG1" s="0" t="n">
        <v>200</v>
      </c>
      <c r="AH1" s="0" t="n">
        <v>182</v>
      </c>
      <c r="AI1" s="0" t="n">
        <v>221</v>
      </c>
      <c r="AJ1" s="0" t="n">
        <v>170</v>
      </c>
      <c r="AK1" s="0" t="n">
        <v>170</v>
      </c>
      <c r="AL1" s="0" t="n">
        <v>171</v>
      </c>
      <c r="AM1" s="0" t="n">
        <v>138</v>
      </c>
      <c r="AN1" s="0" t="n">
        <v>137</v>
      </c>
      <c r="AO1" s="0" t="n">
        <v>125</v>
      </c>
      <c r="AP1" s="0" t="n">
        <v>121</v>
      </c>
      <c r="AQ1" s="0" t="n">
        <v>138</v>
      </c>
      <c r="AR1" s="0" t="n">
        <v>106</v>
      </c>
      <c r="AS1" s="0" t="n">
        <v>106</v>
      </c>
      <c r="AT1" s="0" t="n">
        <v>94</v>
      </c>
      <c r="AU1" s="0" t="n">
        <v>98</v>
      </c>
      <c r="AV1" s="0" t="n">
        <v>86</v>
      </c>
      <c r="AW1" s="0" t="n">
        <v>92</v>
      </c>
      <c r="AX1" s="0" t="n">
        <v>64</v>
      </c>
      <c r="AY1" s="0" t="n">
        <v>2367</v>
      </c>
      <c r="AZ1" s="0" t="n">
        <v>34895</v>
      </c>
      <c r="BA1" s="0" t="n">
        <f aca="false">SUM(B1:AY1)</f>
        <v>379082</v>
      </c>
    </row>
    <row r="2" customFormat="false" ht="12.8" hidden="false" customHeight="false" outlineLevel="0" collapsed="false">
      <c r="A2" s="0" t="s">
        <v>14</v>
      </c>
      <c r="B2" s="0" t="n">
        <v>49828</v>
      </c>
      <c r="C2" s="0" t="n">
        <v>71666</v>
      </c>
      <c r="D2" s="0" t="n">
        <v>81409</v>
      </c>
      <c r="E2" s="0" t="n">
        <v>66005</v>
      </c>
      <c r="F2" s="0" t="n">
        <v>47658</v>
      </c>
      <c r="G2" s="0" t="n">
        <v>30859</v>
      </c>
      <c r="H2" s="0" t="n">
        <v>16074</v>
      </c>
      <c r="I2" s="0" t="n">
        <v>8794</v>
      </c>
      <c r="J2" s="0" t="n">
        <v>5410</v>
      </c>
      <c r="K2" s="0" t="n">
        <v>3461</v>
      </c>
      <c r="L2" s="0" t="n">
        <v>2577</v>
      </c>
      <c r="M2" s="0" t="n">
        <v>2132</v>
      </c>
      <c r="N2" s="0" t="n">
        <v>1659</v>
      </c>
      <c r="O2" s="0" t="n">
        <v>1445</v>
      </c>
      <c r="P2" s="0" t="n">
        <v>1255</v>
      </c>
      <c r="Q2" s="0" t="n">
        <v>1011</v>
      </c>
      <c r="R2" s="0" t="n">
        <v>931</v>
      </c>
      <c r="S2" s="0" t="n">
        <v>789</v>
      </c>
      <c r="T2" s="0" t="n">
        <v>681</v>
      </c>
      <c r="U2" s="0" t="n">
        <v>585</v>
      </c>
      <c r="V2" s="0" t="n">
        <v>586</v>
      </c>
      <c r="W2" s="0" t="n">
        <v>519</v>
      </c>
      <c r="X2" s="0" t="n">
        <v>432</v>
      </c>
      <c r="Y2" s="0" t="n">
        <v>409</v>
      </c>
      <c r="Z2" s="0" t="n">
        <v>369</v>
      </c>
      <c r="AA2" s="0" t="n">
        <v>343</v>
      </c>
      <c r="AB2" s="0" t="n">
        <v>295</v>
      </c>
      <c r="AC2" s="0" t="n">
        <v>284</v>
      </c>
      <c r="AD2" s="0" t="n">
        <v>265</v>
      </c>
      <c r="AE2" s="0" t="n">
        <v>205</v>
      </c>
      <c r="AF2" s="0" t="n">
        <v>221</v>
      </c>
      <c r="AG2" s="0" t="n">
        <v>179</v>
      </c>
      <c r="AH2" s="0" t="n">
        <v>165</v>
      </c>
      <c r="AI2" s="0" t="n">
        <v>172</v>
      </c>
      <c r="AJ2" s="0" t="n">
        <v>132</v>
      </c>
      <c r="AK2" s="0" t="n">
        <v>133</v>
      </c>
      <c r="AL2" s="0" t="n">
        <v>121</v>
      </c>
      <c r="AM2" s="0" t="n">
        <v>129</v>
      </c>
      <c r="AN2" s="0" t="n">
        <v>135</v>
      </c>
      <c r="AO2" s="0" t="n">
        <v>126</v>
      </c>
      <c r="AP2" s="0" t="n">
        <v>112</v>
      </c>
      <c r="AQ2" s="0" t="n">
        <v>85</v>
      </c>
      <c r="AR2" s="0" t="n">
        <v>103</v>
      </c>
      <c r="AS2" s="0" t="n">
        <v>80</v>
      </c>
      <c r="AT2" s="0" t="n">
        <v>100</v>
      </c>
      <c r="AU2" s="0" t="n">
        <v>94</v>
      </c>
      <c r="AV2" s="0" t="n">
        <v>71</v>
      </c>
      <c r="AW2" s="0" t="n">
        <v>68</v>
      </c>
      <c r="AX2" s="0" t="n">
        <v>69</v>
      </c>
      <c r="AY2" s="0" t="n">
        <v>2305</v>
      </c>
      <c r="AZ2" s="0" t="n">
        <v>14313</v>
      </c>
      <c r="BA2" s="0" t="n">
        <f aca="false">SUM(B2:AY2)</f>
        <v>402536</v>
      </c>
    </row>
    <row r="3" customFormat="false" ht="12.8" hidden="false" customHeight="false" outlineLevel="0" collapsed="false">
      <c r="A3" s="0" t="s">
        <v>15</v>
      </c>
      <c r="B3" s="0" t="n">
        <f aca="false">B1/(B1+B2)*100</f>
        <v>43.5670925070218</v>
      </c>
      <c r="C3" s="0" t="n">
        <f aca="false">C1/(C1+C2)*100</f>
        <v>44.9882555229747</v>
      </c>
      <c r="D3" s="0" t="n">
        <f aca="false">D1/(D1+D2)*100</f>
        <v>41.3741700393196</v>
      </c>
      <c r="E3" s="0" t="n">
        <f aca="false">E1/(E1+E2)*100</f>
        <v>47.548891060942</v>
      </c>
      <c r="F3" s="0" t="n">
        <f aca="false">F1/(F1+F2)*100</f>
        <v>53.4698898695618</v>
      </c>
      <c r="G3" s="0" t="n">
        <f aca="false">G1/(G1+G2)*100</f>
        <v>55.944035976872</v>
      </c>
      <c r="H3" s="0" t="n">
        <f aca="false">H1/(H1+H2)*100</f>
        <v>57.8563750294958</v>
      </c>
      <c r="I3" s="0" t="n">
        <f aca="false">I1/(I1+I2)*100</f>
        <v>57.5824811885009</v>
      </c>
      <c r="J3" s="0" t="n">
        <f aca="false">J1/(J1+J2)*100</f>
        <v>57.7046360722383</v>
      </c>
      <c r="K3" s="0" t="n">
        <f aca="false">K1/(K1+K2)*100</f>
        <v>58.3914402500601</v>
      </c>
      <c r="L3" s="0" t="n">
        <f aca="false">L1/(L1+L2)*100</f>
        <v>56.4401622718053</v>
      </c>
      <c r="M3" s="0" t="n">
        <f aca="false">M1/(M1+M2)*100</f>
        <v>52.9567519858782</v>
      </c>
      <c r="N3" s="0" t="n">
        <f aca="false">N1/(N1+N2)*100</f>
        <v>53.2939189189189</v>
      </c>
      <c r="O3" s="0" t="n">
        <f aca="false">O1/(O1+O2)*100</f>
        <v>53.6413217837664</v>
      </c>
      <c r="P3" s="0" t="n">
        <f aca="false">P1/(P1+P2)*100</f>
        <v>52.4080394387562</v>
      </c>
      <c r="Q3" s="0" t="n">
        <f aca="false">Q1/(Q1+Q2)*100</f>
        <v>54.2740841248304</v>
      </c>
      <c r="R3" s="0" t="n">
        <f aca="false">R1/(R1+R2)*100</f>
        <v>53.0035335689046</v>
      </c>
      <c r="S3" s="0" t="n">
        <f aca="false">S1/(S1+S2)*100</f>
        <v>53.2582938388626</v>
      </c>
      <c r="T3" s="0" t="n">
        <f aca="false">T1/(T1+T2)*100</f>
        <v>51.8046709129512</v>
      </c>
      <c r="U3" s="0" t="n">
        <f aca="false">U1/(U1+U2)*100</f>
        <v>56.4408041697692</v>
      </c>
      <c r="V3" s="0" t="n">
        <f aca="false">V1/(V1+V2)*100</f>
        <v>53.5289452815226</v>
      </c>
      <c r="W3" s="0" t="n">
        <f aca="false">W1/(W1+W2)*100</f>
        <v>49.5136186770428</v>
      </c>
      <c r="X3" s="0" t="n">
        <f aca="false">X1/(X1+X2)*100</f>
        <v>53.6480686695279</v>
      </c>
      <c r="Y3" s="0" t="n">
        <f aca="false">Y1/(Y1+Y2)*100</f>
        <v>54.1993281075028</v>
      </c>
      <c r="Z3" s="0" t="n">
        <f aca="false">Z1/(Z1+Z2)*100</f>
        <v>51.890482398957</v>
      </c>
      <c r="AA3" s="0" t="n">
        <f aca="false">AA1/(AA1+AA2)*100</f>
        <v>53.7112010796221</v>
      </c>
      <c r="AB3" s="0" t="n">
        <f aca="false">AB1/(AB1+AB2)*100</f>
        <v>50.8333333333333</v>
      </c>
      <c r="AC3" s="0" t="n">
        <f aca="false">AC1/(AC1+AC2)*100</f>
        <v>53.0578512396694</v>
      </c>
      <c r="AD3" s="0" t="n">
        <f aca="false">AD1/(AD1+AD2)*100</f>
        <v>51.6423357664234</v>
      </c>
      <c r="AE3" s="0" t="n">
        <f aca="false">AE1/(AE1+AE2)*100</f>
        <v>57.3804573804574</v>
      </c>
      <c r="AF3" s="0" t="n">
        <f aca="false">AF1/(AF1+AF2)*100</f>
        <v>54.2443064182195</v>
      </c>
      <c r="AG3" s="0" t="n">
        <f aca="false">AG1/(AG1+AG2)*100</f>
        <v>52.7704485488127</v>
      </c>
      <c r="AH3" s="0" t="n">
        <f aca="false">AH1/(AH1+AH2)*100</f>
        <v>52.4495677233429</v>
      </c>
      <c r="AI3" s="0" t="n">
        <f aca="false">AI1/(AI1+AI2)*100</f>
        <v>56.234096692112</v>
      </c>
      <c r="AJ3" s="0" t="n">
        <f aca="false">AJ1/(AJ1+AJ2)*100</f>
        <v>56.2913907284768</v>
      </c>
      <c r="AK3" s="0" t="n">
        <f aca="false">AK1/(AK1+AK2)*100</f>
        <v>56.1056105610561</v>
      </c>
      <c r="AL3" s="0" t="n">
        <f aca="false">AL1/(AL1+AL2)*100</f>
        <v>58.5616438356164</v>
      </c>
      <c r="AM3" s="0" t="n">
        <f aca="false">AM1/(AM1+AM2)*100</f>
        <v>51.685393258427</v>
      </c>
      <c r="AN3" s="0" t="n">
        <f aca="false">AN1/(AN1+AN2)*100</f>
        <v>50.3676470588235</v>
      </c>
      <c r="AO3" s="0" t="n">
        <f aca="false">AO1/(AO1+AO2)*100</f>
        <v>49.800796812749</v>
      </c>
      <c r="AP3" s="0" t="n">
        <f aca="false">AP1/(AP1+AP2)*100</f>
        <v>51.931330472103</v>
      </c>
      <c r="AQ3" s="0" t="n">
        <f aca="false">AQ1/(AQ1+AQ2)*100</f>
        <v>61.8834080717489</v>
      </c>
      <c r="AR3" s="0" t="n">
        <f aca="false">AR1/(AR1+AR2)*100</f>
        <v>50.7177033492823</v>
      </c>
      <c r="AS3" s="0" t="n">
        <f aca="false">AS1/(AS1+AS2)*100</f>
        <v>56.989247311828</v>
      </c>
      <c r="AT3" s="0" t="n">
        <f aca="false">AT1/(AT1+AT2)*100</f>
        <v>48.4536082474227</v>
      </c>
      <c r="AU3" s="0" t="n">
        <f aca="false">AU1/(AU1+AU2)*100</f>
        <v>51.0416666666667</v>
      </c>
      <c r="AV3" s="0" t="n">
        <f aca="false">AV1/(AV1+AV2)*100</f>
        <v>54.7770700636943</v>
      </c>
      <c r="AW3" s="0" t="n">
        <f aca="false">AW1/(AW1+AW2)*100</f>
        <v>57.5</v>
      </c>
      <c r="AX3" s="0" t="n">
        <f aca="false">AX1/(AX1+AX2)*100</f>
        <v>48.1203007518797</v>
      </c>
      <c r="AY3" s="0" t="n">
        <f aca="false">AY1/(AY1+AY2)*100</f>
        <v>50.6635273972603</v>
      </c>
      <c r="AZ3" s="0" t="n">
        <f aca="false">AZ1/(AZ1+AZ2)*100</f>
        <v>70.9132661355877</v>
      </c>
      <c r="BA3" s="0" t="n">
        <f aca="false">BA1/(BA1+BA2)*100</f>
        <v>48.4996507245227</v>
      </c>
    </row>
    <row r="4" customFormat="false" ht="12.8" hidden="false" customHeight="false" outlineLevel="0" collapsed="false">
      <c r="A4" s="0" t="s">
        <v>16</v>
      </c>
      <c r="B4" s="0" t="n">
        <f aca="false">B2/(B2+B1)*100</f>
        <v>56.4329074929782</v>
      </c>
      <c r="C4" s="0" t="n">
        <f aca="false">C2/(C2+C1)*100</f>
        <v>55.0117444770253</v>
      </c>
      <c r="D4" s="0" t="n">
        <f aca="false">D2/(D2+D1)*100</f>
        <v>58.6258299606804</v>
      </c>
      <c r="E4" s="0" t="n">
        <f aca="false">E2/(E2+E1)*100</f>
        <v>52.451108939058</v>
      </c>
      <c r="F4" s="0" t="n">
        <f aca="false">F2/(F2+F1)*100</f>
        <v>46.5301101304382</v>
      </c>
      <c r="G4" s="0" t="n">
        <f aca="false">G2/(G2+G1)*100</f>
        <v>44.055964023128</v>
      </c>
      <c r="H4" s="0" t="n">
        <f aca="false">H2/(H2+H1)*100</f>
        <v>42.1436249705042</v>
      </c>
      <c r="I4" s="0" t="n">
        <f aca="false">I2/(I2+I1)*100</f>
        <v>42.4175188114991</v>
      </c>
      <c r="J4" s="0" t="n">
        <f aca="false">J2/(J2+J1)*100</f>
        <v>42.2953639277617</v>
      </c>
      <c r="K4" s="0" t="n">
        <f aca="false">K2/(K2+K1)*100</f>
        <v>41.6085597499399</v>
      </c>
      <c r="L4" s="0" t="n">
        <f aca="false">L2/(L2+L1)*100</f>
        <v>43.5598377281947</v>
      </c>
      <c r="M4" s="0" t="n">
        <f aca="false">M2/(M2+M1)*100</f>
        <v>47.0432480141218</v>
      </c>
      <c r="N4" s="0" t="n">
        <f aca="false">N2/(N2+N1)*100</f>
        <v>46.7060810810811</v>
      </c>
      <c r="O4" s="0" t="n">
        <f aca="false">O2/(O2+O1)*100</f>
        <v>46.3586782162336</v>
      </c>
      <c r="P4" s="0" t="n">
        <f aca="false">P2/(P2+P1)*100</f>
        <v>47.5919605612438</v>
      </c>
      <c r="Q4" s="0" t="n">
        <f aca="false">Q2/(Q2+Q1)*100</f>
        <v>45.7259158751696</v>
      </c>
      <c r="R4" s="0" t="n">
        <f aca="false">R2/(R2+R1)*100</f>
        <v>46.9964664310954</v>
      </c>
      <c r="S4" s="0" t="n">
        <f aca="false">S2/(S2+S1)*100</f>
        <v>46.7417061611374</v>
      </c>
      <c r="T4" s="0" t="n">
        <f aca="false">T2/(T2+T1)*100</f>
        <v>48.1953290870488</v>
      </c>
      <c r="U4" s="0" t="n">
        <f aca="false">U2/(U2+U1)*100</f>
        <v>43.5591958302308</v>
      </c>
      <c r="V4" s="0" t="n">
        <f aca="false">V2/(V2+V1)*100</f>
        <v>46.4710547184774</v>
      </c>
      <c r="W4" s="0" t="n">
        <f aca="false">W2/(W2+W1)*100</f>
        <v>50.4863813229572</v>
      </c>
      <c r="X4" s="0" t="n">
        <f aca="false">X2/(X2+X1)*100</f>
        <v>46.3519313304721</v>
      </c>
      <c r="Y4" s="0" t="n">
        <f aca="false">Y2/(Y2+Y1)*100</f>
        <v>45.8006718924972</v>
      </c>
      <c r="Z4" s="0" t="n">
        <f aca="false">Z2/(Z2+Z1)*100</f>
        <v>48.109517601043</v>
      </c>
      <c r="AA4" s="0" t="n">
        <f aca="false">AA2/(AA2+AA1)*100</f>
        <v>46.2887989203779</v>
      </c>
      <c r="AB4" s="0" t="n">
        <f aca="false">AB2/(AB2+AB1)*100</f>
        <v>49.1666666666667</v>
      </c>
      <c r="AC4" s="0" t="n">
        <f aca="false">AC2/(AC2+AC1)*100</f>
        <v>46.9421487603306</v>
      </c>
      <c r="AD4" s="0" t="n">
        <f aca="false">AD2/(AD2+AD1)*100</f>
        <v>48.3576642335766</v>
      </c>
      <c r="AE4" s="0" t="n">
        <f aca="false">AE2/(AE2+AE1)*100</f>
        <v>42.6195426195426</v>
      </c>
      <c r="AF4" s="0" t="n">
        <f aca="false">AF2/(AF2+AF1)*100</f>
        <v>45.7556935817805</v>
      </c>
      <c r="AG4" s="0" t="n">
        <f aca="false">AG2/(AG2+AG1)*100</f>
        <v>47.2295514511873</v>
      </c>
      <c r="AH4" s="0" t="n">
        <f aca="false">AH2/(AH2+AH1)*100</f>
        <v>47.5504322766571</v>
      </c>
      <c r="AI4" s="0" t="n">
        <f aca="false">AI2/(AI2+AI1)*100</f>
        <v>43.765903307888</v>
      </c>
      <c r="AJ4" s="0" t="n">
        <f aca="false">AJ2/(AJ2+AJ1)*100</f>
        <v>43.7086092715232</v>
      </c>
      <c r="AK4" s="0" t="n">
        <f aca="false">AK2/(AK2+AK1)*100</f>
        <v>43.8943894389439</v>
      </c>
      <c r="AL4" s="0" t="n">
        <f aca="false">AL2/(AL2+AL1)*100</f>
        <v>41.4383561643836</v>
      </c>
      <c r="AM4" s="0" t="n">
        <f aca="false">AM2/(AM2+AM1)*100</f>
        <v>48.314606741573</v>
      </c>
      <c r="AN4" s="0" t="n">
        <f aca="false">AN2/(AN2+AN1)*100</f>
        <v>49.6323529411765</v>
      </c>
      <c r="AO4" s="0" t="n">
        <f aca="false">AO2/(AO2+AO1)*100</f>
        <v>50.199203187251</v>
      </c>
      <c r="AP4" s="0" t="n">
        <f aca="false">AP2/(AP2+AP1)*100</f>
        <v>48.068669527897</v>
      </c>
      <c r="AQ4" s="0" t="n">
        <f aca="false">AQ2/(AQ2+AQ1)*100</f>
        <v>38.1165919282511</v>
      </c>
      <c r="AR4" s="0" t="n">
        <f aca="false">AR2/(AR2+AR1)*100</f>
        <v>49.2822966507177</v>
      </c>
      <c r="AS4" s="0" t="n">
        <f aca="false">AS2/(AS2+AS1)*100</f>
        <v>43.010752688172</v>
      </c>
      <c r="AT4" s="0" t="n">
        <f aca="false">AT2/(AT2+AT1)*100</f>
        <v>51.5463917525773</v>
      </c>
      <c r="AU4" s="0" t="n">
        <f aca="false">AU2/(AU2+AU1)*100</f>
        <v>48.9583333333333</v>
      </c>
      <c r="AV4" s="0" t="n">
        <f aca="false">AV2/(AV2+AV1)*100</f>
        <v>45.2229299363057</v>
      </c>
      <c r="AW4" s="0" t="n">
        <f aca="false">AW2/(AW2+AW1)*100</f>
        <v>42.5</v>
      </c>
      <c r="AX4" s="0" t="n">
        <f aca="false">AX2/(AX2+AX1)*100</f>
        <v>51.8796992481203</v>
      </c>
      <c r="AY4" s="0" t="n">
        <f aca="false">AY2/(AY2+AY1)*100</f>
        <v>49.3364726027397</v>
      </c>
      <c r="AZ4" s="0" t="n">
        <f aca="false">AZ2/(AZ2+AZ1)*100</f>
        <v>29.0867338644123</v>
      </c>
      <c r="BA4" s="0" t="n">
        <f aca="false">BA2/(BA2+BA1)*100</f>
        <v>51.5003492754773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LibreOffice/24.8.2.1$Windows_X86_64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2024-12-26T20:31:30Z</dcterms:created>
  <dc:creator/>
  <dc:description/>
  <dc:language>ru-RU</dc:language>
  <cp:lastModifiedBy/>
  <dcterms:modified xsi:type="dcterms:W3CDTF">2024-12-26T20:44:42Z</dcterms:modified>
  <cp:revision>2</cp:revision>
  <dc:subject/>
  <dc:title/>
</cp:coreProperties>
</file>