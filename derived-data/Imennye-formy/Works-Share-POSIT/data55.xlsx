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ремена и наклонения" sheetId="1" state="visible" r:id="rId3"/>
    <sheet name="Аорист" sheetId="2" state="visible" r:id="rId4"/>
    <sheet name="Перфект" sheetId="3" state="visible" r:id="rId5"/>
    <sheet name="Имперфект" sheetId="4" state="visible" r:id="rId6"/>
    <sheet name="Настоящее время" sheetId="5" state="visible" r:id="rId7"/>
    <sheet name="Будущее время" sheetId="6" state="visible" r:id="rId8"/>
    <sheet name="Причастия и деепричастия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<sst xmlns="http://schemas.openxmlformats.org/spreadsheetml/2006/main" count="113" uniqueCount="57">
  <si>
    <t xml:space="preserve">Время/наклонение</t>
  </si>
  <si>
    <t xml:space="preserve">Примеров</t>
  </si>
  <si>
    <t xml:space="preserve">%</t>
  </si>
  <si>
    <t xml:space="preserve">По типам</t>
  </si>
  <si>
    <t xml:space="preserve">примеров</t>
  </si>
  <si>
    <t xml:space="preserve">По временам</t>
  </si>
  <si>
    <t xml:space="preserve">Absolutive</t>
  </si>
  <si>
    <t xml:space="preserve">Аорист</t>
  </si>
  <si>
    <t xml:space="preserve">Настоящее</t>
  </si>
  <si>
    <t xml:space="preserve">Aorist Imp.</t>
  </si>
  <si>
    <t xml:space="preserve">Перфект</t>
  </si>
  <si>
    <t xml:space="preserve">Будущее</t>
  </si>
  <si>
    <t xml:space="preserve">Aorist Ind. Is.</t>
  </si>
  <si>
    <t xml:space="preserve">Имперфект</t>
  </si>
  <si>
    <t xml:space="preserve">Прошедшее</t>
  </si>
  <si>
    <t xml:space="preserve">Aorist Ind. Passive</t>
  </si>
  <si>
    <t xml:space="preserve">Инфинитив</t>
  </si>
  <si>
    <t xml:space="preserve">Aorist Ind. Red.</t>
  </si>
  <si>
    <t xml:space="preserve">Aorist Ind. Root.</t>
  </si>
  <si>
    <t xml:space="preserve">PPP/PAP/ABS</t>
  </si>
  <si>
    <t xml:space="preserve">Aorist Ind. S.</t>
  </si>
  <si>
    <t xml:space="preserve">Aorist Ind. Sa.</t>
  </si>
  <si>
    <t xml:space="preserve">итого</t>
  </si>
  <si>
    <t xml:space="preserve">Aorist Ind. Sis.</t>
  </si>
  <si>
    <t xml:space="preserve">Aorist Ind. Them.</t>
  </si>
  <si>
    <t xml:space="preserve">Aorist Jus.</t>
  </si>
  <si>
    <t xml:space="preserve">Aorist Jus./Sub./Opt/Perf_Opt</t>
  </si>
  <si>
    <t xml:space="preserve">Aorist Prec.</t>
  </si>
  <si>
    <t xml:space="preserve">Aorist Sub.</t>
  </si>
  <si>
    <t xml:space="preserve">Future Cond.</t>
  </si>
  <si>
    <t xml:space="preserve">Future Ind.</t>
  </si>
  <si>
    <t xml:space="preserve">Future passive particle</t>
  </si>
  <si>
    <t xml:space="preserve">Future. Ind. Peri.</t>
  </si>
  <si>
    <t xml:space="preserve">Imperfect ind</t>
  </si>
  <si>
    <t xml:space="preserve">Imperfect Ind. Passive </t>
  </si>
  <si>
    <t xml:space="preserve">Infinitive</t>
  </si>
  <si>
    <t xml:space="preserve">Past Active Participle</t>
  </si>
  <si>
    <t xml:space="preserve">Past Passive Participle</t>
  </si>
  <si>
    <t xml:space="preserve">Perfect Imp</t>
  </si>
  <si>
    <t xml:space="preserve">Perfect Ind.</t>
  </si>
  <si>
    <t xml:space="preserve">Perfect Ind. Peri.</t>
  </si>
  <si>
    <t xml:space="preserve">Perfect Jus.</t>
  </si>
  <si>
    <t xml:space="preserve">Perfect Opt.</t>
  </si>
  <si>
    <t xml:space="preserve">Perfect Sub</t>
  </si>
  <si>
    <t xml:space="preserve">Plp. ind.</t>
  </si>
  <si>
    <t xml:space="preserve">Pres. Imp.</t>
  </si>
  <si>
    <t xml:space="preserve">Pres. Imperative Passive</t>
  </si>
  <si>
    <t xml:space="preserve">Pres. Opt Passive</t>
  </si>
  <si>
    <t xml:space="preserve">Pres. Potential</t>
  </si>
  <si>
    <t xml:space="preserve">Pres. Sub.</t>
  </si>
  <si>
    <t xml:space="preserve">Present Ind.</t>
  </si>
  <si>
    <t xml:space="preserve">Present Jus.</t>
  </si>
  <si>
    <t xml:space="preserve">Present Passive</t>
  </si>
  <si>
    <t xml:space="preserve">Аористы</t>
  </si>
  <si>
    <t xml:space="preserve">Количество</t>
  </si>
  <si>
    <t xml:space="preserve">Примереов</t>
  </si>
  <si>
    <t xml:space="preserve">Причастия/деепричастия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</si>
</sst>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  <font>
      <sz val="13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5000B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84D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50E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4B1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solidFill>
                  <a:srgbClr val="000000"/>
                </a:solidFill>
                <a:uFillTx/>
                <a:latin typeface="Arial"/>
                <a:ea typeface="DejaVu Sans"/>
              </a:rPr>
              <a:t>употребимость различных типов аориста в санскритской литературе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6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7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8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9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Аорист!$A$2:$A$14</c:f>
              <c:strCache>
                <c:ptCount val="13"/>
                <c:pt idx="0">
                  <c:v>Aorist Imp.</c:v>
                </c:pt>
                <c:pt idx="1">
                  <c:v>Aorist Ind. Is.</c:v>
                </c:pt>
                <c:pt idx="2">
                  <c:v>Aorist Ind. Passive</c:v>
                </c:pt>
                <c:pt idx="3">
                  <c:v>Aorist Ind. Red.</c:v>
                </c:pt>
                <c:pt idx="4">
                  <c:v>Aorist Ind. Root.</c:v>
                </c:pt>
                <c:pt idx="5">
                  <c:v>Aorist Ind. S.</c:v>
                </c:pt>
                <c:pt idx="6">
                  <c:v>Aorist Ind. Sa.</c:v>
                </c:pt>
                <c:pt idx="7">
                  <c:v>Aorist Ind. Sis.</c:v>
                </c:pt>
                <c:pt idx="8">
                  <c:v>Aorist Ind. Them.</c:v>
                </c:pt>
                <c:pt idx="9">
                  <c:v>Aorist Jus.</c:v>
                </c:pt>
                <c:pt idx="10">
                  <c:v>Aorist Jus./Sub./Opt/Perf_Opt</c:v>
                </c:pt>
                <c:pt idx="11">
                  <c:v>Aorist Prec.</c:v>
                </c:pt>
                <c:pt idx="12">
                  <c:v>Aorist Sub.</c:v>
                </c:pt>
              </c:strCache>
            </c:strRef>
          </c:cat>
          <c:val>
            <c:numRef>
              <c:f>Аорист!$C$2:$C$14</c:f>
              <c:numCache>
                <c:formatCode>General</c:formatCode>
                <c:ptCount val="13"/>
                <c:pt idx="0">
                  <c:v>6.89847009735744</c:v>
                </c:pt>
                <c:pt idx="1">
                  <c:v>5.01390820584145</c:v>
                </c:pt>
                <c:pt idx="2">
                  <c:v>2.92072322670376</c:v>
                </c:pt>
                <c:pt idx="3">
                  <c:v>4.05424200278164</c:v>
                </c:pt>
                <c:pt idx="4">
                  <c:v>30.8901251738526</c:v>
                </c:pt>
                <c:pt idx="5">
                  <c:v>7.34353268428373</c:v>
                </c:pt>
                <c:pt idx="6">
                  <c:v>0.639777468706537</c:v>
                </c:pt>
                <c:pt idx="7">
                  <c:v>0.104311543810848</c:v>
                </c:pt>
                <c:pt idx="8">
                  <c:v>16.9680111265647</c:v>
                </c:pt>
                <c:pt idx="9">
                  <c:v>16.4534075104312</c:v>
                </c:pt>
                <c:pt idx="10">
                  <c:v>2.02364394993046</c:v>
                </c:pt>
                <c:pt idx="11">
                  <c:v>1.53685674547983</c:v>
                </c:pt>
                <c:pt idx="12">
                  <c:v>5.15299026425591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zero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3caff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Перфект!$A$2:$A$7</c:f>
              <c:strCache>
                <c:ptCount val="6"/>
                <c:pt idx="0">
                  <c:v>Perfect Imp</c:v>
                </c:pt>
                <c:pt idx="1">
                  <c:v>Perfect Ind.</c:v>
                </c:pt>
                <c:pt idx="2">
                  <c:v>Perfect Ind. Peri.</c:v>
                </c:pt>
                <c:pt idx="3">
                  <c:v>Perfect Jus.</c:v>
                </c:pt>
                <c:pt idx="4">
                  <c:v>Perfect Opt.</c:v>
                </c:pt>
                <c:pt idx="5">
                  <c:v>Perfect Sub</c:v>
                </c:pt>
              </c:strCache>
            </c:strRef>
          </c:cat>
          <c:val>
            <c:numRef>
              <c:f>Перфект!$C$2:$C$7</c:f>
              <c:numCache>
                <c:formatCode>General</c:formatCode>
                <c:ptCount val="6"/>
                <c:pt idx="0">
                  <c:v>0.246484197792227</c:v>
                </c:pt>
                <c:pt idx="1">
                  <c:v>93.7335551187056</c:v>
                </c:pt>
                <c:pt idx="2">
                  <c:v>5.54665053682141</c:v>
                </c:pt>
                <c:pt idx="3">
                  <c:v>0.0378043248147588</c:v>
                </c:pt>
                <c:pt idx="4">
                  <c:v>0.145168607288674</c:v>
                </c:pt>
                <c:pt idx="5">
                  <c:v>0.290337214577348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Имперфект!$A$2:$A$3</c:f>
              <c:strCache>
                <c:ptCount val="2"/>
                <c:pt idx="0">
                  <c:v>Imperfect ind</c:v>
                </c:pt>
                <c:pt idx="1">
                  <c:v>Imperfect Ind. Passive </c:v>
                </c:pt>
              </c:strCache>
            </c:strRef>
          </c:cat>
          <c:val>
            <c:numRef>
              <c:f>Имперфект!$C$2:$C$3</c:f>
              <c:numCache>
                <c:formatCode>General</c:formatCode>
                <c:ptCount val="2"/>
                <c:pt idx="0">
                  <c:v>97.0732893741217</c:v>
                </c:pt>
                <c:pt idx="1">
                  <c:v>2.92671062587828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6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7"/>
            <c:spPr>
              <a:solidFill>
                <a:srgbClr val="aecf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'Настоящее время'!$A$2:$A$9</c:f>
              <c:strCache>
                <c:ptCount val="8"/>
                <c:pt idx="0">
                  <c:v>Pres. Imp.</c:v>
                </c:pt>
                <c:pt idx="1">
                  <c:v>Pres. Imperative Passive</c:v>
                </c:pt>
                <c:pt idx="2">
                  <c:v>Pres. Opt Passive</c:v>
                </c:pt>
                <c:pt idx="3">
                  <c:v>Pres. Potential</c:v>
                </c:pt>
                <c:pt idx="4">
                  <c:v>Pres. Sub.</c:v>
                </c:pt>
                <c:pt idx="5">
                  <c:v>Present Ind.</c:v>
                </c:pt>
                <c:pt idx="6">
                  <c:v>Present Jus.</c:v>
                </c:pt>
                <c:pt idx="7">
                  <c:v>Present Passive</c:v>
                </c:pt>
              </c:strCache>
            </c:strRef>
          </c:cat>
          <c:val>
            <c:numRef>
              <c:f>'Настоящее время'!$C$2:$C$9</c:f>
              <c:numCache>
                <c:formatCode>General</c:formatCode>
                <c:ptCount val="8"/>
                <c:pt idx="0">
                  <c:v>11.1720599572903</c:v>
                </c:pt>
                <c:pt idx="1">
                  <c:v>1.005655961957</c:v>
                </c:pt>
                <c:pt idx="2">
                  <c:v>0.17124806407816</c:v>
                </c:pt>
                <c:pt idx="3">
                  <c:v>24.8432500289962</c:v>
                </c:pt>
                <c:pt idx="4">
                  <c:v>0.431531476212893</c:v>
                </c:pt>
                <c:pt idx="5">
                  <c:v>53.5586848694489</c:v>
                </c:pt>
                <c:pt idx="6">
                  <c:v>0.306677309972641</c:v>
                </c:pt>
                <c:pt idx="7">
                  <c:v>8.51089233204386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'Будущее время'!$A$2:$A$5</c:f>
              <c:strCache>
                <c:ptCount val="4"/>
                <c:pt idx="0">
                  <c:v>Future Cond.</c:v>
                </c:pt>
                <c:pt idx="1">
                  <c:v>Future Ind.</c:v>
                </c:pt>
                <c:pt idx="2">
                  <c:v>Future passive particle</c:v>
                </c:pt>
                <c:pt idx="3">
                  <c:v>Future. Ind. Peri.</c:v>
                </c:pt>
              </c:strCache>
            </c:strRef>
          </c:cat>
          <c:val>
            <c:numRef>
              <c:f>'Будущее время'!$C$2:$C$5</c:f>
              <c:numCache>
                <c:formatCode>General</c:formatCode>
                <c:ptCount val="4"/>
                <c:pt idx="0">
                  <c:v>0.618319733363981</c:v>
                </c:pt>
                <c:pt idx="1">
                  <c:v>41.3837489943685</c:v>
                </c:pt>
                <c:pt idx="2">
                  <c:v>55.0327548557637</c:v>
                </c:pt>
                <c:pt idx="3">
                  <c:v>2.96517641650385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'Причастия и деепричастия'!$A$2:$A$4</c:f>
              <c:strCache>
                <c:ptCount val="3"/>
                <c:pt idx="0">
                  <c:v>Absolutive</c:v>
                </c:pt>
                <c:pt idx="1">
                  <c:v>Past Active Participle</c:v>
                </c:pt>
                <c:pt idx="2">
                  <c:v>Past Passive Participle</c:v>
                </c:pt>
              </c:strCache>
            </c:strRef>
          </c:cat>
          <c:val>
            <c:numRef>
              <c:f>'Причастия и деепричастия'!$C$2:$C$4</c:f>
              <c:numCache>
                <c:formatCode>General</c:formatCode>
                <c:ptCount val="3"/>
                <c:pt idx="0">
                  <c:v>25.7171794936517</c:v>
                </c:pt>
                <c:pt idx="1">
                  <c:v>0.741474619481536</c:v>
                </c:pt>
                <c:pt idx="2">
                  <c:v>73.5413458868668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36360</xdr:colOff>
      <xdr:row>0</xdr:row>
      <xdr:rowOff>149400</xdr:rowOff>
    </xdr:from>
    <xdr:to>
      <xdr:col>10</xdr:col>
      <xdr:colOff>105840</xdr:colOff>
      <xdr:row>20</xdr:row>
      <xdr:rowOff>137520</xdr:rowOff>
    </xdr:to>
    <xdr:graphicFrame>
      <xdr:nvGraphicFramePr>
        <xdr:cNvPr id="0" name=""/>
        <xdr:cNvGraphicFramePr/>
      </xdr:nvGraphicFramePr>
      <xdr:xfrm>
        <a:off x="2474640" y="14940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36360</xdr:colOff>
      <xdr:row>0</xdr:row>
      <xdr:rowOff>149400</xdr:rowOff>
    </xdr:from>
    <xdr:to>
      <xdr:col>10</xdr:col>
      <xdr:colOff>106200</xdr:colOff>
      <xdr:row>20</xdr:row>
      <xdr:rowOff>137880</xdr:rowOff>
    </xdr:to>
    <xdr:graphicFrame>
      <xdr:nvGraphicFramePr>
        <xdr:cNvPr id="1" name=""/>
        <xdr:cNvGraphicFramePr/>
      </xdr:nvGraphicFramePr>
      <xdr:xfrm>
        <a:off x="2474640" y="1494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36360</xdr:colOff>
      <xdr:row>0</xdr:row>
      <xdr:rowOff>149400</xdr:rowOff>
    </xdr:from>
    <xdr:to>
      <xdr:col>10</xdr:col>
      <xdr:colOff>106200</xdr:colOff>
      <xdr:row>20</xdr:row>
      <xdr:rowOff>137880</xdr:rowOff>
    </xdr:to>
    <xdr:graphicFrame>
      <xdr:nvGraphicFramePr>
        <xdr:cNvPr id="2" name=""/>
        <xdr:cNvGraphicFramePr/>
      </xdr:nvGraphicFramePr>
      <xdr:xfrm>
        <a:off x="2474640" y="1494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36360</xdr:colOff>
      <xdr:row>0</xdr:row>
      <xdr:rowOff>149400</xdr:rowOff>
    </xdr:from>
    <xdr:to>
      <xdr:col>10</xdr:col>
      <xdr:colOff>106200</xdr:colOff>
      <xdr:row>20</xdr:row>
      <xdr:rowOff>137880</xdr:rowOff>
    </xdr:to>
    <xdr:graphicFrame>
      <xdr:nvGraphicFramePr>
        <xdr:cNvPr id="3" name=""/>
        <xdr:cNvGraphicFramePr/>
      </xdr:nvGraphicFramePr>
      <xdr:xfrm>
        <a:off x="2474640" y="1494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36360</xdr:colOff>
      <xdr:row>0</xdr:row>
      <xdr:rowOff>149400</xdr:rowOff>
    </xdr:from>
    <xdr:to>
      <xdr:col>10</xdr:col>
      <xdr:colOff>106200</xdr:colOff>
      <xdr:row>20</xdr:row>
      <xdr:rowOff>137880</xdr:rowOff>
    </xdr:to>
    <xdr:graphicFrame>
      <xdr:nvGraphicFramePr>
        <xdr:cNvPr id="4" name=""/>
        <xdr:cNvGraphicFramePr/>
      </xdr:nvGraphicFramePr>
      <xdr:xfrm>
        <a:off x="2474640" y="1494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36360</xdr:colOff>
      <xdr:row>0</xdr:row>
      <xdr:rowOff>149400</xdr:rowOff>
    </xdr:from>
    <xdr:to>
      <xdr:col>10</xdr:col>
      <xdr:colOff>106200</xdr:colOff>
      <xdr:row>20</xdr:row>
      <xdr:rowOff>137880</xdr:rowOff>
    </xdr:to>
    <xdr:graphicFrame>
      <xdr:nvGraphicFramePr>
        <xdr:cNvPr id="5" name=""/>
        <xdr:cNvGraphicFramePr/>
      </xdr:nvGraphicFramePr>
      <xdr:xfrm>
        <a:off x="2474640" y="1494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4.66"/>
    <col collapsed="false" customWidth="true" hidden="false" outlineLevel="0" max="2" min="2" style="2" width="13.96"/>
    <col collapsed="false" customWidth="false" hidden="false" outlineLevel="0" max="3" min="3" style="3" width="11.53"/>
    <col collapsed="false" customWidth="false" hidden="false" outlineLevel="0" max="5" min="4" style="4" width="11.53"/>
    <col collapsed="false" customWidth="false" hidden="false" outlineLevel="0" max="6" min="6" style="5" width="11.53"/>
    <col collapsed="false" customWidth="false" hidden="false" outlineLevel="0" max="8" min="7" style="4" width="11.53"/>
    <col collapsed="false" customWidth="false" hidden="false" outlineLevel="0" max="9" min="9" style="5" width="11.53"/>
    <col collapsed="false" customWidth="false" hidden="false" outlineLevel="0" max="16384" min="10" style="4" width="11.53"/>
  </cols>
  <sheetData>
    <row r="1" s="9" customFormat="true" ht="12.8" hidden="false" customHeight="false" outlineLevel="0" collapsed="false">
      <c r="A1" s="6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11" t="s">
        <v>2</v>
      </c>
      <c r="G1" s="9" t="s">
        <v>5</v>
      </c>
      <c r="H1" s="9" t="s">
        <v>1</v>
      </c>
      <c r="I1" s="11" t="s">
        <v>2</v>
      </c>
    </row>
    <row r="2" customFormat="false" ht="12.8" hidden="false" customHeight="false" outlineLevel="0" collapsed="false">
      <c r="A2" s="1" t="s">
        <v>6</v>
      </c>
      <c r="B2" s="12" t="n">
        <v>81507</v>
      </c>
      <c r="C2" s="13" t="n">
        <f aca="false">B2/781616*100</f>
        <v>10.428010685554</v>
      </c>
      <c r="D2" s="4" t="s">
        <v>7</v>
      </c>
      <c r="E2" s="4" t="n">
        <v>14380</v>
      </c>
      <c r="F2" s="5" t="n">
        <f aca="false">E2/781476*100</f>
        <v>1.84010769364638</v>
      </c>
      <c r="G2" s="4" t="s">
        <v>8</v>
      </c>
      <c r="H2" s="4" t="n">
        <v>293142</v>
      </c>
      <c r="I2" s="5" t="n">
        <f aca="false">H2/781476*100</f>
        <v>37.5113247239839</v>
      </c>
    </row>
    <row r="3" customFormat="false" ht="12.8" hidden="false" customHeight="false" outlineLevel="0" collapsed="false">
      <c r="A3" s="1" t="s">
        <v>9</v>
      </c>
      <c r="B3" s="12" t="n">
        <v>992</v>
      </c>
      <c r="C3" s="13" t="n">
        <f aca="false">B3/781616*100</f>
        <v>0.126916542138339</v>
      </c>
      <c r="D3" s="4" t="s">
        <v>10</v>
      </c>
      <c r="E3" s="4" t="n">
        <v>66130</v>
      </c>
      <c r="F3" s="5" t="n">
        <f aca="false">E3/781476*100</f>
        <v>8.46219205708173</v>
      </c>
      <c r="G3" s="4" t="s">
        <v>11</v>
      </c>
      <c r="H3" s="4" t="n">
        <v>43505</v>
      </c>
      <c r="I3" s="5" t="n">
        <f aca="false">H3/781476*100</f>
        <v>5.56702956968608</v>
      </c>
    </row>
    <row r="4" customFormat="false" ht="12.8" hidden="false" customHeight="false" outlineLevel="0" collapsed="false">
      <c r="A4" s="1" t="s">
        <v>12</v>
      </c>
      <c r="B4" s="12" t="n">
        <v>721</v>
      </c>
      <c r="C4" s="13" t="n">
        <f aca="false">B4/781616*100</f>
        <v>0.0922447851630468</v>
      </c>
      <c r="D4" s="4" t="s">
        <v>13</v>
      </c>
      <c r="E4" s="4" t="n">
        <v>37004</v>
      </c>
      <c r="F4" s="5" t="n">
        <f aca="false">E4/781476*100</f>
        <v>4.73514221805916</v>
      </c>
      <c r="G4" s="4" t="s">
        <v>14</v>
      </c>
      <c r="H4" s="4" t="n">
        <f aca="false">316936+37004+66130+14380</f>
        <v>434450</v>
      </c>
      <c r="I4" s="5" t="n">
        <f aca="false">H4/781476*100</f>
        <v>55.5935179071398</v>
      </c>
    </row>
    <row r="5" customFormat="false" ht="12.8" hidden="false" customHeight="false" outlineLevel="0" collapsed="false">
      <c r="A5" s="1" t="s">
        <v>15</v>
      </c>
      <c r="B5" s="12" t="n">
        <v>420</v>
      </c>
      <c r="C5" s="13" t="n">
        <f aca="false">B5/781616*100</f>
        <v>0.053734826308571</v>
      </c>
      <c r="D5" s="4" t="s">
        <v>8</v>
      </c>
      <c r="E5" s="4" t="n">
        <v>293142</v>
      </c>
      <c r="F5" s="5" t="n">
        <f aca="false">E5/781476*100</f>
        <v>37.5113247239839</v>
      </c>
      <c r="G5" s="4" t="s">
        <v>16</v>
      </c>
      <c r="H5" s="4" t="n">
        <v>10379</v>
      </c>
      <c r="I5" s="5" t="n">
        <f aca="false">H5/781476*100</f>
        <v>1.32812779919025</v>
      </c>
    </row>
    <row r="6" customFormat="false" ht="12.8" hidden="false" customHeight="false" outlineLevel="0" collapsed="false">
      <c r="A6" s="1" t="s">
        <v>17</v>
      </c>
      <c r="B6" s="12" t="n">
        <v>583</v>
      </c>
      <c r="C6" s="13" t="n">
        <f aca="false">B6/781616*100</f>
        <v>0.0745890565188021</v>
      </c>
      <c r="D6" s="4" t="s">
        <v>11</v>
      </c>
      <c r="E6" s="4" t="n">
        <v>43505</v>
      </c>
      <c r="F6" s="5" t="n">
        <f aca="false">E6/781476*100</f>
        <v>5.56702956968608</v>
      </c>
    </row>
    <row r="7" customFormat="false" ht="12.8" hidden="false" customHeight="false" outlineLevel="0" collapsed="false">
      <c r="A7" s="1" t="s">
        <v>18</v>
      </c>
      <c r="B7" s="12" t="n">
        <v>4442</v>
      </c>
      <c r="C7" s="13" t="n">
        <f aca="false">B7/781616*100</f>
        <v>0.568309758244458</v>
      </c>
      <c r="D7" s="4" t="s">
        <v>19</v>
      </c>
      <c r="E7" s="4" t="n">
        <v>316936</v>
      </c>
      <c r="F7" s="5" t="n">
        <f aca="false">E7/781476*100</f>
        <v>40.5560759383526</v>
      </c>
    </row>
    <row r="8" customFormat="false" ht="12.8" hidden="false" customHeight="false" outlineLevel="0" collapsed="false">
      <c r="A8" s="1" t="s">
        <v>20</v>
      </c>
      <c r="B8" s="12" t="n">
        <v>1056</v>
      </c>
      <c r="C8" s="13" t="n">
        <f aca="false">B8/781616*100</f>
        <v>0.135104706147264</v>
      </c>
      <c r="D8" s="4" t="s">
        <v>16</v>
      </c>
      <c r="E8" s="4" t="n">
        <v>10379</v>
      </c>
      <c r="F8" s="5" t="n">
        <f aca="false">E8/781476*100</f>
        <v>1.32812779919025</v>
      </c>
    </row>
    <row r="9" customFormat="false" ht="12.8" hidden="false" customHeight="false" outlineLevel="0" collapsed="false">
      <c r="A9" s="1" t="s">
        <v>21</v>
      </c>
      <c r="B9" s="12" t="n">
        <v>92</v>
      </c>
      <c r="C9" s="13" t="n">
        <f aca="false">B9/781616*100</f>
        <v>0.0117704857628298</v>
      </c>
      <c r="D9" s="9" t="s">
        <v>22</v>
      </c>
      <c r="E9" s="9" t="n">
        <f aca="false">SUM(E2:E8)</f>
        <v>781476</v>
      </c>
    </row>
    <row r="10" customFormat="false" ht="12.8" hidden="false" customHeight="false" outlineLevel="0" collapsed="false">
      <c r="A10" s="1" t="s">
        <v>23</v>
      </c>
      <c r="B10" s="12" t="n">
        <v>15</v>
      </c>
      <c r="C10" s="13" t="n">
        <f aca="false">B10/781616*100</f>
        <v>0.00191910093959182</v>
      </c>
    </row>
    <row r="11" customFormat="false" ht="12.8" hidden="false" customHeight="false" outlineLevel="0" collapsed="false">
      <c r="A11" s="1" t="s">
        <v>24</v>
      </c>
      <c r="B11" s="12" t="n">
        <v>2440</v>
      </c>
      <c r="C11" s="13" t="n">
        <f aca="false">B11/781616*100</f>
        <v>0.312173752840269</v>
      </c>
    </row>
    <row r="12" customFormat="false" ht="12.8" hidden="false" customHeight="false" outlineLevel="0" collapsed="false">
      <c r="A12" s="1" t="s">
        <v>25</v>
      </c>
      <c r="B12" s="12" t="n">
        <v>2366</v>
      </c>
      <c r="C12" s="13" t="n">
        <f aca="false">B12/781616*100</f>
        <v>0.30270618820495</v>
      </c>
    </row>
    <row r="13" customFormat="false" ht="12.8" hidden="false" customHeight="false" outlineLevel="0" collapsed="false">
      <c r="A13" s="1" t="s">
        <v>26</v>
      </c>
      <c r="B13" s="12" t="n">
        <v>291</v>
      </c>
      <c r="C13" s="13" t="n">
        <f aca="false">B13/781616*100</f>
        <v>0.0372305582280813</v>
      </c>
    </row>
    <row r="14" customFormat="false" ht="12.8" hidden="false" customHeight="false" outlineLevel="0" collapsed="false">
      <c r="A14" s="1" t="s">
        <v>27</v>
      </c>
      <c r="B14" s="12" t="n">
        <v>221</v>
      </c>
      <c r="C14" s="13" t="n">
        <f aca="false">B14/781616*100</f>
        <v>0.0282747538433195</v>
      </c>
    </row>
    <row r="15" customFormat="false" ht="12.8" hidden="false" customHeight="false" outlineLevel="0" collapsed="false">
      <c r="A15" s="1" t="s">
        <v>28</v>
      </c>
      <c r="B15" s="12" t="n">
        <v>741</v>
      </c>
      <c r="C15" s="13" t="n">
        <f aca="false">B15/781616*100</f>
        <v>0.0948035864158359</v>
      </c>
    </row>
    <row r="16" customFormat="false" ht="12.8" hidden="false" customHeight="false" outlineLevel="0" collapsed="false">
      <c r="A16" s="1" t="s">
        <v>29</v>
      </c>
      <c r="B16" s="12" t="n">
        <v>269</v>
      </c>
      <c r="C16" s="13" t="n">
        <f aca="false">B16/781616*100</f>
        <v>0.0344158768500133</v>
      </c>
    </row>
    <row r="17" customFormat="false" ht="12.8" hidden="false" customHeight="false" outlineLevel="0" collapsed="false">
      <c r="A17" s="1" t="s">
        <v>30</v>
      </c>
      <c r="B17" s="12" t="n">
        <v>18004</v>
      </c>
      <c r="C17" s="13" t="n">
        <f aca="false">B17/781616*100</f>
        <v>2.30343288776074</v>
      </c>
    </row>
    <row r="18" customFormat="false" ht="12.8" hidden="false" customHeight="false" outlineLevel="0" collapsed="false">
      <c r="A18" s="1" t="s">
        <v>31</v>
      </c>
      <c r="B18" s="12" t="n">
        <v>23942</v>
      </c>
      <c r="C18" s="13" t="n">
        <f aca="false">B18/781616*100</f>
        <v>3.06314097971382</v>
      </c>
    </row>
    <row r="19" customFormat="false" ht="12.8" hidden="false" customHeight="false" outlineLevel="0" collapsed="false">
      <c r="A19" s="1" t="s">
        <v>32</v>
      </c>
      <c r="B19" s="12" t="n">
        <v>1290</v>
      </c>
      <c r="C19" s="13" t="n">
        <f aca="false">B19/781616*100</f>
        <v>0.165042680804897</v>
      </c>
    </row>
    <row r="20" customFormat="false" ht="12.8" hidden="false" customHeight="false" outlineLevel="0" collapsed="false">
      <c r="A20" s="1" t="s">
        <v>33</v>
      </c>
      <c r="B20" s="12" t="n">
        <v>35921</v>
      </c>
      <c r="C20" s="13" t="n">
        <f aca="false">B20/781616*100</f>
        <v>4.59573499007185</v>
      </c>
    </row>
    <row r="21" customFormat="false" ht="12.8" hidden="false" customHeight="false" outlineLevel="0" collapsed="false">
      <c r="A21" s="1" t="s">
        <v>34</v>
      </c>
      <c r="B21" s="12" t="n">
        <v>1083</v>
      </c>
      <c r="C21" s="13" t="n">
        <f aca="false">B21/781616*100</f>
        <v>0.138559087838529</v>
      </c>
    </row>
    <row r="22" customFormat="false" ht="12.8" hidden="false" customHeight="false" outlineLevel="0" collapsed="false">
      <c r="A22" s="1" t="s">
        <v>35</v>
      </c>
      <c r="B22" s="12" t="n">
        <v>10379</v>
      </c>
      <c r="C22" s="13" t="n">
        <f aca="false">B22/781616*100</f>
        <v>1.3278899101349</v>
      </c>
    </row>
    <row r="23" customFormat="false" ht="12.8" hidden="false" customHeight="false" outlineLevel="0" collapsed="false">
      <c r="A23" s="1" t="s">
        <v>36</v>
      </c>
      <c r="B23" s="12" t="n">
        <v>2350</v>
      </c>
      <c r="C23" s="13" t="n">
        <f aca="false">B23/781616*100</f>
        <v>0.300659147202718</v>
      </c>
    </row>
    <row r="24" customFormat="false" ht="12.8" hidden="false" customHeight="false" outlineLevel="0" collapsed="false">
      <c r="A24" s="1" t="s">
        <v>37</v>
      </c>
      <c r="B24" s="12" t="n">
        <v>233079</v>
      </c>
      <c r="C24" s="13" t="n">
        <f aca="false">B24/781616*100</f>
        <v>29.8201418599415</v>
      </c>
    </row>
    <row r="25" customFormat="false" ht="12.8" hidden="false" customHeight="false" outlineLevel="0" collapsed="false">
      <c r="A25" s="1" t="s">
        <v>38</v>
      </c>
      <c r="B25" s="12" t="n">
        <v>163</v>
      </c>
      <c r="C25" s="13" t="n">
        <f aca="false">B25/781616*100</f>
        <v>0.0208542302102311</v>
      </c>
    </row>
    <row r="26" customFormat="false" ht="12.8" hidden="false" customHeight="false" outlineLevel="0" collapsed="false">
      <c r="A26" s="1" t="s">
        <v>39</v>
      </c>
      <c r="B26" s="12" t="n">
        <v>61986</v>
      </c>
      <c r="C26" s="13" t="n">
        <f aca="false">B26/781616*100</f>
        <v>7.93049272276924</v>
      </c>
    </row>
    <row r="27" customFormat="false" ht="12.8" hidden="false" customHeight="false" outlineLevel="0" collapsed="false">
      <c r="A27" s="1" t="s">
        <v>40</v>
      </c>
      <c r="B27" s="12" t="n">
        <v>3668</v>
      </c>
      <c r="C27" s="13" t="n">
        <f aca="false">B27/781616*100</f>
        <v>0.46928414976152</v>
      </c>
    </row>
    <row r="28" customFormat="false" ht="12.8" hidden="false" customHeight="false" outlineLevel="0" collapsed="false">
      <c r="A28" s="1" t="s">
        <v>41</v>
      </c>
      <c r="B28" s="12" t="n">
        <v>25</v>
      </c>
      <c r="C28" s="13" t="n">
        <f aca="false">B28/781616*100</f>
        <v>0.00319850156598637</v>
      </c>
    </row>
    <row r="29" customFormat="false" ht="12.8" hidden="false" customHeight="false" outlineLevel="0" collapsed="false">
      <c r="A29" s="1" t="s">
        <v>42</v>
      </c>
      <c r="B29" s="12" t="n">
        <v>96</v>
      </c>
      <c r="C29" s="13" t="n">
        <f aca="false">B29/781616*100</f>
        <v>0.0122822460133876</v>
      </c>
    </row>
    <row r="30" customFormat="false" ht="12.8" hidden="false" customHeight="false" outlineLevel="0" collapsed="false">
      <c r="A30" s="1" t="s">
        <v>43</v>
      </c>
      <c r="B30" s="12" t="n">
        <v>192</v>
      </c>
      <c r="C30" s="13" t="n">
        <f aca="false">B30/781616*100</f>
        <v>0.0245644920267753</v>
      </c>
    </row>
    <row r="31" customFormat="false" ht="12.8" hidden="false" customHeight="false" outlineLevel="0" collapsed="false">
      <c r="A31" s="1" t="s">
        <v>44</v>
      </c>
      <c r="B31" s="12" t="n">
        <v>140</v>
      </c>
      <c r="C31" s="13" t="n">
        <f aca="false">B31/781616*100</f>
        <v>0.0179116087695237</v>
      </c>
    </row>
    <row r="32" customFormat="false" ht="12.8" hidden="false" customHeight="false" outlineLevel="0" collapsed="false">
      <c r="A32" s="1" t="s">
        <v>45</v>
      </c>
      <c r="B32" s="12" t="n">
        <v>32750</v>
      </c>
      <c r="C32" s="13" t="n">
        <f aca="false">B32/781616*100</f>
        <v>4.19003705144214</v>
      </c>
    </row>
    <row r="33" customFormat="false" ht="12.8" hidden="false" customHeight="false" outlineLevel="0" collapsed="false">
      <c r="A33" s="1" t="s">
        <v>46</v>
      </c>
      <c r="B33" s="12" t="n">
        <v>2948</v>
      </c>
      <c r="C33" s="13" t="n">
        <f aca="false">B33/781616*100</f>
        <v>0.377167304661112</v>
      </c>
    </row>
    <row r="34" customFormat="false" ht="12.8" hidden="false" customHeight="false" outlineLevel="0" collapsed="false">
      <c r="A34" s="1" t="s">
        <v>47</v>
      </c>
      <c r="B34" s="12" t="n">
        <v>502</v>
      </c>
      <c r="C34" s="13" t="n">
        <f aca="false">B34/781616*100</f>
        <v>0.0642259114450063</v>
      </c>
    </row>
    <row r="35" customFormat="false" ht="12.8" hidden="false" customHeight="false" outlineLevel="0" collapsed="false">
      <c r="A35" s="1" t="s">
        <v>48</v>
      </c>
      <c r="B35" s="12" t="n">
        <v>72826</v>
      </c>
      <c r="C35" s="13" t="n">
        <f aca="false">B35/781616*100</f>
        <v>9.31736300178093</v>
      </c>
    </row>
    <row r="36" customFormat="false" ht="12.8" hidden="false" customHeight="false" outlineLevel="0" collapsed="false">
      <c r="A36" s="1" t="s">
        <v>49</v>
      </c>
      <c r="B36" s="12" t="n">
        <v>1265</v>
      </c>
      <c r="C36" s="13" t="n">
        <f aca="false">B36/781616*100</f>
        <v>0.16184417923891</v>
      </c>
    </row>
    <row r="37" customFormat="false" ht="12.8" hidden="false" customHeight="false" outlineLevel="0" collapsed="false">
      <c r="A37" s="1" t="s">
        <v>50</v>
      </c>
      <c r="B37" s="12" t="n">
        <v>157003</v>
      </c>
      <c r="C37" s="13" t="n">
        <f aca="false">B37/781616*100</f>
        <v>20.0869736545823</v>
      </c>
    </row>
    <row r="38" customFormat="false" ht="12.8" hidden="false" customHeight="false" outlineLevel="0" collapsed="false">
      <c r="A38" s="1" t="s">
        <v>51</v>
      </c>
      <c r="B38" s="12" t="n">
        <v>899</v>
      </c>
      <c r="C38" s="13" t="n">
        <f aca="false">B38/781616*100</f>
        <v>0.11501811631287</v>
      </c>
    </row>
    <row r="39" customFormat="false" ht="12.8" hidden="false" customHeight="false" outlineLevel="0" collapsed="false">
      <c r="A39" s="1" t="s">
        <v>52</v>
      </c>
      <c r="B39" s="12" t="n">
        <v>24949</v>
      </c>
      <c r="C39" s="13" t="n">
        <f aca="false">B39/781616*100</f>
        <v>3.19197662279176</v>
      </c>
    </row>
    <row r="40" customFormat="false" ht="12.8" hidden="false" customHeight="false" outlineLevel="0" collapsed="false">
      <c r="B40" s="12" t="n">
        <f aca="false">SUM(B2:B39)</f>
        <v>781616</v>
      </c>
      <c r="C40" s="1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4" t="s">
        <v>53</v>
      </c>
      <c r="B1" s="14" t="s">
        <v>54</v>
      </c>
    </row>
    <row r="2" customFormat="false" ht="12.8" hidden="false" customHeight="false" outlineLevel="0" collapsed="false">
      <c r="A2" s="14" t="s">
        <v>9</v>
      </c>
      <c r="B2" s="14" t="n">
        <v>992</v>
      </c>
      <c r="C2" s="14" t="n">
        <f aca="false">B2/14380*100</f>
        <v>6.89847009735744</v>
      </c>
    </row>
    <row r="3" customFormat="false" ht="12.8" hidden="false" customHeight="false" outlineLevel="0" collapsed="false">
      <c r="A3" s="14" t="s">
        <v>12</v>
      </c>
      <c r="B3" s="14" t="n">
        <v>721</v>
      </c>
      <c r="C3" s="14" t="n">
        <f aca="false">B3/14380*100</f>
        <v>5.01390820584145</v>
      </c>
    </row>
    <row r="4" customFormat="false" ht="12.8" hidden="false" customHeight="false" outlineLevel="0" collapsed="false">
      <c r="A4" s="14" t="s">
        <v>15</v>
      </c>
      <c r="B4" s="14" t="n">
        <v>420</v>
      </c>
      <c r="C4" s="14" t="n">
        <f aca="false">B4/14380*100</f>
        <v>2.92072322670376</v>
      </c>
    </row>
    <row r="5" customFormat="false" ht="12.8" hidden="false" customHeight="false" outlineLevel="0" collapsed="false">
      <c r="A5" s="14" t="s">
        <v>17</v>
      </c>
      <c r="B5" s="14" t="n">
        <v>583</v>
      </c>
      <c r="C5" s="14" t="n">
        <f aca="false">B5/14380*100</f>
        <v>4.05424200278164</v>
      </c>
    </row>
    <row r="6" customFormat="false" ht="12.8" hidden="false" customHeight="false" outlineLevel="0" collapsed="false">
      <c r="A6" s="14" t="s">
        <v>18</v>
      </c>
      <c r="B6" s="14" t="n">
        <v>4442</v>
      </c>
      <c r="C6" s="14" t="n">
        <f aca="false">B6/14380*100</f>
        <v>30.8901251738526</v>
      </c>
    </row>
    <row r="7" customFormat="false" ht="12.8" hidden="false" customHeight="false" outlineLevel="0" collapsed="false">
      <c r="A7" s="14" t="s">
        <v>20</v>
      </c>
      <c r="B7" s="14" t="n">
        <v>1056</v>
      </c>
      <c r="C7" s="14" t="n">
        <f aca="false">B7/14380*100</f>
        <v>7.34353268428373</v>
      </c>
    </row>
    <row r="8" customFormat="false" ht="12.8" hidden="false" customHeight="false" outlineLevel="0" collapsed="false">
      <c r="A8" s="14" t="s">
        <v>21</v>
      </c>
      <c r="B8" s="14" t="n">
        <v>92</v>
      </c>
      <c r="C8" s="14" t="n">
        <f aca="false">B8/14380*100</f>
        <v>0.639777468706537</v>
      </c>
    </row>
    <row r="9" customFormat="false" ht="12.8" hidden="false" customHeight="false" outlineLevel="0" collapsed="false">
      <c r="A9" s="14" t="s">
        <v>23</v>
      </c>
      <c r="B9" s="14" t="n">
        <v>15</v>
      </c>
      <c r="C9" s="14" t="n">
        <f aca="false">B9/14380*100</f>
        <v>0.104311543810848</v>
      </c>
    </row>
    <row r="10" customFormat="false" ht="12.8" hidden="false" customHeight="false" outlineLevel="0" collapsed="false">
      <c r="A10" s="14" t="s">
        <v>24</v>
      </c>
      <c r="B10" s="14" t="n">
        <v>2440</v>
      </c>
      <c r="C10" s="14" t="n">
        <f aca="false">B10/14380*100</f>
        <v>16.9680111265647</v>
      </c>
    </row>
    <row r="11" customFormat="false" ht="12.8" hidden="false" customHeight="false" outlineLevel="0" collapsed="false">
      <c r="A11" s="14" t="s">
        <v>25</v>
      </c>
      <c r="B11" s="14" t="n">
        <v>2366</v>
      </c>
      <c r="C11" s="14" t="n">
        <f aca="false">B11/14380*100</f>
        <v>16.4534075104312</v>
      </c>
    </row>
    <row r="12" customFormat="false" ht="12.8" hidden="false" customHeight="false" outlineLevel="0" collapsed="false">
      <c r="A12" s="14" t="s">
        <v>26</v>
      </c>
      <c r="B12" s="14" t="n">
        <v>291</v>
      </c>
      <c r="C12" s="14" t="n">
        <f aca="false">B12/14380*100</f>
        <v>2.02364394993046</v>
      </c>
    </row>
    <row r="13" customFormat="false" ht="12.8" hidden="false" customHeight="false" outlineLevel="0" collapsed="false">
      <c r="A13" s="14" t="s">
        <v>27</v>
      </c>
      <c r="B13" s="14" t="n">
        <v>221</v>
      </c>
      <c r="C13" s="14" t="n">
        <f aca="false">B13/14380*100</f>
        <v>1.53685674547983</v>
      </c>
    </row>
    <row r="14" customFormat="false" ht="12.8" hidden="false" customHeight="false" outlineLevel="0" collapsed="false">
      <c r="A14" s="14" t="s">
        <v>28</v>
      </c>
      <c r="B14" s="14" t="n">
        <v>741</v>
      </c>
      <c r="C14" s="14" t="n">
        <f aca="false">B14/14380*100</f>
        <v>5.15299026425591</v>
      </c>
    </row>
    <row r="15" customFormat="false" ht="12.8" hidden="false" customHeight="false" outlineLevel="0" collapsed="false">
      <c r="A15" s="14" t="s">
        <v>22</v>
      </c>
      <c r="B15" s="14" t="n">
        <f aca="false">SUM(B2:B14)</f>
        <v>14380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10</v>
      </c>
      <c r="B1" s="0" t="s">
        <v>1</v>
      </c>
      <c r="C1" s="0" t="s">
        <v>2</v>
      </c>
    </row>
    <row r="2" customFormat="false" ht="12.8" hidden="false" customHeight="false" outlineLevel="0" collapsed="false">
      <c r="A2" s="14" t="s">
        <v>38</v>
      </c>
      <c r="B2" s="14" t="n">
        <v>163</v>
      </c>
      <c r="C2" s="0" t="n">
        <f aca="false">B2/66130*100</f>
        <v>0.246484197792227</v>
      </c>
    </row>
    <row r="3" customFormat="false" ht="12.8" hidden="false" customHeight="false" outlineLevel="0" collapsed="false">
      <c r="A3" s="14" t="s">
        <v>39</v>
      </c>
      <c r="B3" s="14" t="n">
        <v>61986</v>
      </c>
      <c r="C3" s="0" t="n">
        <f aca="false">B3/66130*100</f>
        <v>93.7335551187056</v>
      </c>
    </row>
    <row r="4" customFormat="false" ht="12.8" hidden="false" customHeight="false" outlineLevel="0" collapsed="false">
      <c r="A4" s="14" t="s">
        <v>40</v>
      </c>
      <c r="B4" s="14" t="n">
        <v>3668</v>
      </c>
      <c r="C4" s="0" t="n">
        <f aca="false">B4/66130*100</f>
        <v>5.54665053682141</v>
      </c>
    </row>
    <row r="5" customFormat="false" ht="12.8" hidden="false" customHeight="false" outlineLevel="0" collapsed="false">
      <c r="A5" s="14" t="s">
        <v>41</v>
      </c>
      <c r="B5" s="14" t="n">
        <v>25</v>
      </c>
      <c r="C5" s="0" t="n">
        <f aca="false">B5/66130*100</f>
        <v>0.0378043248147588</v>
      </c>
    </row>
    <row r="6" customFormat="false" ht="12.8" hidden="false" customHeight="false" outlineLevel="0" collapsed="false">
      <c r="A6" s="14" t="s">
        <v>42</v>
      </c>
      <c r="B6" s="14" t="n">
        <v>96</v>
      </c>
      <c r="C6" s="0" t="n">
        <f aca="false">B6/66130*100</f>
        <v>0.145168607288674</v>
      </c>
    </row>
    <row r="7" customFormat="false" ht="12.8" hidden="false" customHeight="false" outlineLevel="0" collapsed="false">
      <c r="A7" s="14" t="s">
        <v>43</v>
      </c>
      <c r="B7" s="14" t="n">
        <v>192</v>
      </c>
      <c r="C7" s="0" t="n">
        <f aca="false">B7/66130*100</f>
        <v>0.290337214577348</v>
      </c>
    </row>
    <row r="8" customFormat="false" ht="12.8" hidden="false" customHeight="false" outlineLevel="0" collapsed="false">
      <c r="B8" s="0" t="n">
        <f aca="false">SUM(B2:B7)</f>
        <v>66130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13</v>
      </c>
      <c r="B1" s="0" t="s">
        <v>1</v>
      </c>
      <c r="C1" s="0" t="s">
        <v>2</v>
      </c>
    </row>
    <row r="2" customFormat="false" ht="12.8" hidden="false" customHeight="false" outlineLevel="0" collapsed="false">
      <c r="A2" s="14" t="s">
        <v>33</v>
      </c>
      <c r="B2" s="14" t="n">
        <v>35921</v>
      </c>
      <c r="C2" s="0" t="n">
        <f aca="false">B2/37004*100</f>
        <v>97.0732893741217</v>
      </c>
    </row>
    <row r="3" customFormat="false" ht="12.8" hidden="false" customHeight="false" outlineLevel="0" collapsed="false">
      <c r="A3" s="14" t="s">
        <v>34</v>
      </c>
      <c r="B3" s="14" t="n">
        <v>1083</v>
      </c>
      <c r="C3" s="0" t="n">
        <f aca="false">B3/37004*100</f>
        <v>2.92671062587828</v>
      </c>
    </row>
    <row r="4" customFormat="false" ht="12.8" hidden="false" customHeight="false" outlineLevel="0" collapsed="false">
      <c r="B4" s="0" t="n">
        <f aca="false">SUM(B2:B3)</f>
        <v>37004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55</v>
      </c>
      <c r="C1" s="0" t="s">
        <v>2</v>
      </c>
    </row>
    <row r="2" customFormat="false" ht="12.8" hidden="false" customHeight="false" outlineLevel="0" collapsed="false">
      <c r="A2" s="14" t="s">
        <v>45</v>
      </c>
      <c r="B2" s="14" t="n">
        <v>32750</v>
      </c>
      <c r="C2" s="0" t="n">
        <f aca="false">B2/293142*100</f>
        <v>11.1720599572903</v>
      </c>
    </row>
    <row r="3" customFormat="false" ht="12.8" hidden="false" customHeight="false" outlineLevel="0" collapsed="false">
      <c r="A3" s="14" t="s">
        <v>46</v>
      </c>
      <c r="B3" s="14" t="n">
        <v>2948</v>
      </c>
      <c r="C3" s="0" t="n">
        <f aca="false">B3/293142*100</f>
        <v>1.005655961957</v>
      </c>
    </row>
    <row r="4" customFormat="false" ht="12.8" hidden="false" customHeight="false" outlineLevel="0" collapsed="false">
      <c r="A4" s="14" t="s">
        <v>47</v>
      </c>
      <c r="B4" s="14" t="n">
        <v>502</v>
      </c>
      <c r="C4" s="0" t="n">
        <f aca="false">B4/293142*100</f>
        <v>0.17124806407816</v>
      </c>
    </row>
    <row r="5" customFormat="false" ht="12.8" hidden="false" customHeight="false" outlineLevel="0" collapsed="false">
      <c r="A5" s="14" t="s">
        <v>48</v>
      </c>
      <c r="B5" s="14" t="n">
        <v>72826</v>
      </c>
      <c r="C5" s="0" t="n">
        <f aca="false">B5/293142*100</f>
        <v>24.8432500289962</v>
      </c>
    </row>
    <row r="6" customFormat="false" ht="12.8" hidden="false" customHeight="false" outlineLevel="0" collapsed="false">
      <c r="A6" s="14" t="s">
        <v>49</v>
      </c>
      <c r="B6" s="14" t="n">
        <v>1265</v>
      </c>
      <c r="C6" s="0" t="n">
        <f aca="false">B6/293142*100</f>
        <v>0.431531476212893</v>
      </c>
    </row>
    <row r="7" customFormat="false" ht="12.8" hidden="false" customHeight="false" outlineLevel="0" collapsed="false">
      <c r="A7" s="14" t="s">
        <v>50</v>
      </c>
      <c r="B7" s="14" t="n">
        <v>157003</v>
      </c>
      <c r="C7" s="0" t="n">
        <f aca="false">B7/293142*100</f>
        <v>53.5586848694489</v>
      </c>
    </row>
    <row r="8" customFormat="false" ht="12.8" hidden="false" customHeight="false" outlineLevel="0" collapsed="false">
      <c r="A8" s="14" t="s">
        <v>51</v>
      </c>
      <c r="B8" s="14" t="n">
        <v>899</v>
      </c>
      <c r="C8" s="0" t="n">
        <f aca="false">B8/293142*100</f>
        <v>0.306677309972641</v>
      </c>
    </row>
    <row r="9" customFormat="false" ht="12.8" hidden="false" customHeight="false" outlineLevel="0" collapsed="false">
      <c r="A9" s="14" t="s">
        <v>52</v>
      </c>
      <c r="B9" s="14" t="n">
        <v>24949</v>
      </c>
      <c r="C9" s="0" t="n">
        <f aca="false">B9/293142*100</f>
        <v>8.51089233204386</v>
      </c>
    </row>
    <row r="10" customFormat="false" ht="12.8" hidden="false" customHeight="false" outlineLevel="0" collapsed="false">
      <c r="B10" s="0" t="n">
        <f aca="false">SUM(B2:B9)</f>
        <v>293142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14" t="s">
        <v>29</v>
      </c>
      <c r="B2" s="14" t="n">
        <v>269</v>
      </c>
      <c r="C2" s="0" t="n">
        <f aca="false">B2/43505*100</f>
        <v>0.618319733363981</v>
      </c>
    </row>
    <row r="3" customFormat="false" ht="12.8" hidden="false" customHeight="false" outlineLevel="0" collapsed="false">
      <c r="A3" s="14" t="s">
        <v>30</v>
      </c>
      <c r="B3" s="14" t="n">
        <v>18004</v>
      </c>
      <c r="C3" s="0" t="n">
        <f aca="false">B3/43505*100</f>
        <v>41.3837489943685</v>
      </c>
    </row>
    <row r="4" customFormat="false" ht="12.8" hidden="false" customHeight="false" outlineLevel="0" collapsed="false">
      <c r="A4" s="14" t="s">
        <v>31</v>
      </c>
      <c r="B4" s="14" t="n">
        <v>23942</v>
      </c>
      <c r="C4" s="0" t="n">
        <f aca="false">B4/43505*100</f>
        <v>55.0327548557637</v>
      </c>
    </row>
    <row r="5" customFormat="false" ht="12.8" hidden="false" customHeight="false" outlineLevel="0" collapsed="false">
      <c r="A5" s="14" t="s">
        <v>32</v>
      </c>
      <c r="B5" s="14" t="n">
        <v>1290</v>
      </c>
      <c r="C5" s="0" t="n">
        <f aca="false">B5/43505*100</f>
        <v>2.96517641650385</v>
      </c>
    </row>
    <row r="6" customFormat="false" ht="12.8" hidden="false" customHeight="false" outlineLevel="0" collapsed="false">
      <c r="B6" s="0" t="n">
        <f aca="false">SUM(B2:B5)</f>
        <v>43505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56</v>
      </c>
      <c r="B1" s="0" t="s">
        <v>1</v>
      </c>
      <c r="C1" s="0" t="s">
        <v>2</v>
      </c>
    </row>
    <row r="2" customFormat="false" ht="12.8" hidden="false" customHeight="false" outlineLevel="0" collapsed="false">
      <c r="A2" s="14" t="s">
        <v>6</v>
      </c>
      <c r="B2" s="14" t="n">
        <v>81507</v>
      </c>
      <c r="C2" s="0" t="n">
        <f aca="false">B2/316936*100</f>
        <v>25.7171794936517</v>
      </c>
    </row>
    <row r="3" customFormat="false" ht="12.8" hidden="false" customHeight="false" outlineLevel="0" collapsed="false">
      <c r="A3" s="14" t="s">
        <v>36</v>
      </c>
      <c r="B3" s="14" t="n">
        <v>2350</v>
      </c>
      <c r="C3" s="0" t="n">
        <f aca="false">B3/316936*100</f>
        <v>0.741474619481536</v>
      </c>
    </row>
    <row r="4" customFormat="false" ht="12.8" hidden="false" customHeight="false" outlineLevel="0" collapsed="false">
      <c r="A4" s="14" t="s">
        <v>37</v>
      </c>
      <c r="B4" s="14" t="n">
        <v>233079</v>
      </c>
      <c r="C4" s="0" t="n">
        <f aca="false">B4/316936*100</f>
        <v>73.5413458868668</v>
      </c>
    </row>
    <row r="5" customFormat="false" ht="12.8" hidden="false" customHeight="false" outlineLevel="0" collapsed="false">
      <c r="B5" s="0" t="n">
        <f aca="false">SUM(B2:B4)</f>
        <v>316936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LibreOffice/24.8.2.1$Windows_X86_64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2024-12-28T10:24:04Z</dcterms:created>
  <dc:creator/>
  <dc:description/>
  <dc:language>ru-RU</dc:language>
  <cp:lastModifiedBy/>
  <dcterms:modified xsi:type="dcterms:W3CDTF">2024-12-28T21:20:49Z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