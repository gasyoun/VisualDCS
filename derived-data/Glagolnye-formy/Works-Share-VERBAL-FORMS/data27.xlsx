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Префиксы" sheetId="1" state="visible" r:id="rId2"/>
    <sheet name="Глаголы с префиксами и без них" sheetId="2" state="visible" r:id="rId3"/>
    <sheet name="Статистика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<sst xmlns="http://schemas.openxmlformats.org/spreadsheetml/2006/main" count="11463" uniqueCount="11306">
  <si>
    <t xml:space="preserve">Префикс</t>
  </si>
  <si>
    <t xml:space="preserve">Частота</t>
  </si>
  <si>
    <t xml:space="preserve">%</t>
  </si>
  <si>
    <t xml:space="preserve">Парето</t>
  </si>
  <si>
    <t xml:space="preserve">sam</t>
  </si>
  <si>
    <t xml:space="preserve">pra</t>
  </si>
  <si>
    <t xml:space="preserve">vi</t>
  </si>
  <si>
    <t xml:space="preserve">ā</t>
  </si>
  <si>
    <t xml:space="preserve">pari</t>
  </si>
  <si>
    <t xml:space="preserve">abhi</t>
  </si>
  <si>
    <t xml:space="preserve">anu</t>
  </si>
  <si>
    <t xml:space="preserve">prati</t>
  </si>
  <si>
    <t xml:space="preserve">upa</t>
  </si>
  <si>
    <t xml:space="preserve">ava</t>
  </si>
  <si>
    <t xml:space="preserve">ut</t>
  </si>
  <si>
    <t xml:space="preserve">ni</t>
  </si>
  <si>
    <t xml:space="preserve">niḥ</t>
  </si>
  <si>
    <t xml:space="preserve">ati</t>
  </si>
  <si>
    <t xml:space="preserve">apa</t>
  </si>
  <si>
    <t xml:space="preserve">samā</t>
  </si>
  <si>
    <t xml:space="preserve">ud</t>
  </si>
  <si>
    <t xml:space="preserve">sampra</t>
  </si>
  <si>
    <t xml:space="preserve">abhipra</t>
  </si>
  <si>
    <t xml:space="preserve">abhisam</t>
  </si>
  <si>
    <t xml:space="preserve">adhi</t>
  </si>
  <si>
    <t xml:space="preserve">vyā</t>
  </si>
  <si>
    <t xml:space="preserve">samut</t>
  </si>
  <si>
    <t xml:space="preserve">saṃpra</t>
  </si>
  <si>
    <t xml:space="preserve">pravi</t>
  </si>
  <si>
    <t xml:space="preserve">parā</t>
  </si>
  <si>
    <t xml:space="preserve">anupra</t>
  </si>
  <si>
    <t xml:space="preserve">samabhi</t>
  </si>
  <si>
    <t xml:space="preserve">samupa</t>
  </si>
  <si>
    <t xml:space="preserve">abhivi</t>
  </si>
  <si>
    <t xml:space="preserve">upā</t>
  </si>
  <si>
    <t xml:space="preserve">viniḥ</t>
  </si>
  <si>
    <t xml:space="preserve">vipra</t>
  </si>
  <si>
    <t xml:space="preserve">anusam</t>
  </si>
  <si>
    <t xml:space="preserve">samanu</t>
  </si>
  <si>
    <t xml:space="preserve">vini</t>
  </si>
  <si>
    <t xml:space="preserve">pratisam</t>
  </si>
  <si>
    <t xml:space="preserve">pratyā</t>
  </si>
  <si>
    <t xml:space="preserve">saṃni</t>
  </si>
  <si>
    <t xml:space="preserve">upasam</t>
  </si>
  <si>
    <t xml:space="preserve">anuvi</t>
  </si>
  <si>
    <t xml:space="preserve">samud</t>
  </si>
  <si>
    <t xml:space="preserve">vyava</t>
  </si>
  <si>
    <t xml:space="preserve">abhyā</t>
  </si>
  <si>
    <t xml:space="preserve">samava</t>
  </si>
  <si>
    <t xml:space="preserve">vyati</t>
  </si>
  <si>
    <t xml:space="preserve">api</t>
  </si>
  <si>
    <t xml:space="preserve">anvā</t>
  </si>
  <si>
    <t xml:space="preserve">vyapa</t>
  </si>
  <si>
    <t xml:space="preserve">prot</t>
  </si>
  <si>
    <t xml:space="preserve">paryā</t>
  </si>
  <si>
    <t xml:space="preserve">upani</t>
  </si>
  <si>
    <t xml:space="preserve">abhini</t>
  </si>
  <si>
    <t xml:space="preserve">abhyava</t>
  </si>
  <si>
    <t xml:space="preserve">saṃvi</t>
  </si>
  <si>
    <t xml:space="preserve">abhiniḥ</t>
  </si>
  <si>
    <t xml:space="preserve">abhyut</t>
  </si>
  <si>
    <t xml:space="preserve">pratyava</t>
  </si>
  <si>
    <t xml:space="preserve">udā</t>
  </si>
  <si>
    <t xml:space="preserve">upapra</t>
  </si>
  <si>
    <t xml:space="preserve">anvava</t>
  </si>
  <si>
    <t xml:space="preserve">parisam</t>
  </si>
  <si>
    <t xml:space="preserve">atipra</t>
  </si>
  <si>
    <t xml:space="preserve">sampari</t>
  </si>
  <si>
    <t xml:space="preserve">prā</t>
  </si>
  <si>
    <t xml:space="preserve">prativi</t>
  </si>
  <si>
    <t xml:space="preserve">prod</t>
  </si>
  <si>
    <t xml:space="preserve">abhyupa</t>
  </si>
  <si>
    <t xml:space="preserve">apā</t>
  </si>
  <si>
    <t xml:space="preserve">pratipra</t>
  </si>
  <si>
    <t xml:space="preserve">pratyupa</t>
  </si>
  <si>
    <t xml:space="preserve">pratyut</t>
  </si>
  <si>
    <t xml:space="preserve">vipari</t>
  </si>
  <si>
    <t xml:space="preserve">samprati</t>
  </si>
  <si>
    <t xml:space="preserve">acchā</t>
  </si>
  <si>
    <t xml:space="preserve">adhyā</t>
  </si>
  <si>
    <t xml:space="preserve">paryava</t>
  </si>
  <si>
    <t xml:space="preserve">samupā</t>
  </si>
  <si>
    <t xml:space="preserve">abhyanu</t>
  </si>
  <si>
    <t xml:space="preserve">pratyabhi</t>
  </si>
  <si>
    <t xml:space="preserve">vyut</t>
  </si>
  <si>
    <t xml:space="preserve">abhyud</t>
  </si>
  <si>
    <t xml:space="preserve">antaḥ</t>
  </si>
  <si>
    <t xml:space="preserve">anupari</t>
  </si>
  <si>
    <t xml:space="preserve">nirā</t>
  </si>
  <si>
    <t xml:space="preserve">paripra</t>
  </si>
  <si>
    <t xml:space="preserve">pratini</t>
  </si>
  <si>
    <t xml:space="preserve">saṃpari</t>
  </si>
  <si>
    <t xml:space="preserve">saṃprati</t>
  </si>
  <si>
    <t xml:space="preserve">upāva</t>
  </si>
  <si>
    <t xml:space="preserve">an￸t</t>
  </si>
  <si>
    <t xml:space="preserve">abhisamā</t>
  </si>
  <si>
    <t xml:space="preserve">abhyati</t>
  </si>
  <si>
    <t xml:space="preserve">atyā</t>
  </si>
  <si>
    <t xml:space="preserve">nyā</t>
  </si>
  <si>
    <t xml:space="preserve">pariniḥ</t>
  </si>
  <si>
    <t xml:space="preserve">pratiniḥ</t>
  </si>
  <si>
    <t xml:space="preserve">abhipari</t>
  </si>
  <si>
    <t xml:space="preserve">ativi</t>
  </si>
  <si>
    <t xml:space="preserve">samadhi</t>
  </si>
  <si>
    <t xml:space="preserve">anuni</t>
  </si>
  <si>
    <t xml:space="preserve">avā</t>
  </si>
  <si>
    <t xml:space="preserve">parivi</t>
  </si>
  <si>
    <t xml:space="preserve">paryupa</t>
  </si>
  <si>
    <t xml:space="preserve">praṇi</t>
  </si>
  <si>
    <t xml:space="preserve">upot</t>
  </si>
  <si>
    <t xml:space="preserve">nirava</t>
  </si>
  <si>
    <t xml:space="preserve">nirvi</t>
  </si>
  <si>
    <t xml:space="preserve">pariṇi</t>
  </si>
  <si>
    <t xml:space="preserve">pratyanu</t>
  </si>
  <si>
    <t xml:space="preserve">abhyupā</t>
  </si>
  <si>
    <t xml:space="preserve">anuparā</t>
  </si>
  <si>
    <t xml:space="preserve">anusamā</t>
  </si>
  <si>
    <t xml:space="preserve">nir</t>
  </si>
  <si>
    <t xml:space="preserve">prasam</t>
  </si>
  <si>
    <t xml:space="preserve">samabhyā</t>
  </si>
  <si>
    <t xml:space="preserve">samapa</t>
  </si>
  <si>
    <t xml:space="preserve">samati</t>
  </si>
  <si>
    <t xml:space="preserve">saṃniḥ</t>
  </si>
  <si>
    <t xml:space="preserve">vyupa</t>
  </si>
  <si>
    <t xml:space="preserve">adhivi</t>
  </si>
  <si>
    <t xml:space="preserve">an￸pa</t>
  </si>
  <si>
    <t xml:space="preserve">parini</t>
  </si>
  <si>
    <t xml:space="preserve">su</t>
  </si>
  <si>
    <t xml:space="preserve">upasamā</t>
  </si>
  <si>
    <t xml:space="preserve">viprati</t>
  </si>
  <si>
    <t xml:space="preserve">visam</t>
  </si>
  <si>
    <t xml:space="preserve">abhiprati</t>
  </si>
  <si>
    <t xml:space="preserve">abhisampra</t>
  </si>
  <si>
    <t xml:space="preserve">adhini</t>
  </si>
  <si>
    <t xml:space="preserve">anuniḥ</t>
  </si>
  <si>
    <t xml:space="preserve">atyud</t>
  </si>
  <si>
    <t xml:space="preserve">samudā</t>
  </si>
  <si>
    <t xml:space="preserve">upavi</t>
  </si>
  <si>
    <t xml:space="preserve">abhivyā</t>
  </si>
  <si>
    <t xml:space="preserve">adhisam</t>
  </si>
  <si>
    <t xml:space="preserve">anuparyā</t>
  </si>
  <si>
    <t xml:space="preserve">anuvyava</t>
  </si>
  <si>
    <t xml:space="preserve">apot</t>
  </si>
  <si>
    <t xml:space="preserve">paryanu</t>
  </si>
  <si>
    <t xml:space="preserve">paryut</t>
  </si>
  <si>
    <t xml:space="preserve">pi</t>
  </si>
  <si>
    <t xml:space="preserve">pratyapa</t>
  </si>
  <si>
    <t xml:space="preserve">pratyudā</t>
  </si>
  <si>
    <t xml:space="preserve">pratyupā</t>
  </si>
  <si>
    <t xml:space="preserve">samabhipra</t>
  </si>
  <si>
    <t xml:space="preserve">samanvā</t>
  </si>
  <si>
    <t xml:space="preserve">tiras</t>
  </si>
  <si>
    <t xml:space="preserve">udvi</t>
  </si>
  <si>
    <t xml:space="preserve">upaniḥ</t>
  </si>
  <si>
    <t xml:space="preserve">upopa</t>
  </si>
  <si>
    <t xml:space="preserve">vyapā</t>
  </si>
  <si>
    <t xml:space="preserve">abhiparyā</t>
  </si>
  <si>
    <t xml:space="preserve">abhyapa</t>
  </si>
  <si>
    <t xml:space="preserve">abhyudā</t>
  </si>
  <si>
    <t xml:space="preserve">adhyava</t>
  </si>
  <si>
    <t xml:space="preserve">adhyut</t>
  </si>
  <si>
    <t xml:space="preserve">antar</t>
  </si>
  <si>
    <t xml:space="preserve">anuprati</t>
  </si>
  <si>
    <t xml:space="preserve">anuvyā</t>
  </si>
  <si>
    <t xml:space="preserve">anvadhi</t>
  </si>
  <si>
    <t xml:space="preserve">apani</t>
  </si>
  <si>
    <t xml:space="preserve">apapra</t>
  </si>
  <si>
    <t xml:space="preserve">apod</t>
  </si>
  <si>
    <t xml:space="preserve">atisam</t>
  </si>
  <si>
    <t xml:space="preserve">avani</t>
  </si>
  <si>
    <t xml:space="preserve">āvi</t>
  </si>
  <si>
    <t xml:space="preserve">āviḥ</t>
  </si>
  <si>
    <t xml:space="preserve">nyava</t>
  </si>
  <si>
    <t xml:space="preserve">prādur</t>
  </si>
  <si>
    <t xml:space="preserve">pratiparā</t>
  </si>
  <si>
    <t xml:space="preserve">pratisamā</t>
  </si>
  <si>
    <t xml:space="preserve">samabhyut</t>
  </si>
  <si>
    <t xml:space="preserve">samanupra</t>
  </si>
  <si>
    <t xml:space="preserve">saṃmukhī</t>
  </si>
  <si>
    <t xml:space="preserve">tanmayī</t>
  </si>
  <si>
    <t xml:space="preserve">upanyā</t>
  </si>
  <si>
    <t xml:space="preserve">upodā</t>
  </si>
  <si>
    <t xml:space="preserve">utpra</t>
  </si>
  <si>
    <t xml:space="preserve">vyanu</t>
  </si>
  <si>
    <t xml:space="preserve">abhimukhī</t>
  </si>
  <si>
    <t xml:space="preserve">abhiparā</t>
  </si>
  <si>
    <t xml:space="preserve">abhipratyava</t>
  </si>
  <si>
    <t xml:space="preserve">abhyāsī</t>
  </si>
  <si>
    <t xml:space="preserve">adharī</t>
  </si>
  <si>
    <t xml:space="preserve">adhikī</t>
  </si>
  <si>
    <t xml:space="preserve">adhipra</t>
  </si>
  <si>
    <t xml:space="preserve">ākulī</t>
  </si>
  <si>
    <t xml:space="preserve">alam</t>
  </si>
  <si>
    <t xml:space="preserve">ālambanī</t>
  </si>
  <si>
    <t xml:space="preserve">alasī</t>
  </si>
  <si>
    <t xml:space="preserve">alpī</t>
  </si>
  <si>
    <t xml:space="preserve">amarī</t>
  </si>
  <si>
    <t xml:space="preserve">amṛtī</t>
  </si>
  <si>
    <t xml:space="preserve">āmukhī</t>
  </si>
  <si>
    <t xml:space="preserve">andhī</t>
  </si>
  <si>
    <t xml:space="preserve">anūd</t>
  </si>
  <si>
    <t xml:space="preserve">anusaṃpra</t>
  </si>
  <si>
    <t xml:space="preserve">anūt</t>
  </si>
  <si>
    <t xml:space="preserve">anvati</t>
  </si>
  <si>
    <t xml:space="preserve">apaṇyī</t>
  </si>
  <si>
    <t xml:space="preserve">apavyā</t>
  </si>
  <si>
    <t xml:space="preserve">aram</t>
  </si>
  <si>
    <t xml:space="preserve">āsam</t>
  </si>
  <si>
    <t xml:space="preserve">āspadī</t>
  </si>
  <si>
    <t xml:space="preserve">ātmī</t>
  </si>
  <si>
    <t xml:space="preserve">atyanu</t>
  </si>
  <si>
    <t xml:space="preserve">atyati</t>
  </si>
  <si>
    <t xml:space="preserve">atyupa</t>
  </si>
  <si>
    <t xml:space="preserve">atyut</t>
  </si>
  <si>
    <t xml:space="preserve">avavi</t>
  </si>
  <si>
    <t xml:space="preserve">bahulī</t>
  </si>
  <si>
    <t xml:space="preserve">bhagnapṛṣṭhī</t>
  </si>
  <si>
    <t xml:space="preserve">bhājanī</t>
  </si>
  <si>
    <t xml:space="preserve">bhasmī</t>
  </si>
  <si>
    <t xml:space="preserve">cūrṇī</t>
  </si>
  <si>
    <t xml:space="preserve">dravī</t>
  </si>
  <si>
    <t xml:space="preserve">dṛḍhī</t>
  </si>
  <si>
    <t xml:space="preserve">dūrī</t>
  </si>
  <si>
    <t xml:space="preserve">dvaidhī</t>
  </si>
  <si>
    <t xml:space="preserve">dvidhā</t>
  </si>
  <si>
    <t xml:space="preserve">dviguṇī</t>
  </si>
  <si>
    <t xml:space="preserve">ekāgrī</t>
  </si>
  <si>
    <t xml:space="preserve">ekārṇavī</t>
  </si>
  <si>
    <t xml:space="preserve">ekī</t>
  </si>
  <si>
    <t xml:space="preserve">ghanī</t>
  </si>
  <si>
    <t xml:space="preserve">gocarī</t>
  </si>
  <si>
    <t xml:space="preserve">guṇī</t>
  </si>
  <si>
    <t xml:space="preserve">jaḍī</t>
  </si>
  <si>
    <t xml:space="preserve">jihmī</t>
  </si>
  <si>
    <t xml:space="preserve">kaluṣī</t>
  </si>
  <si>
    <t xml:space="preserve">kāñcanī</t>
  </si>
  <si>
    <t xml:space="preserve">kaṭhinī</t>
  </si>
  <si>
    <t xml:space="preserve">khaṇḍī</t>
  </si>
  <si>
    <t xml:space="preserve">khilī</t>
  </si>
  <si>
    <t xml:space="preserve">kṣetrī</t>
  </si>
  <si>
    <t xml:space="preserve">kuḍmalī</t>
  </si>
  <si>
    <t xml:space="preserve">maṇḍalī</t>
  </si>
  <si>
    <t xml:space="preserve">mandī</t>
  </si>
  <si>
    <t xml:space="preserve">miśrī</t>
  </si>
  <si>
    <t xml:space="preserve">mithunī</t>
  </si>
  <si>
    <t xml:space="preserve">mitrī</t>
  </si>
  <si>
    <t xml:space="preserve">moghī</t>
  </si>
  <si>
    <t xml:space="preserve">mṛdū</t>
  </si>
  <si>
    <t xml:space="preserve">mukhī</t>
  </si>
  <si>
    <t xml:space="preserve">nimittī</t>
  </si>
  <si>
    <t xml:space="preserve">nipra</t>
  </si>
  <si>
    <t xml:space="preserve">nirmalī</t>
  </si>
  <si>
    <t xml:space="preserve">nirud</t>
  </si>
  <si>
    <t xml:space="preserve">nirviṣī</t>
  </si>
  <si>
    <t xml:space="preserve">pakṣī</t>
  </si>
  <si>
    <t xml:space="preserve">parameśvarī</t>
  </si>
  <si>
    <t xml:space="preserve">parāṅmukhī</t>
  </si>
  <si>
    <t xml:space="preserve">parāpṛṣṭhī</t>
  </si>
  <si>
    <t xml:space="preserve">parī</t>
  </si>
  <si>
    <t xml:space="preserve">parisamā</t>
  </si>
  <si>
    <t xml:space="preserve">paruṣī</t>
  </si>
  <si>
    <t xml:space="preserve">paryākulī</t>
  </si>
  <si>
    <t xml:space="preserve">pātrī</t>
  </si>
  <si>
    <t xml:space="preserve">pattalī</t>
  </si>
  <si>
    <t xml:space="preserve">pattrī</t>
  </si>
  <si>
    <t xml:space="preserve">piṇḍī</t>
  </si>
  <si>
    <t xml:space="preserve">piṣṭī</t>
  </si>
  <si>
    <t xml:space="preserve">prahvī</t>
  </si>
  <si>
    <t xml:space="preserve">prakaṭī</t>
  </si>
  <si>
    <t xml:space="preserve">prasannī</t>
  </si>
  <si>
    <t xml:space="preserve">pratī</t>
  </si>
  <si>
    <t xml:space="preserve">pratiparyā</t>
  </si>
  <si>
    <t xml:space="preserve">pratisaṃs</t>
  </si>
  <si>
    <t xml:space="preserve">pratyadhi</t>
  </si>
  <si>
    <t xml:space="preserve">pratyakṣī</t>
  </si>
  <si>
    <t xml:space="preserve">pratyud</t>
  </si>
  <si>
    <t xml:space="preserve">prāva</t>
  </si>
  <si>
    <t xml:space="preserve">pravyā</t>
  </si>
  <si>
    <t xml:space="preserve">puras</t>
  </si>
  <si>
    <t xml:space="preserve">pūrṇī</t>
  </si>
  <si>
    <t xml:space="preserve">rasī</t>
  </si>
  <si>
    <t xml:space="preserve">rāśī</t>
  </si>
  <si>
    <t xml:space="preserve">śailī</t>
  </si>
  <si>
    <t xml:space="preserve">sajjī</t>
  </si>
  <si>
    <t xml:space="preserve">śakalī</t>
  </si>
  <si>
    <t xml:space="preserve">sākṣī</t>
  </si>
  <si>
    <t xml:space="preserve">saṃ</t>
  </si>
  <si>
    <t xml:space="preserve">samabhivi</t>
  </si>
  <si>
    <t xml:space="preserve">samabhyava</t>
  </si>
  <si>
    <t xml:space="preserve">samabhyud</t>
  </si>
  <si>
    <t xml:space="preserve">samapi</t>
  </si>
  <si>
    <t xml:space="preserve">samayī</t>
  </si>
  <si>
    <t xml:space="preserve">samī</t>
  </si>
  <si>
    <t xml:space="preserve">saṃparā</t>
  </si>
  <si>
    <t xml:space="preserve">sampravi</t>
  </si>
  <si>
    <t xml:space="preserve">saṃs</t>
  </si>
  <si>
    <t xml:space="preserve">saṃvyava</t>
  </si>
  <si>
    <t xml:space="preserve">saphalī</t>
  </si>
  <si>
    <t xml:space="preserve">sat</t>
  </si>
  <si>
    <t xml:space="preserve">sātmyī</t>
  </si>
  <si>
    <t xml:space="preserve">śekharī</t>
  </si>
  <si>
    <t xml:space="preserve">śeṣī</t>
  </si>
  <si>
    <t xml:space="preserve">siṃhī</t>
  </si>
  <si>
    <t xml:space="preserve">śītalī</t>
  </si>
  <si>
    <t xml:space="preserve">śithilī</t>
  </si>
  <si>
    <t xml:space="preserve">śītī</t>
  </si>
  <si>
    <t xml:space="preserve">śivī</t>
  </si>
  <si>
    <t xml:space="preserve">sphuṭī</t>
  </si>
  <si>
    <t xml:space="preserve">sthirī</t>
  </si>
  <si>
    <t xml:space="preserve">sukhī</t>
  </si>
  <si>
    <t xml:space="preserve">sūkṣmī</t>
  </si>
  <si>
    <t xml:space="preserve">śūnyī</t>
  </si>
  <si>
    <t xml:space="preserve">śuṣkī</t>
  </si>
  <si>
    <t xml:space="preserve">svasthī</t>
  </si>
  <si>
    <t xml:space="preserve">śvetī</t>
  </si>
  <si>
    <t xml:space="preserve">svī</t>
  </si>
  <si>
    <t xml:space="preserve">śyāmī</t>
  </si>
  <si>
    <t xml:space="preserve">tāmrī</t>
  </si>
  <si>
    <t xml:space="preserve">udava</t>
  </si>
  <si>
    <t xml:space="preserve">ujjvalī</t>
  </si>
  <si>
    <t xml:space="preserve">unmanī</t>
  </si>
  <si>
    <t xml:space="preserve">unmukhī</t>
  </si>
  <si>
    <t xml:space="preserve">upānvā</t>
  </si>
  <si>
    <t xml:space="preserve">upas</t>
  </si>
  <si>
    <t xml:space="preserve">upasaṃpra</t>
  </si>
  <si>
    <t xml:space="preserve">upāti</t>
  </si>
  <si>
    <t xml:space="preserve">upāyanī</t>
  </si>
  <si>
    <t xml:space="preserve">upod</t>
  </si>
  <si>
    <t xml:space="preserve">uṣṇī</t>
  </si>
  <si>
    <t xml:space="preserve">vakrī</t>
  </si>
  <si>
    <t xml:space="preserve">valayī</t>
  </si>
  <si>
    <t xml:space="preserve">vaśī</t>
  </si>
  <si>
    <t xml:space="preserve">viguṇī</t>
  </si>
  <si>
    <t xml:space="preserve">vilakṣī</t>
  </si>
  <si>
    <t xml:space="preserve">vimadī</t>
  </si>
  <si>
    <t xml:space="preserve">vimukhī</t>
  </si>
  <si>
    <t xml:space="preserve">vipṛṣṭhī</t>
  </si>
  <si>
    <t xml:space="preserve">viralī</t>
  </si>
  <si>
    <t xml:space="preserve">viṣamī</t>
  </si>
  <si>
    <t xml:space="preserve">viṣayī</t>
  </si>
  <si>
    <t xml:space="preserve">vṛddhī</t>
  </si>
  <si>
    <t xml:space="preserve">vyabhi</t>
  </si>
  <si>
    <t xml:space="preserve">vyaktī</t>
  </si>
  <si>
    <t xml:space="preserve">vyākulī</t>
  </si>
  <si>
    <t xml:space="preserve">vyatisam</t>
  </si>
  <si>
    <t xml:space="preserve">vyupā</t>
  </si>
  <si>
    <t xml:space="preserve">ābhāsī</t>
  </si>
  <si>
    <t xml:space="preserve">abhidheyī</t>
  </si>
  <si>
    <t xml:space="preserve">abhihiṅ</t>
  </si>
  <si>
    <t xml:space="preserve">abhikīrṇī</t>
  </si>
  <si>
    <t xml:space="preserve">abhilāṣī</t>
  </si>
  <si>
    <t xml:space="preserve">abhinavī</t>
  </si>
  <si>
    <t xml:space="preserve">abhipara</t>
  </si>
  <si>
    <t xml:space="preserve">abhipariṣ</t>
  </si>
  <si>
    <t xml:space="preserve">abhipratyā</t>
  </si>
  <si>
    <t xml:space="preserve">abhisaṃpra</t>
  </si>
  <si>
    <t xml:space="preserve">abhisaṃs</t>
  </si>
  <si>
    <t xml:space="preserve">abhisaṃvi</t>
  </si>
  <si>
    <t xml:space="preserve">abhisat</t>
  </si>
  <si>
    <t xml:space="preserve">abhiśrad</t>
  </si>
  <si>
    <t xml:space="preserve">abhivini</t>
  </si>
  <si>
    <t xml:space="preserve">abhiviniḥ</t>
  </si>
  <si>
    <t xml:space="preserve">abhivyut</t>
  </si>
  <si>
    <t xml:space="preserve">abhyalam</t>
  </si>
  <si>
    <t xml:space="preserve">abhyantarī</t>
  </si>
  <si>
    <t xml:space="preserve">abhyāśī</t>
  </si>
  <si>
    <t xml:space="preserve">abhyudava</t>
  </si>
  <si>
    <t xml:space="preserve">abhyupani</t>
  </si>
  <si>
    <t xml:space="preserve">abhyupāva</t>
  </si>
  <si>
    <t xml:space="preserve">acchī</t>
  </si>
  <si>
    <t xml:space="preserve">ādanī</t>
  </si>
  <si>
    <t xml:space="preserve">ādhārī</t>
  </si>
  <si>
    <t xml:space="preserve">ādhī</t>
  </si>
  <si>
    <t xml:space="preserve">adhiniḥ</t>
  </si>
  <si>
    <t xml:space="preserve">adhyapa</t>
  </si>
  <si>
    <t xml:space="preserve">adhyupa</t>
  </si>
  <si>
    <t xml:space="preserve">ādi</t>
  </si>
  <si>
    <t xml:space="preserve">āgas</t>
  </si>
  <si>
    <t xml:space="preserve">agrataḥ</t>
  </si>
  <si>
    <t xml:space="preserve">agrī</t>
  </si>
  <si>
    <t xml:space="preserve">aham</t>
  </si>
  <si>
    <t xml:space="preserve">āhutī</t>
  </si>
  <si>
    <t xml:space="preserve">ajarī</t>
  </si>
  <si>
    <t xml:space="preserve">akhilī</t>
  </si>
  <si>
    <t xml:space="preserve">akhkhalī</t>
  </si>
  <si>
    <t xml:space="preserve">alavaṇī</t>
  </si>
  <si>
    <t xml:space="preserve">amā</t>
  </si>
  <si>
    <t xml:space="preserve">amalī</t>
  </si>
  <si>
    <t xml:space="preserve">amitrī</t>
  </si>
  <si>
    <t xml:space="preserve">amlī</t>
  </si>
  <si>
    <t xml:space="preserve">amṛtasāt</t>
  </si>
  <si>
    <t xml:space="preserve">aṃś￰</t>
  </si>
  <si>
    <t xml:space="preserve">anādarī</t>
  </si>
  <si>
    <t xml:space="preserve">anaikantikī</t>
  </si>
  <si>
    <t xml:space="preserve">anāthī</t>
  </si>
  <si>
    <t xml:space="preserve">an￸dā</t>
  </si>
  <si>
    <t xml:space="preserve">andhakārī</t>
  </si>
  <si>
    <t xml:space="preserve">andhamūṣī</t>
  </si>
  <si>
    <t xml:space="preserve">aṅgī</t>
  </si>
  <si>
    <t xml:space="preserve">āni</t>
  </si>
  <si>
    <t xml:space="preserve">anṛṇā</t>
  </si>
  <si>
    <t xml:space="preserve">anṛṇī</t>
  </si>
  <si>
    <t xml:space="preserve">anta</t>
  </si>
  <si>
    <t xml:space="preserve">antarā</t>
  </si>
  <si>
    <t xml:space="preserve">antarī</t>
  </si>
  <si>
    <t xml:space="preserve">antarmukhī</t>
  </si>
  <si>
    <t xml:space="preserve">aṇū</t>
  </si>
  <si>
    <t xml:space="preserve">anuhum</t>
  </si>
  <si>
    <t xml:space="preserve">anulomī</t>
  </si>
  <si>
    <t xml:space="preserve">anusaṃvi</t>
  </si>
  <si>
    <t xml:space="preserve">anuvaṣaṭ</t>
  </si>
  <si>
    <t xml:space="preserve">anuviniḥ</t>
  </si>
  <si>
    <t xml:space="preserve">anuvyut</t>
  </si>
  <si>
    <t xml:space="preserve">anvabhi</t>
  </si>
  <si>
    <t xml:space="preserve">anvapa</t>
  </si>
  <si>
    <t xml:space="preserve">anyat</t>
  </si>
  <si>
    <t xml:space="preserve">anyataḥ</t>
  </si>
  <si>
    <t xml:space="preserve">āpāṇḍurī</t>
  </si>
  <si>
    <t xml:space="preserve">apaparā</t>
  </si>
  <si>
    <t xml:space="preserve">apaparyā</t>
  </si>
  <si>
    <t xml:space="preserve">apasam</t>
  </si>
  <si>
    <t xml:space="preserve">apasavyam</t>
  </si>
  <si>
    <t xml:space="preserve">apāti</t>
  </si>
  <si>
    <t xml:space="preserve">apāva</t>
  </si>
  <si>
    <t xml:space="preserve">āpra</t>
  </si>
  <si>
    <t xml:space="preserve">āprati</t>
  </si>
  <si>
    <t xml:space="preserve">āpratini</t>
  </si>
  <si>
    <t xml:space="preserve">apunaḥ</t>
  </si>
  <si>
    <t xml:space="preserve">apyā</t>
  </si>
  <si>
    <t xml:space="preserve">apyati</t>
  </si>
  <si>
    <t xml:space="preserve">ar￸</t>
  </si>
  <si>
    <t xml:space="preserve">ārambaṇī</t>
  </si>
  <si>
    <t xml:space="preserve">ārdrī</t>
  </si>
  <si>
    <t xml:space="preserve">arthisāt</t>
  </si>
  <si>
    <t xml:space="preserve">āsanī</t>
  </si>
  <si>
    <t xml:space="preserve">āsannī</t>
  </si>
  <si>
    <t xml:space="preserve">asat</t>
  </si>
  <si>
    <t xml:space="preserve">āśrayī</t>
  </si>
  <si>
    <t xml:space="preserve">astam</t>
  </si>
  <si>
    <t xml:space="preserve">asthirī</t>
  </si>
  <si>
    <t xml:space="preserve">asulabhī</t>
  </si>
  <si>
    <t xml:space="preserve">atini</t>
  </si>
  <si>
    <t xml:space="preserve">atiniḥ</t>
  </si>
  <si>
    <t xml:space="preserve">atipari</t>
  </si>
  <si>
    <t xml:space="preserve">atyabhi</t>
  </si>
  <si>
    <t xml:space="preserve">atyava</t>
  </si>
  <si>
    <t xml:space="preserve">āva</t>
  </si>
  <si>
    <t xml:space="preserve">avagāḍhī</t>
  </si>
  <si>
    <t xml:space="preserve">avalambī</t>
  </si>
  <si>
    <t xml:space="preserve">avāpa</t>
  </si>
  <si>
    <t xml:space="preserve">avapra</t>
  </si>
  <si>
    <t xml:space="preserve">avataṃsī</t>
  </si>
  <si>
    <t xml:space="preserve">āvir</t>
  </si>
  <si>
    <t xml:space="preserve">āvis</t>
  </si>
  <si>
    <t xml:space="preserve">avyaktī</t>
  </si>
  <si>
    <t xml:space="preserve">avyayī</t>
  </si>
  <si>
    <r>
      <rPr>
        <sz val="10"/>
        <rFont val="Arial"/>
        <family val="2"/>
        <charset val="204"/>
      </rPr>
      <t xml:space="preserve">a</t>
    </r>
    <r>
      <rPr>
        <sz val="10"/>
        <rFont val="Microsoft YaHei"/>
        <family val="2"/>
        <charset val="204"/>
      </rPr>
      <t xml:space="preserve">ﾾ￸</t>
    </r>
  </si>
  <si>
    <t xml:space="preserve">badhirī</t>
  </si>
  <si>
    <t xml:space="preserve">bahis</t>
  </si>
  <si>
    <t xml:space="preserve">balī</t>
  </si>
  <si>
    <t xml:space="preserve">bhadrā</t>
  </si>
  <si>
    <t xml:space="preserve">bhāgī</t>
  </si>
  <si>
    <t xml:space="preserve">bhairavī</t>
  </si>
  <si>
    <t xml:space="preserve">bhās</t>
  </si>
  <si>
    <t xml:space="preserve">bhasmarāśī</t>
  </si>
  <si>
    <t xml:space="preserve">bhasmasāt</t>
  </si>
  <si>
    <t xml:space="preserve">bhūtī</t>
  </si>
  <si>
    <t xml:space="preserve">bījī</t>
  </si>
  <si>
    <t xml:space="preserve">brahmasāt</t>
  </si>
  <si>
    <t xml:space="preserve">brāhmī</t>
  </si>
  <si>
    <t xml:space="preserve">cakrī</t>
  </si>
  <si>
    <t xml:space="preserve">camat</t>
  </si>
  <si>
    <t xml:space="preserve">capalī</t>
  </si>
  <si>
    <t xml:space="preserve">caurī</t>
  </si>
  <si>
    <t xml:space="preserve">cetanī</t>
  </si>
  <si>
    <t xml:space="preserve">chidrī</t>
  </si>
  <si>
    <t xml:space="preserve">cipiṭī</t>
  </si>
  <si>
    <t xml:space="preserve">corī</t>
  </si>
  <si>
    <t xml:space="preserve">dadhī</t>
  </si>
  <si>
    <t xml:space="preserve">dakṣiṇī</t>
  </si>
  <si>
    <t xml:space="preserve">dāruṇī</t>
  </si>
  <si>
    <t xml:space="preserve">dāsī</t>
  </si>
  <si>
    <t xml:space="preserve">dasyusāt</t>
  </si>
  <si>
    <t xml:space="preserve">dhanvī</t>
  </si>
  <si>
    <t xml:space="preserve">dharmī</t>
  </si>
  <si>
    <t xml:space="preserve">dhavalī</t>
  </si>
  <si>
    <t xml:space="preserve">dhik</t>
  </si>
  <si>
    <t xml:space="preserve">dhvajī</t>
  </si>
  <si>
    <t xml:space="preserve">dhyānī</t>
  </si>
  <si>
    <t xml:space="preserve">dinī</t>
  </si>
  <si>
    <t xml:space="preserve">dīpī</t>
  </si>
  <si>
    <t xml:space="preserve">dīrghī</t>
  </si>
  <si>
    <t xml:space="preserve">dṛḍhatarī</t>
  </si>
  <si>
    <t xml:space="preserve">dṛṣṭāntī</t>
  </si>
  <si>
    <t xml:space="preserve">drutī</t>
  </si>
  <si>
    <t xml:space="preserve">duḥkhā</t>
  </si>
  <si>
    <t xml:space="preserve">duḥkhī</t>
  </si>
  <si>
    <t xml:space="preserve">durbalī</t>
  </si>
  <si>
    <t xml:space="preserve">durbhagī</t>
  </si>
  <si>
    <t xml:space="preserve">durjanī</t>
  </si>
  <si>
    <t xml:space="preserve">duṣṭī</t>
  </si>
  <si>
    <t xml:space="preserve">dvaṃdvī</t>
  </si>
  <si>
    <t xml:space="preserve">dvandvī</t>
  </si>
  <si>
    <t xml:space="preserve">dvārī</t>
  </si>
  <si>
    <t xml:space="preserve">dvividhī</t>
  </si>
  <si>
    <t xml:space="preserve">ekacittī</t>
  </si>
  <si>
    <t xml:space="preserve">ekajvālī</t>
  </si>
  <si>
    <t xml:space="preserve">ekākī</t>
  </si>
  <si>
    <t xml:space="preserve">ekatrī</t>
  </si>
  <si>
    <t xml:space="preserve">ekāyanī</t>
  </si>
  <si>
    <t xml:space="preserve">gambhīrī</t>
  </si>
  <si>
    <t xml:space="preserve">garbhī</t>
  </si>
  <si>
    <t xml:space="preserve">ghaṭī</t>
  </si>
  <si>
    <t xml:space="preserve">glānī</t>
  </si>
  <si>
    <t xml:space="preserve">golakī</t>
  </si>
  <si>
    <t xml:space="preserve">golī</t>
  </si>
  <si>
    <t xml:space="preserve">grahilī</t>
  </si>
  <si>
    <t xml:space="preserve">grāsī</t>
  </si>
  <si>
    <t xml:space="preserve">guru</t>
  </si>
  <si>
    <t xml:space="preserve">gurū</t>
  </si>
  <si>
    <t xml:space="preserve">guṭikī</t>
  </si>
  <si>
    <t xml:space="preserve">haimī</t>
  </si>
  <si>
    <t xml:space="preserve">hārī</t>
  </si>
  <si>
    <t xml:space="preserve">hiṃ</t>
  </si>
  <si>
    <t xml:space="preserve">hiṅ</t>
  </si>
  <si>
    <t xml:space="preserve">huṃ</t>
  </si>
  <si>
    <t xml:space="preserve">iṣ</t>
  </si>
  <si>
    <t xml:space="preserve">janī</t>
  </si>
  <si>
    <t xml:space="preserve">jarjarī</t>
  </si>
  <si>
    <t xml:space="preserve">jaṭī</t>
  </si>
  <si>
    <t xml:space="preserve">jyotiṣ</t>
  </si>
  <si>
    <t xml:space="preserve">kabalī</t>
  </si>
  <si>
    <t xml:space="preserve">kācī</t>
  </si>
  <si>
    <t xml:space="preserve">kadambakī</t>
  </si>
  <si>
    <t xml:space="preserve">kadarthī</t>
  </si>
  <si>
    <t xml:space="preserve">kajjalī</t>
  </si>
  <si>
    <t xml:space="preserve">kalalī</t>
  </si>
  <si>
    <t xml:space="preserve">kalāpī</t>
  </si>
  <si>
    <t xml:space="preserve">kālī</t>
  </si>
  <si>
    <t xml:space="preserve">kalilī</t>
  </si>
  <si>
    <t xml:space="preserve">kalkī</t>
  </si>
  <si>
    <t xml:space="preserve">kañcukī</t>
  </si>
  <si>
    <t xml:space="preserve">kapilī</t>
  </si>
  <si>
    <t xml:space="preserve">karaṇī</t>
  </si>
  <si>
    <t xml:space="preserve">kāraṇī</t>
  </si>
  <si>
    <t xml:space="preserve">karī</t>
  </si>
  <si>
    <t xml:space="preserve">karṇapūrī</t>
  </si>
  <si>
    <t xml:space="preserve">kāṣṭhī</t>
  </si>
  <si>
    <t xml:space="preserve">kavalī</t>
  </si>
  <si>
    <t xml:space="preserve">kevalī</t>
  </si>
  <si>
    <t xml:space="preserve">khalī</t>
  </si>
  <si>
    <t xml:space="preserve">kiṃpuruṣī</t>
  </si>
  <si>
    <t xml:space="preserve">koṣṭakī</t>
  </si>
  <si>
    <t xml:space="preserve">koṣṭhakī</t>
  </si>
  <si>
    <t xml:space="preserve">krīḍanakī</t>
  </si>
  <si>
    <t xml:space="preserve">kroḍī</t>
  </si>
  <si>
    <t xml:space="preserve">kṛpaṇī</t>
  </si>
  <si>
    <t xml:space="preserve">kṛśī</t>
  </si>
  <si>
    <t xml:space="preserve">kṛṣṇāṅgārī</t>
  </si>
  <si>
    <t xml:space="preserve">kṛṣṇī</t>
  </si>
  <si>
    <t xml:space="preserve">kṛtārthī</t>
  </si>
  <si>
    <t xml:space="preserve">kṣaṇī</t>
  </si>
  <si>
    <t xml:space="preserve">kṣapaṇī</t>
  </si>
  <si>
    <t xml:space="preserve">kṣayī</t>
  </si>
  <si>
    <t xml:space="preserve">kūrmī</t>
  </si>
  <si>
    <t xml:space="preserve">kuṭṭī</t>
  </si>
  <si>
    <t xml:space="preserve">lakṣī</t>
  </si>
  <si>
    <t xml:space="preserve">lakṣyī</t>
  </si>
  <si>
    <t xml:space="preserve">lālasī</t>
  </si>
  <si>
    <t xml:space="preserve">lavalavī</t>
  </si>
  <si>
    <t xml:space="preserve">lavaṇī</t>
  </si>
  <si>
    <t xml:space="preserve">lehī</t>
  </si>
  <si>
    <t xml:space="preserve">liṅgī</t>
  </si>
  <si>
    <t xml:space="preserve">lohitī</t>
  </si>
  <si>
    <t xml:space="preserve">lolī</t>
  </si>
  <si>
    <t xml:space="preserve">madhurī</t>
  </si>
  <si>
    <t xml:space="preserve">mahat</t>
  </si>
  <si>
    <t xml:space="preserve">malinī</t>
  </si>
  <si>
    <t xml:space="preserve">maṇḍanī</t>
  </si>
  <si>
    <t xml:space="preserve">mañjarī</t>
  </si>
  <si>
    <t xml:space="preserve">mārdavī</t>
  </si>
  <si>
    <t xml:space="preserve">mārī</t>
  </si>
  <si>
    <t xml:space="preserve">maryādī</t>
  </si>
  <si>
    <t xml:space="preserve">masṛṇī</t>
  </si>
  <si>
    <t xml:space="preserve">mauktikī</t>
  </si>
  <si>
    <t xml:space="preserve">medhī</t>
  </si>
  <si>
    <t xml:space="preserve">meghī</t>
  </si>
  <si>
    <t xml:space="preserve">mlānī</t>
  </si>
  <si>
    <t xml:space="preserve">mlecchī</t>
  </si>
  <si>
    <t xml:space="preserve">mṛjī</t>
  </si>
  <si>
    <t xml:space="preserve">mṛtī</t>
  </si>
  <si>
    <t xml:space="preserve">mukharī</t>
  </si>
  <si>
    <t xml:space="preserve">mūkī</t>
  </si>
  <si>
    <t xml:space="preserve">muktī</t>
  </si>
  <si>
    <t xml:space="preserve">mukulī</t>
  </si>
  <si>
    <t xml:space="preserve">mūlī</t>
  </si>
  <si>
    <t xml:space="preserve">mūrkhī</t>
  </si>
  <si>
    <t xml:space="preserve">musalī</t>
  </si>
  <si>
    <t xml:space="preserve">nagnī</t>
  </si>
  <si>
    <t xml:space="preserve">namas</t>
  </si>
  <si>
    <t xml:space="preserve">naṣṭapiṣṭī</t>
  </si>
  <si>
    <t xml:space="preserve">navī</t>
  </si>
  <si>
    <t xml:space="preserve">￸nī</t>
  </si>
  <si>
    <t xml:space="preserve">nibiḍī</t>
  </si>
  <si>
    <t xml:space="preserve">nicayī</t>
  </si>
  <si>
    <t xml:space="preserve">nīcī</t>
  </si>
  <si>
    <t xml:space="preserve">niḥsnehī</t>
  </si>
  <si>
    <t xml:space="preserve">niḥsvī</t>
  </si>
  <si>
    <t xml:space="preserve">nikaṭī</t>
  </si>
  <si>
    <t xml:space="preserve">nirabhyava</t>
  </si>
  <si>
    <t xml:space="preserve">nirālambanī</t>
  </si>
  <si>
    <t xml:space="preserve">niranu</t>
  </si>
  <si>
    <t xml:space="preserve">nirargalī</t>
  </si>
  <si>
    <t xml:space="preserve">nirbharī</t>
  </si>
  <si>
    <t xml:space="preserve">nirdayī</t>
  </si>
  <si>
    <t xml:space="preserve">nirdhanī</t>
  </si>
  <si>
    <t xml:space="preserve">nirguṇī</t>
  </si>
  <si>
    <t xml:space="preserve">niruttarī</t>
  </si>
  <si>
    <t xml:space="preserve">nirviṣayī</t>
  </si>
  <si>
    <t xml:space="preserve">nirvyādhī</t>
  </si>
  <si>
    <t xml:space="preserve">nis</t>
  </si>
  <si>
    <t xml:space="preserve">niṣaṅgī</t>
  </si>
  <si>
    <t xml:space="preserve">niścalī</t>
  </si>
  <si>
    <t xml:space="preserve">niścayī</t>
  </si>
  <si>
    <t xml:space="preserve">niśchidrī</t>
  </si>
  <si>
    <t xml:space="preserve">niṣkalmaṣī</t>
  </si>
  <si>
    <t xml:space="preserve">niṣkaluṣī</t>
  </si>
  <si>
    <t xml:space="preserve">niṣkulā</t>
  </si>
  <si>
    <t xml:space="preserve">niṣkulī</t>
  </si>
  <si>
    <t xml:space="preserve">niṣpatrā</t>
  </si>
  <si>
    <t xml:space="preserve">niṣpra</t>
  </si>
  <si>
    <t xml:space="preserve">niṣprabhī</t>
  </si>
  <si>
    <t xml:space="preserve">nistuṣī</t>
  </si>
  <si>
    <t xml:space="preserve">nyak</t>
  </si>
  <si>
    <t xml:space="preserve">nyāsī</t>
  </si>
  <si>
    <t xml:space="preserve">ny￸nī</t>
  </si>
  <si>
    <t xml:space="preserve">nyubjī</t>
  </si>
  <si>
    <t xml:space="preserve">opa</t>
  </si>
  <si>
    <t xml:space="preserve">pakvī</t>
  </si>
  <si>
    <t xml:space="preserve">pallavī</t>
  </si>
  <si>
    <t xml:space="preserve">pañcaśikhī</t>
  </si>
  <si>
    <t xml:space="preserve">pāṇḍarī</t>
  </si>
  <si>
    <t xml:space="preserve">pāṇḍū</t>
  </si>
  <si>
    <t xml:space="preserve">paṇī</t>
  </si>
  <si>
    <t xml:space="preserve">parānu</t>
  </si>
  <si>
    <t xml:space="preserve">paratantrī</t>
  </si>
  <si>
    <t xml:space="preserve">paridhi</t>
  </si>
  <si>
    <t xml:space="preserve">parikarmī</t>
  </si>
  <si>
    <t xml:space="preserve">paripraśnī</t>
  </si>
  <si>
    <t xml:space="preserve">pariṣ</t>
  </si>
  <si>
    <t xml:space="preserve">parivārī</t>
  </si>
  <si>
    <t xml:space="preserve">parivyā</t>
  </si>
  <si>
    <t xml:space="preserve">parvatī</t>
  </si>
  <si>
    <t xml:space="preserve">paryagni</t>
  </si>
  <si>
    <t xml:space="preserve">paryaṅkī</t>
  </si>
  <si>
    <t xml:space="preserve">paryantī</t>
  </si>
  <si>
    <t xml:space="preserve">paryupā</t>
  </si>
  <si>
    <t xml:space="preserve">paśū</t>
  </si>
  <si>
    <t xml:space="preserve">pathī</t>
  </si>
  <si>
    <t xml:space="preserve">pāvanī</t>
  </si>
  <si>
    <t xml:space="preserve">pavitrī</t>
  </si>
  <si>
    <t xml:space="preserve">pāyasī</t>
  </si>
  <si>
    <t xml:space="preserve">peśī</t>
  </si>
  <si>
    <t xml:space="preserve">phenī</t>
  </si>
  <si>
    <t xml:space="preserve">phut</t>
  </si>
  <si>
    <t xml:space="preserve">phūt</t>
  </si>
  <si>
    <t xml:space="preserve">pillī</t>
  </si>
  <si>
    <t xml:space="preserve">piṅgī</t>
  </si>
  <si>
    <t xml:space="preserve">piñjarī</t>
  </si>
  <si>
    <t xml:space="preserve">pītī</t>
  </si>
  <si>
    <t xml:space="preserve">prābhi</t>
  </si>
  <si>
    <t xml:space="preserve">prābhṛtī</t>
  </si>
  <si>
    <t xml:space="preserve">pracurī</t>
  </si>
  <si>
    <t xml:space="preserve">pradakṣiṇī</t>
  </si>
  <si>
    <t xml:space="preserve">prādhi</t>
  </si>
  <si>
    <t xml:space="preserve">prādus</t>
  </si>
  <si>
    <t xml:space="preserve">praguṇī</t>
  </si>
  <si>
    <t xml:space="preserve">prakāśī</t>
  </si>
  <si>
    <t xml:space="preserve">prakhalī</t>
  </si>
  <si>
    <t xml:space="preserve">pralambī</t>
  </si>
  <si>
    <t xml:space="preserve">pramāṇī</t>
  </si>
  <si>
    <t xml:space="preserve">pramlānī</t>
  </si>
  <si>
    <t xml:space="preserve">praṇayī</t>
  </si>
  <si>
    <t xml:space="preserve">prāñjalī</t>
  </si>
  <si>
    <t xml:space="preserve">prapari</t>
  </si>
  <si>
    <t xml:space="preserve">prapi</t>
  </si>
  <si>
    <t xml:space="preserve">prapra</t>
  </si>
  <si>
    <t xml:space="preserve">prasādī</t>
  </si>
  <si>
    <t xml:space="preserve">prasṛtī</t>
  </si>
  <si>
    <t xml:space="preserve">pratanū</t>
  </si>
  <si>
    <t xml:space="preserve">pratibimbī</t>
  </si>
  <si>
    <t xml:space="preserve">pratinyā</t>
  </si>
  <si>
    <t xml:space="preserve">pratipari</t>
  </si>
  <si>
    <t xml:space="preserve">pratiprā</t>
  </si>
  <si>
    <t xml:space="preserve">pratisaṃni</t>
  </si>
  <si>
    <t xml:space="preserve">pratisat</t>
  </si>
  <si>
    <t xml:space="preserve">prativipari</t>
  </si>
  <si>
    <t xml:space="preserve">prativyā</t>
  </si>
  <si>
    <t xml:space="preserve">pratyabhiniḥ</t>
  </si>
  <si>
    <t xml:space="preserve">pratyabhipra</t>
  </si>
  <si>
    <t xml:space="preserve">pratyabhyanu</t>
  </si>
  <si>
    <t xml:space="preserve">pratyapi</t>
  </si>
  <si>
    <t xml:space="preserve">pravaṇī</t>
  </si>
  <si>
    <t xml:space="preserve">prāviḥ</t>
  </si>
  <si>
    <t xml:space="preserve">pravini</t>
  </si>
  <si>
    <t xml:space="preserve">praviniḥ</t>
  </si>
  <si>
    <t xml:space="preserve">prayogī</t>
  </si>
  <si>
    <t xml:space="preserve">prayojakī</t>
  </si>
  <si>
    <t xml:space="preserve">pretī</t>
  </si>
  <si>
    <t xml:space="preserve">pṛthak</t>
  </si>
  <si>
    <t xml:space="preserve">pṛthū</t>
  </si>
  <si>
    <t xml:space="preserve">puṃs</t>
  </si>
  <si>
    <t xml:space="preserve">punarnavī</t>
  </si>
  <si>
    <t xml:space="preserve">puñjī</t>
  </si>
  <si>
    <t xml:space="preserve">puraḥ</t>
  </si>
  <si>
    <t xml:space="preserve">puruṣī</t>
  </si>
  <si>
    <t xml:space="preserve">puṭa</t>
  </si>
  <si>
    <t xml:space="preserve">puṭī</t>
  </si>
  <si>
    <t xml:space="preserve">rajī</t>
  </si>
  <si>
    <t xml:space="preserve">rākṣasī</t>
  </si>
  <si>
    <t xml:space="preserve">raktī</t>
  </si>
  <si>
    <t xml:space="preserve">￸rdhvī</t>
  </si>
  <si>
    <t xml:space="preserve">riktī</t>
  </si>
  <si>
    <t xml:space="preserve">ṛjū</t>
  </si>
  <si>
    <t xml:space="preserve">sādhanī</t>
  </si>
  <si>
    <t xml:space="preserve">sādhāraṇī</t>
  </si>
  <si>
    <t xml:space="preserve">sadṛśī</t>
  </si>
  <si>
    <t xml:space="preserve">sakalī</t>
  </si>
  <si>
    <t xml:space="preserve">sākṣāt</t>
  </si>
  <si>
    <t xml:space="preserve">śakulī</t>
  </si>
  <si>
    <t xml:space="preserve">samabhisam</t>
  </si>
  <si>
    <t xml:space="preserve">samabhivyā</t>
  </si>
  <si>
    <t xml:space="preserve">samabhyati</t>
  </si>
  <si>
    <t xml:space="preserve">samabhyupa</t>
  </si>
  <si>
    <t xml:space="preserve">samadhini</t>
  </si>
  <si>
    <t xml:space="preserve">samalaṃ</t>
  </si>
  <si>
    <t xml:space="preserve">samanupari</t>
  </si>
  <si>
    <t xml:space="preserve">samanuvi</t>
  </si>
  <si>
    <t xml:space="preserve">samapā</t>
  </si>
  <si>
    <t xml:space="preserve">samarasī</t>
  </si>
  <si>
    <t xml:space="preserve">samarthī</t>
  </si>
  <si>
    <t xml:space="preserve">samas</t>
  </si>
  <si>
    <t xml:space="preserve">samatipra</t>
  </si>
  <si>
    <t xml:space="preserve">samavā</t>
  </si>
  <si>
    <t xml:space="preserve">samāva</t>
  </si>
  <si>
    <t xml:space="preserve">samavani</t>
  </si>
  <si>
    <t xml:space="preserve">samavāyī</t>
  </si>
  <si>
    <t xml:space="preserve">saṃkalī</t>
  </si>
  <si>
    <t xml:space="preserve">saṃketī</t>
  </si>
  <si>
    <t xml:space="preserve">saṃkramī</t>
  </si>
  <si>
    <t xml:space="preserve">saṃnir</t>
  </si>
  <si>
    <t xml:space="preserve">saṃpi</t>
  </si>
  <si>
    <t xml:space="preserve">samprā</t>
  </si>
  <si>
    <t xml:space="preserve">saṃprā</t>
  </si>
  <si>
    <t xml:space="preserve">saṃpraṇi</t>
  </si>
  <si>
    <t xml:space="preserve">saṃpratyā</t>
  </si>
  <si>
    <t xml:space="preserve">saṃpratyava</t>
  </si>
  <si>
    <t xml:space="preserve">saṃpratyupa</t>
  </si>
  <si>
    <t xml:space="preserve">saṃpravi</t>
  </si>
  <si>
    <t xml:space="preserve">saṃprod</t>
  </si>
  <si>
    <t xml:space="preserve">saṃpuraḥ</t>
  </si>
  <si>
    <t xml:space="preserve">saṃpuṭī</t>
  </si>
  <si>
    <t xml:space="preserve">samṛddhī</t>
  </si>
  <si>
    <t xml:space="preserve">saṃśrad</t>
  </si>
  <si>
    <t xml:space="preserve">samudvi</t>
  </si>
  <si>
    <t xml:space="preserve">samul</t>
  </si>
  <si>
    <t xml:space="preserve">samupani</t>
  </si>
  <si>
    <t xml:space="preserve">samupasam</t>
  </si>
  <si>
    <t xml:space="preserve">samupod</t>
  </si>
  <si>
    <t xml:space="preserve">sanāthī</t>
  </si>
  <si>
    <t xml:space="preserve">sāndrī</t>
  </si>
  <si>
    <t xml:space="preserve">śāntī</t>
  </si>
  <si>
    <t xml:space="preserve">sapatrā</t>
  </si>
  <si>
    <t xml:space="preserve">saralī</t>
  </si>
  <si>
    <t xml:space="preserve">śataguṇī</t>
  </si>
  <si>
    <t xml:space="preserve">sayujī</t>
  </si>
  <si>
    <t xml:space="preserve">śikhī</t>
  </si>
  <si>
    <t xml:space="preserve">sindūrī</t>
  </si>
  <si>
    <t xml:space="preserve">śiśirī</t>
  </si>
  <si>
    <t xml:space="preserve">śiṣyī</t>
  </si>
  <si>
    <t xml:space="preserve">śīt</t>
  </si>
  <si>
    <t xml:space="preserve">śivamayī</t>
  </si>
  <si>
    <t xml:space="preserve">ślakṣṇī</t>
  </si>
  <si>
    <t xml:space="preserve">ślathī</t>
  </si>
  <si>
    <t xml:space="preserve">śoṇī</t>
  </si>
  <si>
    <t xml:space="preserve">spaṣṭī</t>
  </si>
  <si>
    <t xml:space="preserve">sphaṭī</t>
  </si>
  <si>
    <t xml:space="preserve">śrad</t>
  </si>
  <si>
    <t xml:space="preserve">śṛṅkhalī</t>
  </si>
  <si>
    <t xml:space="preserve">stabdhī</t>
  </si>
  <si>
    <t xml:space="preserve">stambhī</t>
  </si>
  <si>
    <t xml:space="preserve">śuddhī</t>
  </si>
  <si>
    <t xml:space="preserve">śūdrī</t>
  </si>
  <si>
    <t xml:space="preserve">sukhā</t>
  </si>
  <si>
    <t xml:space="preserve">śukī</t>
  </si>
  <si>
    <t xml:space="preserve">śuklī</t>
  </si>
  <si>
    <t xml:space="preserve">śukrī</t>
  </si>
  <si>
    <t xml:space="preserve">śūlā</t>
  </si>
  <si>
    <t xml:space="preserve">sulabhī</t>
  </si>
  <si>
    <t xml:space="preserve">suṅgī</t>
  </si>
  <si>
    <t xml:space="preserve">supattrī</t>
  </si>
  <si>
    <t xml:space="preserve">supra</t>
  </si>
  <si>
    <t xml:space="preserve">suprabuddhī</t>
  </si>
  <si>
    <t xml:space="preserve">surabhī</t>
  </si>
  <si>
    <t xml:space="preserve">suṣirī</t>
  </si>
  <si>
    <t xml:space="preserve">susthirī</t>
  </si>
  <si>
    <t xml:space="preserve">suvi</t>
  </si>
  <si>
    <t xml:space="preserve">svāgatī</t>
  </si>
  <si>
    <t xml:space="preserve">svalpī</t>
  </si>
  <si>
    <t xml:space="preserve">svāmī</t>
  </si>
  <si>
    <t xml:space="preserve">svāṃśī</t>
  </si>
  <si>
    <t xml:space="preserve">svāṅgaśītī</t>
  </si>
  <si>
    <t xml:space="preserve">svarasī</t>
  </si>
  <si>
    <t xml:space="preserve">śyāvī</t>
  </si>
  <si>
    <t xml:space="preserve">tanvī</t>
  </si>
  <si>
    <t xml:space="preserve">taruṇī</t>
  </si>
  <si>
    <t xml:space="preserve">timirī</t>
  </si>
  <si>
    <t xml:space="preserve">tīrthī</t>
  </si>
  <si>
    <t xml:space="preserve">tittirī</t>
  </si>
  <si>
    <t xml:space="preserve">triguṇī</t>
  </si>
  <si>
    <t xml:space="preserve">tṛṇī</t>
  </si>
  <si>
    <t xml:space="preserve">tṛptī</t>
  </si>
  <si>
    <t xml:space="preserve">tucchī</t>
  </si>
  <si>
    <t xml:space="preserve">tuṅgī</t>
  </si>
  <si>
    <t xml:space="preserve">tuṣṇī</t>
  </si>
  <si>
    <t xml:space="preserve">tūṣṇī</t>
  </si>
  <si>
    <t xml:space="preserve">tvam</t>
  </si>
  <si>
    <t xml:space="preserve">uccakṣū</t>
  </si>
  <si>
    <t xml:space="preserve">uccheṣaṇī</t>
  </si>
  <si>
    <t xml:space="preserve">udabhi</t>
  </si>
  <si>
    <t xml:space="preserve">udāharaṇī</t>
  </si>
  <si>
    <t xml:space="preserve">udapa</t>
  </si>
  <si>
    <t xml:space="preserve">udarī</t>
  </si>
  <si>
    <t xml:space="preserve">uddhārī</t>
  </si>
  <si>
    <t xml:space="preserve">udvyut</t>
  </si>
  <si>
    <t xml:space="preserve">unmattī</t>
  </si>
  <si>
    <t xml:space="preserve">unnatī</t>
  </si>
  <si>
    <t xml:space="preserve">unni</t>
  </si>
  <si>
    <t xml:space="preserve">upadhānī</t>
  </si>
  <si>
    <t xml:space="preserve">upādhi</t>
  </si>
  <si>
    <t xml:space="preserve">upahārī</t>
  </si>
  <si>
    <t xml:space="preserve">upakaraṇī</t>
  </si>
  <si>
    <t xml:space="preserve">upaparā</t>
  </si>
  <si>
    <t xml:space="preserve">upapari</t>
  </si>
  <si>
    <t xml:space="preserve">upaparyā</t>
  </si>
  <si>
    <t xml:space="preserve">upaprā</t>
  </si>
  <si>
    <t xml:space="preserve">upaprati</t>
  </si>
  <si>
    <t xml:space="preserve">uparini</t>
  </si>
  <si>
    <t xml:space="preserve">upasamanvā</t>
  </si>
  <si>
    <t xml:space="preserve">upasaṃni</t>
  </si>
  <si>
    <t xml:space="preserve">upasaṃparā</t>
  </si>
  <si>
    <t xml:space="preserve">upasaṃs</t>
  </si>
  <si>
    <t xml:space="preserve">upavyā</t>
  </si>
  <si>
    <t xml:space="preserve">upopaparā</t>
  </si>
  <si>
    <t xml:space="preserve">urarī</t>
  </si>
  <si>
    <t xml:space="preserve">ūrdhvī</t>
  </si>
  <si>
    <t xml:space="preserve">urī</t>
  </si>
  <si>
    <t xml:space="preserve">ūrī</t>
  </si>
  <si>
    <t xml:space="preserve">uttānī</t>
  </si>
  <si>
    <t xml:space="preserve">vadanī</t>
  </si>
  <si>
    <t xml:space="preserve">vāhanī</t>
  </si>
  <si>
    <t xml:space="preserve">vājī</t>
  </si>
  <si>
    <t xml:space="preserve">vāmanī</t>
  </si>
  <si>
    <t xml:space="preserve">vānarī</t>
  </si>
  <si>
    <t xml:space="preserve">vararucī</t>
  </si>
  <si>
    <t xml:space="preserve">varī</t>
  </si>
  <si>
    <t xml:space="preserve">vartulī</t>
  </si>
  <si>
    <t xml:space="preserve">vaṣaṭ</t>
  </si>
  <si>
    <t xml:space="preserve">vaṭakī</t>
  </si>
  <si>
    <t xml:space="preserve">vaṭī</t>
  </si>
  <si>
    <t xml:space="preserve">vāṭī</t>
  </si>
  <si>
    <t xml:space="preserve">veṣavārī</t>
  </si>
  <si>
    <t xml:space="preserve">vicārī</t>
  </si>
  <si>
    <t xml:space="preserve">vicetā</t>
  </si>
  <si>
    <t xml:space="preserve">vicitrī</t>
  </si>
  <si>
    <t xml:space="preserve">vidalī</t>
  </si>
  <si>
    <t xml:space="preserve">vidhanī</t>
  </si>
  <si>
    <t xml:space="preserve">vidyādharī</t>
  </si>
  <si>
    <t xml:space="preserve">vihvalī</t>
  </si>
  <si>
    <t xml:space="preserve">vijanī</t>
  </si>
  <si>
    <t xml:space="preserve">vijarjarī</t>
  </si>
  <si>
    <t xml:space="preserve">vijayī</t>
  </si>
  <si>
    <t xml:space="preserve">vikacī</t>
  </si>
  <si>
    <t xml:space="preserve">vikalī</t>
  </si>
  <si>
    <t xml:space="preserve">viklavī</t>
  </si>
  <si>
    <t xml:space="preserve">vimalī</t>
  </si>
  <si>
    <t xml:space="preserve">vinigaḍī</t>
  </si>
  <si>
    <t xml:space="preserve">vinir</t>
  </si>
  <si>
    <t xml:space="preserve">viparā</t>
  </si>
  <si>
    <t xml:space="preserve">viparyā</t>
  </si>
  <si>
    <t xml:space="preserve">viphalī</t>
  </si>
  <si>
    <t xml:space="preserve">viprasāt</t>
  </si>
  <si>
    <t xml:space="preserve">vipulī</t>
  </si>
  <si>
    <t xml:space="preserve">virahī</t>
  </si>
  <si>
    <t xml:space="preserve">viraktī</t>
  </si>
  <si>
    <t xml:space="preserve">virasī</t>
  </si>
  <si>
    <t xml:space="preserve">virathī</t>
  </si>
  <si>
    <t xml:space="preserve">virūkṣī</t>
  </si>
  <si>
    <t xml:space="preserve">viśadī</t>
  </si>
  <si>
    <t xml:space="preserve">viṣādī</t>
  </si>
  <si>
    <t xml:space="preserve">viśakalī</t>
  </si>
  <si>
    <t xml:space="preserve">viśalī</t>
  </si>
  <si>
    <t xml:space="preserve">viśālī</t>
  </si>
  <si>
    <t xml:space="preserve">viśāradī</t>
  </si>
  <si>
    <t xml:space="preserve">viṣī</t>
  </si>
  <si>
    <t xml:space="preserve">vitānī</t>
  </si>
  <si>
    <t xml:space="preserve">vitathī</t>
  </si>
  <si>
    <t xml:space="preserve">vituṣī</t>
  </si>
  <si>
    <t xml:space="preserve">vivaśī</t>
  </si>
  <si>
    <t xml:space="preserve">vyalaṃ</t>
  </si>
  <si>
    <t xml:space="preserve">vyālī</t>
  </si>
  <si>
    <t xml:space="preserve">vyamlī</t>
  </si>
  <si>
    <t xml:space="preserve">vyaṅgī</t>
  </si>
  <si>
    <t xml:space="preserve">vyanvā</t>
  </si>
  <si>
    <t xml:space="preserve">vyapasam</t>
  </si>
  <si>
    <t xml:space="preserve">vyarthī</t>
  </si>
  <si>
    <t xml:space="preserve">vyasanī</t>
  </si>
  <si>
    <t xml:space="preserve">vyavā</t>
  </si>
  <si>
    <t xml:space="preserve">vyayī</t>
  </si>
  <si>
    <t xml:space="preserve">vyomī</t>
  </si>
  <si>
    <t xml:space="preserve">vyud</t>
  </si>
  <si>
    <t xml:space="preserve">vyūhī</t>
  </si>
  <si>
    <t xml:space="preserve">vyun</t>
  </si>
  <si>
    <t xml:space="preserve">vyupapari</t>
  </si>
  <si>
    <t xml:space="preserve">yogī</t>
  </si>
  <si>
    <t xml:space="preserve">yugalī</t>
  </si>
  <si>
    <t xml:space="preserve">yugmī</t>
  </si>
  <si>
    <t xml:space="preserve">Корень</t>
  </si>
  <si>
    <t xml:space="preserve">Частота  префиксных в корпусе</t>
  </si>
  <si>
    <t xml:space="preserve">Частотные отношения приставочных  </t>
  </si>
  <si>
    <t xml:space="preserve">Всего перфиксных форм в словаре</t>
  </si>
  <si>
    <t xml:space="preserve">Префиксная форма</t>
  </si>
  <si>
    <t xml:space="preserve">Частота в корпусе</t>
  </si>
  <si>
    <t xml:space="preserve">cam</t>
  </si>
  <si>
    <t xml:space="preserve">ācam</t>
  </si>
  <si>
    <t xml:space="preserve">samācam</t>
  </si>
  <si>
    <t xml:space="preserve">nirācam</t>
  </si>
  <si>
    <t xml:space="preserve">anvācam</t>
  </si>
  <si>
    <t xml:space="preserve">paryācam</t>
  </si>
  <si>
    <t xml:space="preserve">kāśay</t>
  </si>
  <si>
    <t xml:space="preserve">prakāśay</t>
  </si>
  <si>
    <t xml:space="preserve">saṁprakāśay</t>
  </si>
  <si>
    <t xml:space="preserve">saṁnikāśay</t>
  </si>
  <si>
    <t xml:space="preserve">saṁkāśay</t>
  </si>
  <si>
    <t xml:space="preserve">avakāśay</t>
  </si>
  <si>
    <t xml:space="preserve">vikāśay</t>
  </si>
  <si>
    <t xml:space="preserve">laṣ</t>
  </si>
  <si>
    <t xml:space="preserve">abhilaṣ</t>
  </si>
  <si>
    <t xml:space="preserve">samabhilaṣ</t>
  </si>
  <si>
    <t xml:space="preserve">ālaṣ</t>
  </si>
  <si>
    <t xml:space="preserve">parilaṣ</t>
  </si>
  <si>
    <t xml:space="preserve">śrambh</t>
  </si>
  <si>
    <t xml:space="preserve">viśrambh</t>
  </si>
  <si>
    <t xml:space="preserve">pratipraśrambh</t>
  </si>
  <si>
    <t xml:space="preserve">ativiśrambh</t>
  </si>
  <si>
    <t xml:space="preserve">kas</t>
  </si>
  <si>
    <t xml:space="preserve">vikas</t>
  </si>
  <si>
    <t xml:space="preserve">niṣkas</t>
  </si>
  <si>
    <t xml:space="preserve">pravikas</t>
  </si>
  <si>
    <t xml:space="preserve">anuvikas</t>
  </si>
  <si>
    <t xml:space="preserve">utkas</t>
  </si>
  <si>
    <t xml:space="preserve">visaṁkas</t>
  </si>
  <si>
    <t xml:space="preserve">locay</t>
  </si>
  <si>
    <t xml:space="preserve">ālocay</t>
  </si>
  <si>
    <t xml:space="preserve">samālocay</t>
  </si>
  <si>
    <t xml:space="preserve">paryālocay</t>
  </si>
  <si>
    <t xml:space="preserve">anvālocay</t>
  </si>
  <si>
    <t xml:space="preserve">nirlocay</t>
  </si>
  <si>
    <t xml:space="preserve">kāsay</t>
  </si>
  <si>
    <t xml:space="preserve">niṣkāsay</t>
  </si>
  <si>
    <t xml:space="preserve">vikāsay</t>
  </si>
  <si>
    <t xml:space="preserve">pravikāsay</t>
  </si>
  <si>
    <t xml:space="preserve">saṁkāsay</t>
  </si>
  <si>
    <t xml:space="preserve">ghāray</t>
  </si>
  <si>
    <t xml:space="preserve">abhighāray</t>
  </si>
  <si>
    <t xml:space="preserve">āghāray</t>
  </si>
  <si>
    <t xml:space="preserve">pratyabhighāray</t>
  </si>
  <si>
    <t xml:space="preserve">vyāghāray</t>
  </si>
  <si>
    <t xml:space="preserve">mūlay</t>
  </si>
  <si>
    <t xml:space="preserve">unmūlay</t>
  </si>
  <si>
    <t xml:space="preserve">samunmūlay</t>
  </si>
  <si>
    <t xml:space="preserve">nirmūlay</t>
  </si>
  <si>
    <t xml:space="preserve">vimūlay</t>
  </si>
  <si>
    <t xml:space="preserve">liṅg</t>
  </si>
  <si>
    <t xml:space="preserve">āliṅg</t>
  </si>
  <si>
    <t xml:space="preserve">abhiliṅg</t>
  </si>
  <si>
    <t xml:space="preserve">samāliṅg</t>
  </si>
  <si>
    <t xml:space="preserve">ulliṅg</t>
  </si>
  <si>
    <t xml:space="preserve">sedhay</t>
  </si>
  <si>
    <t xml:space="preserve">pratiṣedhay</t>
  </si>
  <si>
    <t xml:space="preserve">āsedhay</t>
  </si>
  <si>
    <t xml:space="preserve">niṣedhay</t>
  </si>
  <si>
    <t xml:space="preserve">rāgay</t>
  </si>
  <si>
    <t xml:space="preserve">ārāgay</t>
  </si>
  <si>
    <t xml:space="preserve">virāgay</t>
  </si>
  <si>
    <t xml:space="preserve">srambh</t>
  </si>
  <si>
    <t xml:space="preserve">pratiprasrambh</t>
  </si>
  <si>
    <t xml:space="preserve">prasrambh</t>
  </si>
  <si>
    <t xml:space="preserve">ḍambay</t>
  </si>
  <si>
    <t xml:space="preserve">viḍambay</t>
  </si>
  <si>
    <t xml:space="preserve">vecay</t>
  </si>
  <si>
    <t xml:space="preserve">vivecay</t>
  </si>
  <si>
    <t xml:space="preserve">pravivecay</t>
  </si>
  <si>
    <t xml:space="preserve">sāhay</t>
  </si>
  <si>
    <t xml:space="preserve">protsāhay</t>
  </si>
  <si>
    <t xml:space="preserve">utsāhay</t>
  </si>
  <si>
    <t xml:space="preserve">samutsāhay</t>
  </si>
  <si>
    <t xml:space="preserve">stāray</t>
  </si>
  <si>
    <t xml:space="preserve">vistāray</t>
  </si>
  <si>
    <t xml:space="preserve">prastāray</t>
  </si>
  <si>
    <t xml:space="preserve">kocay</t>
  </si>
  <si>
    <t xml:space="preserve">saṁkocay</t>
  </si>
  <si>
    <t xml:space="preserve">hval</t>
  </si>
  <si>
    <t xml:space="preserve">vihval</t>
  </si>
  <si>
    <t xml:space="preserve">ḍī</t>
  </si>
  <si>
    <t xml:space="preserve">uḍḍī</t>
  </si>
  <si>
    <t xml:space="preserve">proḍḍī</t>
  </si>
  <si>
    <t xml:space="preserve">praḍī</t>
  </si>
  <si>
    <t xml:space="preserve">dhukṣay</t>
  </si>
  <si>
    <t xml:space="preserve">saṁdhukṣay</t>
  </si>
  <si>
    <t xml:space="preserve">saṁpradhukṣay</t>
  </si>
  <si>
    <t xml:space="preserve">dhyāyay</t>
  </si>
  <si>
    <t xml:space="preserve">ādhyāyay</t>
  </si>
  <si>
    <t xml:space="preserve">cāmay</t>
  </si>
  <si>
    <t xml:space="preserve">ācāmay</t>
  </si>
  <si>
    <t xml:space="preserve">cāṭay</t>
  </si>
  <si>
    <t xml:space="preserve">uccāṭay</t>
  </si>
  <si>
    <t xml:space="preserve">sphālay</t>
  </si>
  <si>
    <t xml:space="preserve">āsphālay</t>
  </si>
  <si>
    <t xml:space="preserve">saṁsphālay</t>
  </si>
  <si>
    <t xml:space="preserve">samāsphālay</t>
  </si>
  <si>
    <t xml:space="preserve">heṭhay</t>
  </si>
  <si>
    <t xml:space="preserve">viheṭhay</t>
  </si>
  <si>
    <t xml:space="preserve">dhukṣ</t>
  </si>
  <si>
    <t xml:space="preserve">saṁdhukṣ</t>
  </si>
  <si>
    <t xml:space="preserve">uddhukṣ</t>
  </si>
  <si>
    <t xml:space="preserve">saṁpradhukṣ</t>
  </si>
  <si>
    <t xml:space="preserve">galbh</t>
  </si>
  <si>
    <t xml:space="preserve">pragalbh</t>
  </si>
  <si>
    <t xml:space="preserve">saṁpragalbh</t>
  </si>
  <si>
    <t xml:space="preserve">avagalbh</t>
  </si>
  <si>
    <t xml:space="preserve">lok</t>
  </si>
  <si>
    <t xml:space="preserve">ālok</t>
  </si>
  <si>
    <t xml:space="preserve">avalok</t>
  </si>
  <si>
    <t xml:space="preserve">saṁlok</t>
  </si>
  <si>
    <t xml:space="preserve">ullok</t>
  </si>
  <si>
    <t xml:space="preserve">kaṇṭhay</t>
  </si>
  <si>
    <t xml:space="preserve">utkaṇṭhay</t>
  </si>
  <si>
    <t xml:space="preserve">protkaṇṭhay</t>
  </si>
  <si>
    <t xml:space="preserve">koṭay</t>
  </si>
  <si>
    <t xml:space="preserve">ākoṭay</t>
  </si>
  <si>
    <t xml:space="preserve">utkoṭay</t>
  </si>
  <si>
    <t xml:space="preserve">śrāmay</t>
  </si>
  <si>
    <t xml:space="preserve">viśrāmay</t>
  </si>
  <si>
    <t xml:space="preserve">pratiśrāmay</t>
  </si>
  <si>
    <t xml:space="preserve">gāhay</t>
  </si>
  <si>
    <t xml:space="preserve">avagāhay</t>
  </si>
  <si>
    <t xml:space="preserve">smāpay</t>
  </si>
  <si>
    <t xml:space="preserve">vismāpay</t>
  </si>
  <si>
    <t xml:space="preserve">śramay</t>
  </si>
  <si>
    <t xml:space="preserve">viśramay</t>
  </si>
  <si>
    <t xml:space="preserve">āśramay</t>
  </si>
  <si>
    <t xml:space="preserve">rurukṣ</t>
  </si>
  <si>
    <t xml:space="preserve">ārurukṣ</t>
  </si>
  <si>
    <t xml:space="preserve">mreḍay</t>
  </si>
  <si>
    <t xml:space="preserve">āmreḍay</t>
  </si>
  <si>
    <t xml:space="preserve">śrāpay</t>
  </si>
  <si>
    <t xml:space="preserve">ucchrāpay</t>
  </si>
  <si>
    <t xml:space="preserve">sekay</t>
  </si>
  <si>
    <t xml:space="preserve">abhiṣekay</t>
  </si>
  <si>
    <t xml:space="preserve">sāyay</t>
  </si>
  <si>
    <t xml:space="preserve">avasāyay</t>
  </si>
  <si>
    <t xml:space="preserve">vyavasāyay</t>
  </si>
  <si>
    <t xml:space="preserve">hvāyay</t>
  </si>
  <si>
    <t xml:space="preserve">āhvāyay</t>
  </si>
  <si>
    <t xml:space="preserve">samāhvāyay</t>
  </si>
  <si>
    <t xml:space="preserve">didhyās</t>
  </si>
  <si>
    <t xml:space="preserve">nididhyās</t>
  </si>
  <si>
    <t xml:space="preserve">rambhay</t>
  </si>
  <si>
    <t xml:space="preserve">ārambhay</t>
  </si>
  <si>
    <t xml:space="preserve">anvārambhay</t>
  </si>
  <si>
    <t xml:space="preserve">parirambhay</t>
  </si>
  <si>
    <t xml:space="preserve">śrambhay</t>
  </si>
  <si>
    <t xml:space="preserve">viśrambhay</t>
  </si>
  <si>
    <t xml:space="preserve">ativiśrambhay</t>
  </si>
  <si>
    <t xml:space="preserve">upaviśrambhay</t>
  </si>
  <si>
    <t xml:space="preserve">dehay</t>
  </si>
  <si>
    <t xml:space="preserve">pradehay</t>
  </si>
  <si>
    <t xml:space="preserve">saṁdehay</t>
  </si>
  <si>
    <t xml:space="preserve">taray</t>
  </si>
  <si>
    <t xml:space="preserve">avataray</t>
  </si>
  <si>
    <t xml:space="preserve">saṁtaray</t>
  </si>
  <si>
    <t xml:space="preserve">uttaray</t>
  </si>
  <si>
    <t xml:space="preserve">īj</t>
  </si>
  <si>
    <t xml:space="preserve">apej</t>
  </si>
  <si>
    <t xml:space="preserve">samīj</t>
  </si>
  <si>
    <t xml:space="preserve">tañc</t>
  </si>
  <si>
    <t xml:space="preserve">ātañc</t>
  </si>
  <si>
    <t xml:space="preserve">abhyātañc</t>
  </si>
  <si>
    <t xml:space="preserve">nikṣ</t>
  </si>
  <si>
    <t xml:space="preserve">vinikṣ</t>
  </si>
  <si>
    <t xml:space="preserve">anunikṣ</t>
  </si>
  <si>
    <t xml:space="preserve">ruruts</t>
  </si>
  <si>
    <t xml:space="preserve">avaruruts</t>
  </si>
  <si>
    <t xml:space="preserve">viruruts</t>
  </si>
  <si>
    <t xml:space="preserve">śardhay</t>
  </si>
  <si>
    <t xml:space="preserve">avaśardhay</t>
  </si>
  <si>
    <t xml:space="preserve">atipraśardhay</t>
  </si>
  <si>
    <t xml:space="preserve">śvasay</t>
  </si>
  <si>
    <t xml:space="preserve">ucchvasay</t>
  </si>
  <si>
    <t xml:space="preserve">viśvasay</t>
  </si>
  <si>
    <t xml:space="preserve">ghar</t>
  </si>
  <si>
    <t xml:space="preserve">praghar</t>
  </si>
  <si>
    <t xml:space="preserve">ḍamb</t>
  </si>
  <si>
    <t xml:space="preserve">viḍamb</t>
  </si>
  <si>
    <t xml:space="preserve">ned</t>
  </si>
  <si>
    <t xml:space="preserve">atined</t>
  </si>
  <si>
    <t xml:space="preserve">phālay</t>
  </si>
  <si>
    <t xml:space="preserve">utphālay</t>
  </si>
  <si>
    <t xml:space="preserve">viṣṭ</t>
  </si>
  <si>
    <t xml:space="preserve">āviṣṭ</t>
  </si>
  <si>
    <t xml:space="preserve">śyānay</t>
  </si>
  <si>
    <t xml:space="preserve">āśyānay</t>
  </si>
  <si>
    <t xml:space="preserve">śvañc</t>
  </si>
  <si>
    <t xml:space="preserve">ucchvañc</t>
  </si>
  <si>
    <t xml:space="preserve">hvānay</t>
  </si>
  <si>
    <t xml:space="preserve">āhvānay</t>
  </si>
  <si>
    <t xml:space="preserve">pru</t>
  </si>
  <si>
    <t xml:space="preserve">vipru</t>
  </si>
  <si>
    <t xml:space="preserve">āpru</t>
  </si>
  <si>
    <t xml:space="preserve">abhipru</t>
  </si>
  <si>
    <t xml:space="preserve">apapru</t>
  </si>
  <si>
    <t xml:space="preserve">atipru</t>
  </si>
  <si>
    <t xml:space="preserve">utpru</t>
  </si>
  <si>
    <t xml:space="preserve">balay</t>
  </si>
  <si>
    <t xml:space="preserve">prabalay</t>
  </si>
  <si>
    <t xml:space="preserve">samupodbalay</t>
  </si>
  <si>
    <t xml:space="preserve">upodbalay</t>
  </si>
  <si>
    <t xml:space="preserve">gadh</t>
  </si>
  <si>
    <t xml:space="preserve">āgadh</t>
  </si>
  <si>
    <t xml:space="preserve">parigadh</t>
  </si>
  <si>
    <t xml:space="preserve">lasay</t>
  </si>
  <si>
    <t xml:space="preserve">ullasay</t>
  </si>
  <si>
    <t xml:space="preserve">vilasay</t>
  </si>
  <si>
    <t xml:space="preserve">cagghay</t>
  </si>
  <si>
    <t xml:space="preserve">uccagghay</t>
  </si>
  <si>
    <t xml:space="preserve">cācal</t>
  </si>
  <si>
    <t xml:space="preserve">vicācal</t>
  </si>
  <si>
    <t xml:space="preserve">tālay</t>
  </si>
  <si>
    <t xml:space="preserve">nistālay</t>
  </si>
  <si>
    <t xml:space="preserve">tāv</t>
  </si>
  <si>
    <t xml:space="preserve">vitāv</t>
  </si>
  <si>
    <t xml:space="preserve">dveṣay</t>
  </si>
  <si>
    <t xml:space="preserve">vidveṣay</t>
  </si>
  <si>
    <t xml:space="preserve">būm</t>
  </si>
  <si>
    <t xml:space="preserve">anubūm</t>
  </si>
  <si>
    <t xml:space="preserve">bhaṇḍay</t>
  </si>
  <si>
    <t xml:space="preserve">vibhaṇḍay</t>
  </si>
  <si>
    <t xml:space="preserve">mṛkṣay</t>
  </si>
  <si>
    <t xml:space="preserve">abhimṛkṣay</t>
  </si>
  <si>
    <t xml:space="preserve">mokṣ</t>
  </si>
  <si>
    <t xml:space="preserve">parimokṣ</t>
  </si>
  <si>
    <t xml:space="preserve">mreḍ</t>
  </si>
  <si>
    <t xml:space="preserve">nimreḍ</t>
  </si>
  <si>
    <t xml:space="preserve">lāghay</t>
  </si>
  <si>
    <t xml:space="preserve">ullāghay</t>
  </si>
  <si>
    <t xml:space="preserve">valh</t>
  </si>
  <si>
    <t xml:space="preserve">pravalh</t>
  </si>
  <si>
    <t xml:space="preserve">vlag</t>
  </si>
  <si>
    <t xml:space="preserve">abhivlag</t>
  </si>
  <si>
    <t xml:space="preserve">śas</t>
  </si>
  <si>
    <t xml:space="preserve">viśas</t>
  </si>
  <si>
    <t xml:space="preserve">krośay</t>
  </si>
  <si>
    <t xml:space="preserve">prakrośay</t>
  </si>
  <si>
    <t xml:space="preserve">anukrośay</t>
  </si>
  <si>
    <t xml:space="preserve">upakrośay</t>
  </si>
  <si>
    <t xml:space="preserve">ghrāpay</t>
  </si>
  <si>
    <t xml:space="preserve">āghrāpay</t>
  </si>
  <si>
    <t xml:space="preserve">avaghrāpay</t>
  </si>
  <si>
    <t xml:space="preserve">saṁghrāpay</t>
  </si>
  <si>
    <t xml:space="preserve">vellay</t>
  </si>
  <si>
    <t xml:space="preserve">parivellay</t>
  </si>
  <si>
    <t xml:space="preserve">prativellay</t>
  </si>
  <si>
    <t xml:space="preserve">hūrch</t>
  </si>
  <si>
    <t xml:space="preserve">vihūrch</t>
  </si>
  <si>
    <t xml:space="preserve">anuhūrch</t>
  </si>
  <si>
    <t xml:space="preserve">aṅkhay</t>
  </si>
  <si>
    <t xml:space="preserve">paryaṅkhay</t>
  </si>
  <si>
    <t xml:space="preserve">āṭay</t>
  </si>
  <si>
    <t xml:space="preserve">paryāṭay</t>
  </si>
  <si>
    <t xml:space="preserve">uṣay</t>
  </si>
  <si>
    <t xml:space="preserve">upoṣay</t>
  </si>
  <si>
    <t xml:space="preserve">kacay</t>
  </si>
  <si>
    <t xml:space="preserve">utkacay</t>
  </si>
  <si>
    <t xml:space="preserve">kaṣay</t>
  </si>
  <si>
    <t xml:space="preserve">nikaṣay</t>
  </si>
  <si>
    <t xml:space="preserve">kīray</t>
  </si>
  <si>
    <t xml:space="preserve">anvavakīray</t>
  </si>
  <si>
    <t xml:space="preserve">kuḍ</t>
  </si>
  <si>
    <t xml:space="preserve">upakuḍ</t>
  </si>
  <si>
    <t xml:space="preserve">kūṇay</t>
  </si>
  <si>
    <t xml:space="preserve">ākūṇay</t>
  </si>
  <si>
    <t xml:space="preserve">krāpay</t>
  </si>
  <si>
    <t xml:space="preserve">vikrāpay</t>
  </si>
  <si>
    <t xml:space="preserve">khātay</t>
  </si>
  <si>
    <t xml:space="preserve">nikhātay</t>
  </si>
  <si>
    <t xml:space="preserve">garv</t>
  </si>
  <si>
    <t xml:space="preserve">abhigarv</t>
  </si>
  <si>
    <t xml:space="preserve">giray</t>
  </si>
  <si>
    <t xml:space="preserve">udgiray</t>
  </si>
  <si>
    <t xml:space="preserve">ḍhakkay</t>
  </si>
  <si>
    <t xml:space="preserve">pariḍhakkay</t>
  </si>
  <si>
    <t xml:space="preserve">camay</t>
  </si>
  <si>
    <t xml:space="preserve">ācamay</t>
  </si>
  <si>
    <t xml:space="preserve">cikramiṣ</t>
  </si>
  <si>
    <t xml:space="preserve">uccikramiṣ</t>
  </si>
  <si>
    <t xml:space="preserve">cyutay</t>
  </si>
  <si>
    <t xml:space="preserve">niścyutay</t>
  </si>
  <si>
    <t xml:space="preserve">chāyay</t>
  </si>
  <si>
    <t xml:space="preserve">vichāyay</t>
  </si>
  <si>
    <t xml:space="preserve">jañjabh</t>
  </si>
  <si>
    <t xml:space="preserve">abhijañjabh</t>
  </si>
  <si>
    <t xml:space="preserve">jāsay</t>
  </si>
  <si>
    <t xml:space="preserve">nijāsay</t>
  </si>
  <si>
    <t xml:space="preserve">jigāṁs</t>
  </si>
  <si>
    <t xml:space="preserve">apojjigāṁs</t>
  </si>
  <si>
    <t xml:space="preserve">tantas</t>
  </si>
  <si>
    <t xml:space="preserve">vitantas</t>
  </si>
  <si>
    <t xml:space="preserve">tuṇḍay</t>
  </si>
  <si>
    <t xml:space="preserve">parituṇḍay</t>
  </si>
  <si>
    <t xml:space="preserve">tudāy</t>
  </si>
  <si>
    <t xml:space="preserve">vitudāy</t>
  </si>
  <si>
    <t xml:space="preserve">tvakṣ</t>
  </si>
  <si>
    <t xml:space="preserve">pratvakṣ</t>
  </si>
  <si>
    <t xml:space="preserve">panīphaṇ</t>
  </si>
  <si>
    <t xml:space="preserve">āpanīphaṇ</t>
  </si>
  <si>
    <t xml:space="preserve">piñjaray</t>
  </si>
  <si>
    <t xml:space="preserve">paripiñjaray</t>
  </si>
  <si>
    <t xml:space="preserve">pibd</t>
  </si>
  <si>
    <t xml:space="preserve">āpibd</t>
  </si>
  <si>
    <t xml:space="preserve">bharay</t>
  </si>
  <si>
    <t xml:space="preserve">nirbharay</t>
  </si>
  <si>
    <t xml:space="preserve">bhāray</t>
  </si>
  <si>
    <t xml:space="preserve">saṁbhāray</t>
  </si>
  <si>
    <t xml:space="preserve">bheṣ</t>
  </si>
  <si>
    <t xml:space="preserve">vibheṣ</t>
  </si>
  <si>
    <t xml:space="preserve">māthay</t>
  </si>
  <si>
    <t xml:space="preserve">pramāthay</t>
  </si>
  <si>
    <t xml:space="preserve">mīv</t>
  </si>
  <si>
    <t xml:space="preserve">nimīv</t>
  </si>
  <si>
    <t xml:space="preserve">mṛg</t>
  </si>
  <si>
    <t xml:space="preserve">vimṛg</t>
  </si>
  <si>
    <t xml:space="preserve">yūh</t>
  </si>
  <si>
    <t xml:space="preserve">saṁyūh</t>
  </si>
  <si>
    <t xml:space="preserve">yūhay</t>
  </si>
  <si>
    <t xml:space="preserve">saṁyūhay</t>
  </si>
  <si>
    <t xml:space="preserve">rāṇ</t>
  </si>
  <si>
    <t xml:space="preserve">virāṇ</t>
  </si>
  <si>
    <t xml:space="preserve">lulobhay</t>
  </si>
  <si>
    <t xml:space="preserve">ālulobhay</t>
  </si>
  <si>
    <t xml:space="preserve">lūlup</t>
  </si>
  <si>
    <t xml:space="preserve">saṁlūlup</t>
  </si>
  <si>
    <t xml:space="preserve">vivats</t>
  </si>
  <si>
    <t xml:space="preserve">pravivats</t>
  </si>
  <si>
    <t xml:space="preserve">vivṛts</t>
  </si>
  <si>
    <t xml:space="preserve">paryāvivṛts</t>
  </si>
  <si>
    <t xml:space="preserve">vivraj</t>
  </si>
  <si>
    <t xml:space="preserve">parivivraj</t>
  </si>
  <si>
    <t xml:space="preserve">śaṅkay</t>
  </si>
  <si>
    <t xml:space="preserve">viśaṅkay</t>
  </si>
  <si>
    <t xml:space="preserve">śrāṇay</t>
  </si>
  <si>
    <t xml:space="preserve">viśrāṇay</t>
  </si>
  <si>
    <t xml:space="preserve">sisṛps</t>
  </si>
  <si>
    <t xml:space="preserve">utsisṛps</t>
  </si>
  <si>
    <t xml:space="preserve">senay</t>
  </si>
  <si>
    <t xml:space="preserve">abhiṣenay</t>
  </si>
  <si>
    <t xml:space="preserve">seṣidh</t>
  </si>
  <si>
    <t xml:space="preserve">anuseṣidh</t>
  </si>
  <si>
    <t xml:space="preserve">skambhay</t>
  </si>
  <si>
    <t xml:space="preserve">viṣkambhay</t>
  </si>
  <si>
    <t xml:space="preserve">cyavay</t>
  </si>
  <si>
    <t xml:space="preserve">anupracyavay</t>
  </si>
  <si>
    <t xml:space="preserve">chṛd</t>
  </si>
  <si>
    <t xml:space="preserve">ācchṛd</t>
  </si>
  <si>
    <t xml:space="preserve">tas</t>
  </si>
  <si>
    <t xml:space="preserve">abhitas</t>
  </si>
  <si>
    <t xml:space="preserve">today</t>
  </si>
  <si>
    <t xml:space="preserve">pratoday</t>
  </si>
  <si>
    <t xml:space="preserve">mūl</t>
  </si>
  <si>
    <t xml:space="preserve">unmūl</t>
  </si>
  <si>
    <t xml:space="preserve">loṭhay</t>
  </si>
  <si>
    <t xml:space="preserve">nirloṭhay</t>
  </si>
  <si>
    <t xml:space="preserve">vacay</t>
  </si>
  <si>
    <t xml:space="preserve">anuvacay</t>
  </si>
  <si>
    <t xml:space="preserve">sisikṣ</t>
  </si>
  <si>
    <t xml:space="preserve">saṁsisikṣ</t>
  </si>
  <si>
    <t xml:space="preserve">iṣay</t>
  </si>
  <si>
    <t xml:space="preserve">preṣay</t>
  </si>
  <si>
    <t xml:space="preserve">saṁpreṣay</t>
  </si>
  <si>
    <t xml:space="preserve">anupreṣay</t>
  </si>
  <si>
    <t xml:space="preserve">abhipreṣay</t>
  </si>
  <si>
    <t xml:space="preserve">paripreṣay</t>
  </si>
  <si>
    <t xml:space="preserve">kṛt</t>
  </si>
  <si>
    <t xml:space="preserve">nikṛt</t>
  </si>
  <si>
    <t xml:space="preserve">utkṛt</t>
  </si>
  <si>
    <t xml:space="preserve">vinikṛt</t>
  </si>
  <si>
    <t xml:space="preserve">saṁkṛt</t>
  </si>
  <si>
    <t xml:space="preserve">avakṛt</t>
  </si>
  <si>
    <t xml:space="preserve">parikṛt</t>
  </si>
  <si>
    <t xml:space="preserve">vikṛt</t>
  </si>
  <si>
    <t xml:space="preserve">niṣkṛt</t>
  </si>
  <si>
    <t xml:space="preserve">prakṛt</t>
  </si>
  <si>
    <t xml:space="preserve">abhikṛt</t>
  </si>
  <si>
    <t xml:space="preserve">apakṛt</t>
  </si>
  <si>
    <t xml:space="preserve">samutkṛt</t>
  </si>
  <si>
    <t xml:space="preserve">saṁnikṛt</t>
  </si>
  <si>
    <t xml:space="preserve">anukṛt</t>
  </si>
  <si>
    <t xml:space="preserve">protkṛt</t>
  </si>
  <si>
    <t xml:space="preserve">upakṛt</t>
  </si>
  <si>
    <t xml:space="preserve">vyavakṛt</t>
  </si>
  <si>
    <t xml:space="preserve">apikṛt</t>
  </si>
  <si>
    <t xml:space="preserve">saṁprakṛt</t>
  </si>
  <si>
    <t xml:space="preserve">viniṣkṛt</t>
  </si>
  <si>
    <t xml:space="preserve">samadhikṛt</t>
  </si>
  <si>
    <t xml:space="preserve">sarjay</t>
  </si>
  <si>
    <t xml:space="preserve">visarjay</t>
  </si>
  <si>
    <t xml:space="preserve">abhisarjay</t>
  </si>
  <si>
    <t xml:space="preserve">saṁsarjay</t>
  </si>
  <si>
    <t xml:space="preserve">upasarjay</t>
  </si>
  <si>
    <t xml:space="preserve">parisarjay</t>
  </si>
  <si>
    <t xml:space="preserve">śī</t>
  </si>
  <si>
    <t xml:space="preserve">adhiśī</t>
  </si>
  <si>
    <t xml:space="preserve">atiśī</t>
  </si>
  <si>
    <t xml:space="preserve">saṁśī</t>
  </si>
  <si>
    <t xml:space="preserve">upaśī</t>
  </si>
  <si>
    <t xml:space="preserve">āśī</t>
  </si>
  <si>
    <t xml:space="preserve">anuśī</t>
  </si>
  <si>
    <t xml:space="preserve">pratiśī</t>
  </si>
  <si>
    <t xml:space="preserve">pariśī</t>
  </si>
  <si>
    <t xml:space="preserve">niḥśī</t>
  </si>
  <si>
    <t xml:space="preserve">samadhiśī</t>
  </si>
  <si>
    <t xml:space="preserve">anvāśī</t>
  </si>
  <si>
    <t xml:space="preserve">samanuśī</t>
  </si>
  <si>
    <t xml:space="preserve">avaśī</t>
  </si>
  <si>
    <t xml:space="preserve">abhiśī</t>
  </si>
  <si>
    <t xml:space="preserve">praśī</t>
  </si>
  <si>
    <t xml:space="preserve">pratyāśī</t>
  </si>
  <si>
    <t xml:space="preserve">viśī</t>
  </si>
  <si>
    <t xml:space="preserve">ghāṭay</t>
  </si>
  <si>
    <t xml:space="preserve">udghāṭay</t>
  </si>
  <si>
    <t xml:space="preserve">vighāṭay</t>
  </si>
  <si>
    <t xml:space="preserve">apaghāṭay</t>
  </si>
  <si>
    <t xml:space="preserve">samudghāṭay</t>
  </si>
  <si>
    <t xml:space="preserve">parighāṭay</t>
  </si>
  <si>
    <t xml:space="preserve">praghāṭay</t>
  </si>
  <si>
    <t xml:space="preserve">pravighāṭay</t>
  </si>
  <si>
    <t xml:space="preserve">vrājay</t>
  </si>
  <si>
    <t xml:space="preserve">pravrājay</t>
  </si>
  <si>
    <t xml:space="preserve">dās</t>
  </si>
  <si>
    <t xml:space="preserve">abhidās</t>
  </si>
  <si>
    <t xml:space="preserve">yas</t>
  </si>
  <si>
    <t xml:space="preserve">āyas</t>
  </si>
  <si>
    <t xml:space="preserve">samāyas</t>
  </si>
  <si>
    <t xml:space="preserve">prayas</t>
  </si>
  <si>
    <t xml:space="preserve">saṁyas</t>
  </si>
  <si>
    <t xml:space="preserve">nāhay</t>
  </si>
  <si>
    <t xml:space="preserve">upanāhay</t>
  </si>
  <si>
    <t xml:space="preserve">saṁnāhay</t>
  </si>
  <si>
    <t xml:space="preserve">mruc</t>
  </si>
  <si>
    <t xml:space="preserve">nimruc</t>
  </si>
  <si>
    <t xml:space="preserve">abhinimruc</t>
  </si>
  <si>
    <t xml:space="preserve">vimruc</t>
  </si>
  <si>
    <t xml:space="preserve">anumruc</t>
  </si>
  <si>
    <t xml:space="preserve">upamruc</t>
  </si>
  <si>
    <t xml:space="preserve">chal</t>
  </si>
  <si>
    <t xml:space="preserve">ucchal</t>
  </si>
  <si>
    <t xml:space="preserve">samucchal</t>
  </si>
  <si>
    <t xml:space="preserve">procchal</t>
  </si>
  <si>
    <t xml:space="preserve">yāsay</t>
  </si>
  <si>
    <t xml:space="preserve">āyāsay</t>
  </si>
  <si>
    <t xml:space="preserve">prayāsay</t>
  </si>
  <si>
    <t xml:space="preserve">rājay</t>
  </si>
  <si>
    <t xml:space="preserve">virājay</t>
  </si>
  <si>
    <t xml:space="preserve">karṇay</t>
  </si>
  <si>
    <t xml:space="preserve">samākarṇay</t>
  </si>
  <si>
    <t xml:space="preserve">upākarṇay</t>
  </si>
  <si>
    <t xml:space="preserve">vivikṣ</t>
  </si>
  <si>
    <t xml:space="preserve">pravivikṣ</t>
  </si>
  <si>
    <t xml:space="preserve">kūlay</t>
  </si>
  <si>
    <t xml:space="preserve">avakūlay</t>
  </si>
  <si>
    <t xml:space="preserve">pratikūlay</t>
  </si>
  <si>
    <t xml:space="preserve">samutkūlay</t>
  </si>
  <si>
    <t xml:space="preserve">taṁsay</t>
  </si>
  <si>
    <t xml:space="preserve">uttaṁsay</t>
  </si>
  <si>
    <t xml:space="preserve">paritaṁsay</t>
  </si>
  <si>
    <t xml:space="preserve">kṛntay</t>
  </si>
  <si>
    <t xml:space="preserve">nikṛntay</t>
  </si>
  <si>
    <t xml:space="preserve">vikṛntay</t>
  </si>
  <si>
    <t xml:space="preserve">mathay</t>
  </si>
  <si>
    <t xml:space="preserve">vinirmathay</t>
  </si>
  <si>
    <t xml:space="preserve">unmathay</t>
  </si>
  <si>
    <t xml:space="preserve">dhūlay</t>
  </si>
  <si>
    <t xml:space="preserve">uddhūlay</t>
  </si>
  <si>
    <t xml:space="preserve">yakṣ</t>
  </si>
  <si>
    <t xml:space="preserve">prayakṣ</t>
  </si>
  <si>
    <t xml:space="preserve">nu</t>
  </si>
  <si>
    <t xml:space="preserve">praṇu</t>
  </si>
  <si>
    <t xml:space="preserve">ānu</t>
  </si>
  <si>
    <t xml:space="preserve">abhinu</t>
  </si>
  <si>
    <t xml:space="preserve">abhipraṇu</t>
  </si>
  <si>
    <t xml:space="preserve">abhisaṁnu</t>
  </si>
  <si>
    <t xml:space="preserve">anunu</t>
  </si>
  <si>
    <t xml:space="preserve">anvānu</t>
  </si>
  <si>
    <t xml:space="preserve">apanu</t>
  </si>
  <si>
    <t xml:space="preserve">atinu</t>
  </si>
  <si>
    <t xml:space="preserve">avanu</t>
  </si>
  <si>
    <t xml:space="preserve">kal</t>
  </si>
  <si>
    <t xml:space="preserve">nikal</t>
  </si>
  <si>
    <t xml:space="preserve">anusaṁkal</t>
  </si>
  <si>
    <t xml:space="preserve">yuyukṣ</t>
  </si>
  <si>
    <t xml:space="preserve">anuyuyukṣ</t>
  </si>
  <si>
    <t xml:space="preserve">viyuyukṣ</t>
  </si>
  <si>
    <t xml:space="preserve">smaray</t>
  </si>
  <si>
    <t xml:space="preserve">anusmaray</t>
  </si>
  <si>
    <t xml:space="preserve">saṁsmaray</t>
  </si>
  <si>
    <t xml:space="preserve">vṛṣāy</t>
  </si>
  <si>
    <t xml:space="preserve">āvṛṣāy</t>
  </si>
  <si>
    <t xml:space="preserve">juhūṣ</t>
  </si>
  <si>
    <t xml:space="preserve">samājuhūṣ</t>
  </si>
  <si>
    <t xml:space="preserve">saṁjuhūṣ</t>
  </si>
  <si>
    <t xml:space="preserve">kaṭṭay</t>
  </si>
  <si>
    <t xml:space="preserve">ākaṭṭay</t>
  </si>
  <si>
    <t xml:space="preserve">kac</t>
  </si>
  <si>
    <t xml:space="preserve">pravikac</t>
  </si>
  <si>
    <t xml:space="preserve">grathay</t>
  </si>
  <si>
    <t xml:space="preserve">udgrathay</t>
  </si>
  <si>
    <t xml:space="preserve">cikrīṣ</t>
  </si>
  <si>
    <t xml:space="preserve">vicikrīṣ</t>
  </si>
  <si>
    <t xml:space="preserve">cyotay</t>
  </si>
  <si>
    <t xml:space="preserve">pracyotay</t>
  </si>
  <si>
    <t xml:space="preserve">jaṅgah</t>
  </si>
  <si>
    <t xml:space="preserve">vijaṅgah</t>
  </si>
  <si>
    <t xml:space="preserve">takṣay</t>
  </si>
  <si>
    <t xml:space="preserve">saṁtakṣay</t>
  </si>
  <si>
    <t xml:space="preserve">dhyāpay</t>
  </si>
  <si>
    <t xml:space="preserve">nidhyāpay</t>
  </si>
  <si>
    <t xml:space="preserve">pūrṇay</t>
  </si>
  <si>
    <t xml:space="preserve">saṁpūrṇay</t>
  </si>
  <si>
    <t xml:space="preserve">barbṛh</t>
  </si>
  <si>
    <t xml:space="preserve">upabarbṛh</t>
  </si>
  <si>
    <t xml:space="preserve">moṣay</t>
  </si>
  <si>
    <t xml:space="preserve">parimoṣay</t>
  </si>
  <si>
    <t xml:space="preserve">mrad</t>
  </si>
  <si>
    <t xml:space="preserve">vimrad</t>
  </si>
  <si>
    <t xml:space="preserve">rac</t>
  </si>
  <si>
    <t xml:space="preserve">virac</t>
  </si>
  <si>
    <t xml:space="preserve">luḍ</t>
  </si>
  <si>
    <t xml:space="preserve">āluḍ</t>
  </si>
  <si>
    <t xml:space="preserve">varīvṛj</t>
  </si>
  <si>
    <t xml:space="preserve">udvarīvṛj</t>
  </si>
  <si>
    <t xml:space="preserve">vātay</t>
  </si>
  <si>
    <t xml:space="preserve">apivātay</t>
  </si>
  <si>
    <t xml:space="preserve">vrajay</t>
  </si>
  <si>
    <t xml:space="preserve">pravrajay</t>
  </si>
  <si>
    <t xml:space="preserve">śalyay</t>
  </si>
  <si>
    <t xml:space="preserve">viśalyay</t>
  </si>
  <si>
    <t xml:space="preserve">siñj</t>
  </si>
  <si>
    <t xml:space="preserve">āsiñj</t>
  </si>
  <si>
    <t xml:space="preserve">stāvay</t>
  </si>
  <si>
    <t xml:space="preserve">prastāvay</t>
  </si>
  <si>
    <t xml:space="preserve">svanay</t>
  </si>
  <si>
    <t xml:space="preserve">pratisvanay</t>
  </si>
  <si>
    <t xml:space="preserve">yabh</t>
  </si>
  <si>
    <t xml:space="preserve">prayabh</t>
  </si>
  <si>
    <t xml:space="preserve">pratiyabh</t>
  </si>
  <si>
    <t xml:space="preserve">riph</t>
  </si>
  <si>
    <t xml:space="preserve">āriph</t>
  </si>
  <si>
    <t xml:space="preserve">avariph</t>
  </si>
  <si>
    <t xml:space="preserve">khud</t>
  </si>
  <si>
    <t xml:space="preserve">prakhud</t>
  </si>
  <si>
    <t xml:space="preserve">tamay</t>
  </si>
  <si>
    <t xml:space="preserve">nitamay</t>
  </si>
  <si>
    <t xml:space="preserve">mṛkṣ</t>
  </si>
  <si>
    <t xml:space="preserve">nimṛkṣ</t>
  </si>
  <si>
    <t xml:space="preserve">stobhay</t>
  </si>
  <si>
    <t xml:space="preserve">pariṣṭobhay</t>
  </si>
  <si>
    <t xml:space="preserve">vejay</t>
  </si>
  <si>
    <t xml:space="preserve">udvejay</t>
  </si>
  <si>
    <t xml:space="preserve">saṁvejay</t>
  </si>
  <si>
    <t xml:space="preserve">prodvejay</t>
  </si>
  <si>
    <t xml:space="preserve">āvejay</t>
  </si>
  <si>
    <t xml:space="preserve">pravejay</t>
  </si>
  <si>
    <t xml:space="preserve">hiṇḍ</t>
  </si>
  <si>
    <t xml:space="preserve">anvāhiṇḍ</t>
  </si>
  <si>
    <t xml:space="preserve">āhiṇḍ</t>
  </si>
  <si>
    <t xml:space="preserve">parihiṇḍ</t>
  </si>
  <si>
    <t xml:space="preserve">upāhiṇḍ</t>
  </si>
  <si>
    <t xml:space="preserve">hnu</t>
  </si>
  <si>
    <t xml:space="preserve">nihnu</t>
  </si>
  <si>
    <t xml:space="preserve">apahnu</t>
  </si>
  <si>
    <t xml:space="preserve">vinihnu</t>
  </si>
  <si>
    <t xml:space="preserve">apanihnu</t>
  </si>
  <si>
    <t xml:space="preserve">apihnu</t>
  </si>
  <si>
    <t xml:space="preserve">vihnu</t>
  </si>
  <si>
    <t xml:space="preserve">chā</t>
  </si>
  <si>
    <t xml:space="preserve">pracchā</t>
  </si>
  <si>
    <t xml:space="preserve">avacchā</t>
  </si>
  <si>
    <t xml:space="preserve">saṁpracchā</t>
  </si>
  <si>
    <t xml:space="preserve">āccho</t>
  </si>
  <si>
    <t xml:space="preserve">anucchā</t>
  </si>
  <si>
    <t xml:space="preserve">trap</t>
  </si>
  <si>
    <t xml:space="preserve">apatrap</t>
  </si>
  <si>
    <t xml:space="preserve">vyapatrap</t>
  </si>
  <si>
    <t xml:space="preserve">dhits</t>
  </si>
  <si>
    <t xml:space="preserve">saṁdhits</t>
  </si>
  <si>
    <t xml:space="preserve">vidhits</t>
  </si>
  <si>
    <t xml:space="preserve">ādhits</t>
  </si>
  <si>
    <t xml:space="preserve">abhidhits</t>
  </si>
  <si>
    <t xml:space="preserve">samādhits</t>
  </si>
  <si>
    <t xml:space="preserve">ūhay</t>
  </si>
  <si>
    <t xml:space="preserve">nirūhay</t>
  </si>
  <si>
    <t xml:space="preserve">abhyūhay</t>
  </si>
  <si>
    <t xml:space="preserve">samūhay</t>
  </si>
  <si>
    <t xml:space="preserve">vyapohay</t>
  </si>
  <si>
    <t xml:space="preserve">veṣay</t>
  </si>
  <si>
    <t xml:space="preserve">pariveṣay</t>
  </si>
  <si>
    <t xml:space="preserve">jūrv</t>
  </si>
  <si>
    <t xml:space="preserve">nijūrv</t>
  </si>
  <si>
    <t xml:space="preserve">saṁjūrv</t>
  </si>
  <si>
    <t xml:space="preserve">marśay</t>
  </si>
  <si>
    <t xml:space="preserve">parimarśay</t>
  </si>
  <si>
    <t xml:space="preserve">vimarśay</t>
  </si>
  <si>
    <t xml:space="preserve">abhimarśay</t>
  </si>
  <si>
    <t xml:space="preserve">anumarśay</t>
  </si>
  <si>
    <t xml:space="preserve">ścotay</t>
  </si>
  <si>
    <t xml:space="preserve">niścotay</t>
  </si>
  <si>
    <t xml:space="preserve">āścotay</t>
  </si>
  <si>
    <t xml:space="preserve">abhiścotay</t>
  </si>
  <si>
    <t xml:space="preserve">hāsay</t>
  </si>
  <si>
    <t xml:space="preserve">apahāsay</t>
  </si>
  <si>
    <t xml:space="preserve">parihāsay</t>
  </si>
  <si>
    <t xml:space="preserve">prahāsay</t>
  </si>
  <si>
    <t xml:space="preserve">upahāsay</t>
  </si>
  <si>
    <t xml:space="preserve">dṛbh</t>
  </si>
  <si>
    <t xml:space="preserve">saṁdṛbh</t>
  </si>
  <si>
    <t xml:space="preserve">paridṛbh</t>
  </si>
  <si>
    <t xml:space="preserve">anudṛbh</t>
  </si>
  <si>
    <t xml:space="preserve">edhay</t>
  </si>
  <si>
    <t xml:space="preserve">samedhay</t>
  </si>
  <si>
    <t xml:space="preserve">ghaṭṭ</t>
  </si>
  <si>
    <t xml:space="preserve">saṁghaṭṭ</t>
  </si>
  <si>
    <t xml:space="preserve">samāghaṭṭ</t>
  </si>
  <si>
    <t xml:space="preserve">vighaṭṭ</t>
  </si>
  <si>
    <t xml:space="preserve">anughaṭṭ</t>
  </si>
  <si>
    <t xml:space="preserve">rahay</t>
  </si>
  <si>
    <t xml:space="preserve">virahay</t>
  </si>
  <si>
    <t xml:space="preserve">caṭ</t>
  </si>
  <si>
    <t xml:space="preserve">proccaṭ</t>
  </si>
  <si>
    <t xml:space="preserve">vicaṭ</t>
  </si>
  <si>
    <t xml:space="preserve">uccaṭ</t>
  </si>
  <si>
    <t xml:space="preserve">kṣveḍay</t>
  </si>
  <si>
    <t xml:space="preserve">prakṣveḍay</t>
  </si>
  <si>
    <t xml:space="preserve">bhrājay</t>
  </si>
  <si>
    <t xml:space="preserve">vibhrājay</t>
  </si>
  <si>
    <t xml:space="preserve">īrṣy</t>
  </si>
  <si>
    <t xml:space="preserve">samīrṣy</t>
  </si>
  <si>
    <t xml:space="preserve">utsukay</t>
  </si>
  <si>
    <t xml:space="preserve">samutsukay</t>
  </si>
  <si>
    <t xml:space="preserve">cicīṣ</t>
  </si>
  <si>
    <t xml:space="preserve">upacicīṣ</t>
  </si>
  <si>
    <t xml:space="preserve">ciray</t>
  </si>
  <si>
    <t xml:space="preserve">aticiray</t>
  </si>
  <si>
    <t xml:space="preserve">narday</t>
  </si>
  <si>
    <t xml:space="preserve">abhinarday</t>
  </si>
  <si>
    <t xml:space="preserve">meday</t>
  </si>
  <si>
    <t xml:space="preserve">atimeday</t>
  </si>
  <si>
    <t xml:space="preserve">rāvay</t>
  </si>
  <si>
    <t xml:space="preserve">virāvay</t>
  </si>
  <si>
    <t xml:space="preserve">riś</t>
  </si>
  <si>
    <t xml:space="preserve">āriś</t>
  </si>
  <si>
    <t xml:space="preserve">lāḍay</t>
  </si>
  <si>
    <t xml:space="preserve">ullāḍay</t>
  </si>
  <si>
    <t xml:space="preserve">jyotay</t>
  </si>
  <si>
    <t xml:space="preserve">avajyotay</t>
  </si>
  <si>
    <t xml:space="preserve">āpay</t>
  </si>
  <si>
    <t xml:space="preserve">prāpay</t>
  </si>
  <si>
    <t xml:space="preserve">adhyāpay</t>
  </si>
  <si>
    <t xml:space="preserve">samāpay</t>
  </si>
  <si>
    <t xml:space="preserve">anuprāpay</t>
  </si>
  <si>
    <t xml:space="preserve">pariprāpay</t>
  </si>
  <si>
    <t xml:space="preserve">vyāpay</t>
  </si>
  <si>
    <t xml:space="preserve">abhyāpay</t>
  </si>
  <si>
    <t xml:space="preserve">pratyāpay</t>
  </si>
  <si>
    <t xml:space="preserve">saṁprāpay</t>
  </si>
  <si>
    <t xml:space="preserve">anusamāpay</t>
  </si>
  <si>
    <t xml:space="preserve">nāyay</t>
  </si>
  <si>
    <t xml:space="preserve">ānāyay</t>
  </si>
  <si>
    <t xml:space="preserve">samānāyay</t>
  </si>
  <si>
    <t xml:space="preserve">upanāyay</t>
  </si>
  <si>
    <t xml:space="preserve">pariṇāyay</t>
  </si>
  <si>
    <t xml:space="preserve">ukṣay</t>
  </si>
  <si>
    <t xml:space="preserve">prokṣay</t>
  </si>
  <si>
    <t xml:space="preserve">saṁprokṣay</t>
  </si>
  <si>
    <t xml:space="preserve">abhyukṣay</t>
  </si>
  <si>
    <t xml:space="preserve">pariprokṣay</t>
  </si>
  <si>
    <t xml:space="preserve">samukṣay</t>
  </si>
  <si>
    <t xml:space="preserve">mnā</t>
  </si>
  <si>
    <t xml:space="preserve">āmnā</t>
  </si>
  <si>
    <t xml:space="preserve">samāmnā</t>
  </si>
  <si>
    <t xml:space="preserve">pratyāmnā</t>
  </si>
  <si>
    <t xml:space="preserve">lāpay</t>
  </si>
  <si>
    <t xml:space="preserve">vilāpay</t>
  </si>
  <si>
    <t xml:space="preserve">ālāpay</t>
  </si>
  <si>
    <t xml:space="preserve">abhivilī</t>
  </si>
  <si>
    <t xml:space="preserve">apalāpay</t>
  </si>
  <si>
    <t xml:space="preserve">saṁlāpay</t>
  </si>
  <si>
    <t xml:space="preserve">pravilāpay</t>
  </si>
  <si>
    <t xml:space="preserve">ullāpay</t>
  </si>
  <si>
    <t xml:space="preserve">lāsay</t>
  </si>
  <si>
    <t xml:space="preserve">ullāsay</t>
  </si>
  <si>
    <t xml:space="preserve">samullāsay</t>
  </si>
  <si>
    <t xml:space="preserve">vilāsay</t>
  </si>
  <si>
    <t xml:space="preserve">snu</t>
  </si>
  <si>
    <t xml:space="preserve">prasnu</t>
  </si>
  <si>
    <t xml:space="preserve">parisnu</t>
  </si>
  <si>
    <t xml:space="preserve">upasnu</t>
  </si>
  <si>
    <t xml:space="preserve">jāpay</t>
  </si>
  <si>
    <t xml:space="preserve">upajāpay</t>
  </si>
  <si>
    <t xml:space="preserve">ujjāpay</t>
  </si>
  <si>
    <t xml:space="preserve">śyā</t>
  </si>
  <si>
    <t xml:space="preserve">āśyā</t>
  </si>
  <si>
    <t xml:space="preserve">sañjay</t>
  </si>
  <si>
    <t xml:space="preserve">prasañjay</t>
  </si>
  <si>
    <t xml:space="preserve">āsañjay</t>
  </si>
  <si>
    <t xml:space="preserve">anuṣañjay</t>
  </si>
  <si>
    <t xml:space="preserve">avasañjay</t>
  </si>
  <si>
    <t xml:space="preserve">vyatiṣañjay</t>
  </si>
  <si>
    <t xml:space="preserve">kuṭ</t>
  </si>
  <si>
    <t xml:space="preserve">saṁkuṭ</t>
  </si>
  <si>
    <t xml:space="preserve">avakuṭ</t>
  </si>
  <si>
    <t xml:space="preserve">parikuṭ</t>
  </si>
  <si>
    <t xml:space="preserve">prakuṭ</t>
  </si>
  <si>
    <t xml:space="preserve">manāy</t>
  </si>
  <si>
    <t xml:space="preserve">abhimanāy</t>
  </si>
  <si>
    <t xml:space="preserve">unmanāy</t>
  </si>
  <si>
    <t xml:space="preserve">rā</t>
  </si>
  <si>
    <t xml:space="preserve">saṁrā</t>
  </si>
  <si>
    <t xml:space="preserve">luṇṭh</t>
  </si>
  <si>
    <t xml:space="preserve">viluṇṭh</t>
  </si>
  <si>
    <t xml:space="preserve">pariluṇṭh</t>
  </si>
  <si>
    <t xml:space="preserve">nirluṇṭh</t>
  </si>
  <si>
    <t xml:space="preserve">tānay</t>
  </si>
  <si>
    <t xml:space="preserve">saṁtānay</t>
  </si>
  <si>
    <t xml:space="preserve">pravitānay</t>
  </si>
  <si>
    <t xml:space="preserve">uttānay</t>
  </si>
  <si>
    <t xml:space="preserve">sarsṛ</t>
  </si>
  <si>
    <t xml:space="preserve">prasarsṛ</t>
  </si>
  <si>
    <t xml:space="preserve">ḍhaukay</t>
  </si>
  <si>
    <t xml:space="preserve">upaḍhaukay</t>
  </si>
  <si>
    <t xml:space="preserve">āḍhaukay</t>
  </si>
  <si>
    <t xml:space="preserve">sphūrjay</t>
  </si>
  <si>
    <t xml:space="preserve">visphūrjay</t>
  </si>
  <si>
    <t xml:space="preserve">dohay</t>
  </si>
  <si>
    <t xml:space="preserve">avadohay</t>
  </si>
  <si>
    <t xml:space="preserve">abhidohay</t>
  </si>
  <si>
    <t xml:space="preserve">saṁdohay</t>
  </si>
  <si>
    <t xml:space="preserve">kṛpāy</t>
  </si>
  <si>
    <t xml:space="preserve">anukṛpāy</t>
  </si>
  <si>
    <t xml:space="preserve">dolay</t>
  </si>
  <si>
    <t xml:space="preserve">saṁdolay</t>
  </si>
  <si>
    <t xml:space="preserve">arth</t>
  </si>
  <si>
    <t xml:space="preserve">saṁprārth</t>
  </si>
  <si>
    <t xml:space="preserve">ākulay</t>
  </si>
  <si>
    <t xml:space="preserve">paryākulay</t>
  </si>
  <si>
    <t xml:space="preserve">indhay</t>
  </si>
  <si>
    <t xml:space="preserve">samindhay</t>
  </si>
  <si>
    <t xml:space="preserve">glāpay</t>
  </si>
  <si>
    <t xml:space="preserve">viglāpay</t>
  </si>
  <si>
    <t xml:space="preserve">nenīy</t>
  </si>
  <si>
    <t xml:space="preserve">atinenīy</t>
  </si>
  <si>
    <t xml:space="preserve">protay</t>
  </si>
  <si>
    <t xml:space="preserve">saṁprotay</t>
  </si>
  <si>
    <t xml:space="preserve">bībhats</t>
  </si>
  <si>
    <t xml:space="preserve">udbībhats</t>
  </si>
  <si>
    <t xml:space="preserve">bharibhṛ</t>
  </si>
  <si>
    <t xml:space="preserve">vibharibhṛ</t>
  </si>
  <si>
    <t xml:space="preserve">hlād</t>
  </si>
  <si>
    <t xml:space="preserve">prahlād</t>
  </si>
  <si>
    <t xml:space="preserve">gāpay</t>
  </si>
  <si>
    <t xml:space="preserve">anugāpay</t>
  </si>
  <si>
    <t xml:space="preserve">adhigāpay</t>
  </si>
  <si>
    <t xml:space="preserve">nāṭay</t>
  </si>
  <si>
    <t xml:space="preserve">unnāṭay</t>
  </si>
  <si>
    <t xml:space="preserve">lokay</t>
  </si>
  <si>
    <t xml:space="preserve">ālokay</t>
  </si>
  <si>
    <t xml:space="preserve">vilokay</t>
  </si>
  <si>
    <t xml:space="preserve">avalokay</t>
  </si>
  <si>
    <t xml:space="preserve">samālokay</t>
  </si>
  <si>
    <t xml:space="preserve">vyavalokay</t>
  </si>
  <si>
    <t xml:space="preserve">pravilokay</t>
  </si>
  <si>
    <t xml:space="preserve">samavalokay</t>
  </si>
  <si>
    <t xml:space="preserve">anuvilokay</t>
  </si>
  <si>
    <t xml:space="preserve">pratilokay</t>
  </si>
  <si>
    <t xml:space="preserve">parilokay</t>
  </si>
  <si>
    <t xml:space="preserve">dhāpay</t>
  </si>
  <si>
    <t xml:space="preserve">nidhāpay</t>
  </si>
  <si>
    <t xml:space="preserve">paridhāpay</t>
  </si>
  <si>
    <t xml:space="preserve">antardhāpay</t>
  </si>
  <si>
    <t xml:space="preserve">saṁnidhāpay</t>
  </si>
  <si>
    <t xml:space="preserve">pidhāpay</t>
  </si>
  <si>
    <t xml:space="preserve">vidhāpay</t>
  </si>
  <si>
    <t xml:space="preserve">ādhāpay</t>
  </si>
  <si>
    <t xml:space="preserve">anudhāpay</t>
  </si>
  <si>
    <t xml:space="preserve">apidhāpay</t>
  </si>
  <si>
    <t xml:space="preserve">pratidhāpay</t>
  </si>
  <si>
    <t xml:space="preserve">vinidhāpay</t>
  </si>
  <si>
    <t xml:space="preserve">viparidhāpay</t>
  </si>
  <si>
    <t xml:space="preserve">abhidhāpay</t>
  </si>
  <si>
    <t xml:space="preserve">pyāyay</t>
  </si>
  <si>
    <t xml:space="preserve">āpyāyay</t>
  </si>
  <si>
    <t xml:space="preserve">samāpyāyay</t>
  </si>
  <si>
    <t xml:space="preserve">pratyāpyāyay</t>
  </si>
  <si>
    <t xml:space="preserve">sphāray</t>
  </si>
  <si>
    <t xml:space="preserve">visphāray</t>
  </si>
  <si>
    <t xml:space="preserve">mīl</t>
  </si>
  <si>
    <t xml:space="preserve">unmīl</t>
  </si>
  <si>
    <t xml:space="preserve">nimīl</t>
  </si>
  <si>
    <t xml:space="preserve">pramīl</t>
  </si>
  <si>
    <t xml:space="preserve">sammīl</t>
  </si>
  <si>
    <t xml:space="preserve">samunmīl</t>
  </si>
  <si>
    <t xml:space="preserve">saṁnimīl</t>
  </si>
  <si>
    <t xml:space="preserve">pronmīl</t>
  </si>
  <si>
    <t xml:space="preserve">ardhay</t>
  </si>
  <si>
    <t xml:space="preserve">samardhay</t>
  </si>
  <si>
    <t xml:space="preserve">vyardhay</t>
  </si>
  <si>
    <t xml:space="preserve">sarpay</t>
  </si>
  <si>
    <t xml:space="preserve">apasarpay</t>
  </si>
  <si>
    <t xml:space="preserve">utsarpay</t>
  </si>
  <si>
    <t xml:space="preserve">upasarpay</t>
  </si>
  <si>
    <t xml:space="preserve">visarpay</t>
  </si>
  <si>
    <t xml:space="preserve">parisarpay</t>
  </si>
  <si>
    <t xml:space="preserve">prasarpay</t>
  </si>
  <si>
    <t xml:space="preserve">atisarpay</t>
  </si>
  <si>
    <t xml:space="preserve">niḥsarpay</t>
  </si>
  <si>
    <t xml:space="preserve">pratyapasarpay</t>
  </si>
  <si>
    <t xml:space="preserve">saṁsarpay</t>
  </si>
  <si>
    <t xml:space="preserve">samutsarpay</t>
  </si>
  <si>
    <t xml:space="preserve">syanday</t>
  </si>
  <si>
    <t xml:space="preserve">prasyanday</t>
  </si>
  <si>
    <t xml:space="preserve">viṣyanday</t>
  </si>
  <si>
    <t xml:space="preserve">abhiṣyanday</t>
  </si>
  <si>
    <t xml:space="preserve">niḥṣyanday</t>
  </si>
  <si>
    <t xml:space="preserve">pariṣyanday</t>
  </si>
  <si>
    <t xml:space="preserve">samabhiṣyanday</t>
  </si>
  <si>
    <t xml:space="preserve">upāsyanday</t>
  </si>
  <si>
    <t xml:space="preserve">bharts</t>
  </si>
  <si>
    <t xml:space="preserve">paribharts</t>
  </si>
  <si>
    <t xml:space="preserve">vinirbharts</t>
  </si>
  <si>
    <t xml:space="preserve">abhinirbharts</t>
  </si>
  <si>
    <t xml:space="preserve">saṁbharts</t>
  </si>
  <si>
    <t xml:space="preserve">abhibharts</t>
  </si>
  <si>
    <t xml:space="preserve">udbharts</t>
  </si>
  <si>
    <t xml:space="preserve">śleṣay</t>
  </si>
  <si>
    <t xml:space="preserve">saṁśleṣay</t>
  </si>
  <si>
    <t xml:space="preserve">viśleṣay</t>
  </si>
  <si>
    <t xml:space="preserve">upaśleṣay</t>
  </si>
  <si>
    <t xml:space="preserve">āśleṣay</t>
  </si>
  <si>
    <t xml:space="preserve">niśleṣay</t>
  </si>
  <si>
    <t xml:space="preserve">yāmay</t>
  </si>
  <si>
    <t xml:space="preserve">niyāmay</t>
  </si>
  <si>
    <t xml:space="preserve">āyāmay</t>
  </si>
  <si>
    <t xml:space="preserve">luj</t>
  </si>
  <si>
    <t xml:space="preserve">praluj</t>
  </si>
  <si>
    <t xml:space="preserve">āyay</t>
  </si>
  <si>
    <t xml:space="preserve">adhyāyay</t>
  </si>
  <si>
    <t xml:space="preserve">pratyāyay</t>
  </si>
  <si>
    <t xml:space="preserve">saṁpratyāyay</t>
  </si>
  <si>
    <t xml:space="preserve">taṁs</t>
  </si>
  <si>
    <t xml:space="preserve">avataṁs</t>
  </si>
  <si>
    <t xml:space="preserve">nistaṁs</t>
  </si>
  <si>
    <t xml:space="preserve">iṅgay</t>
  </si>
  <si>
    <t xml:space="preserve">samiṅgay</t>
  </si>
  <si>
    <t xml:space="preserve">ubh</t>
  </si>
  <si>
    <t xml:space="preserve">samubh</t>
  </si>
  <si>
    <t xml:space="preserve">kūrd</t>
  </si>
  <si>
    <t xml:space="preserve">saṁkūrd</t>
  </si>
  <si>
    <t xml:space="preserve">atikūrd</t>
  </si>
  <si>
    <t xml:space="preserve">prakūrd</t>
  </si>
  <si>
    <t xml:space="preserve">utkūrd</t>
  </si>
  <si>
    <t xml:space="preserve">gaveṣ</t>
  </si>
  <si>
    <t xml:space="preserve">parigaveṣ</t>
  </si>
  <si>
    <t xml:space="preserve">jargur</t>
  </si>
  <si>
    <t xml:space="preserve">apajargur</t>
  </si>
  <si>
    <t xml:space="preserve">jeh</t>
  </si>
  <si>
    <t xml:space="preserve">vijeh</t>
  </si>
  <si>
    <t xml:space="preserve">pī</t>
  </si>
  <si>
    <t xml:space="preserve">pratipī</t>
  </si>
  <si>
    <t xml:space="preserve">mlāpay</t>
  </si>
  <si>
    <t xml:space="preserve">vimlāpay</t>
  </si>
  <si>
    <t xml:space="preserve">lajjay</t>
  </si>
  <si>
    <t xml:space="preserve">nirlajjay</t>
  </si>
  <si>
    <t xml:space="preserve">akṣ</t>
  </si>
  <si>
    <t xml:space="preserve">vyakṣ</t>
  </si>
  <si>
    <t xml:space="preserve">tij</t>
  </si>
  <si>
    <t xml:space="preserve">pratitij</t>
  </si>
  <si>
    <t xml:space="preserve">vat</t>
  </si>
  <si>
    <t xml:space="preserve">apivat</t>
  </si>
  <si>
    <t xml:space="preserve">śvāsay</t>
  </si>
  <si>
    <t xml:space="preserve">āśvāsay</t>
  </si>
  <si>
    <t xml:space="preserve">samāśvāsay</t>
  </si>
  <si>
    <t xml:space="preserve">viśvāsay</t>
  </si>
  <si>
    <t xml:space="preserve">ucchvāsay</t>
  </si>
  <si>
    <t xml:space="preserve">paryāśvāsay</t>
  </si>
  <si>
    <t xml:space="preserve">abhiviśvāsay</t>
  </si>
  <si>
    <t xml:space="preserve">pariviśvāsay</t>
  </si>
  <si>
    <t xml:space="preserve">pratyāśvāsay</t>
  </si>
  <si>
    <t xml:space="preserve">procchvāsay</t>
  </si>
  <si>
    <t xml:space="preserve">samucchvāsay</t>
  </si>
  <si>
    <t xml:space="preserve">praśvāsay</t>
  </si>
  <si>
    <t xml:space="preserve">prāśvāsay</t>
  </si>
  <si>
    <t xml:space="preserve">upaśvāsay</t>
  </si>
  <si>
    <t xml:space="preserve">jñapay</t>
  </si>
  <si>
    <t xml:space="preserve">prajñapay</t>
  </si>
  <si>
    <t xml:space="preserve">vijñapay</t>
  </si>
  <si>
    <t xml:space="preserve">ājñapay</t>
  </si>
  <si>
    <t xml:space="preserve">samājñapay</t>
  </si>
  <si>
    <t xml:space="preserve">saṁjñapay</t>
  </si>
  <si>
    <t xml:space="preserve">abhivijñapay</t>
  </si>
  <si>
    <t xml:space="preserve">liṅgay</t>
  </si>
  <si>
    <t xml:space="preserve">āliṅgay</t>
  </si>
  <si>
    <t xml:space="preserve">samāliṅgay</t>
  </si>
  <si>
    <t xml:space="preserve">ulliṅgay</t>
  </si>
  <si>
    <t xml:space="preserve">vic</t>
  </si>
  <si>
    <t xml:space="preserve">vivic</t>
  </si>
  <si>
    <t xml:space="preserve">pravivic</t>
  </si>
  <si>
    <t xml:space="preserve">apavic</t>
  </si>
  <si>
    <t xml:space="preserve">adhyapavic</t>
  </si>
  <si>
    <t xml:space="preserve">tejay</t>
  </si>
  <si>
    <t xml:space="preserve">samuttejay</t>
  </si>
  <si>
    <t xml:space="preserve">uttejay</t>
  </si>
  <si>
    <t xml:space="preserve">saṁtejay</t>
  </si>
  <si>
    <t xml:space="preserve">dhūnay</t>
  </si>
  <si>
    <t xml:space="preserve">vidhūnay</t>
  </si>
  <si>
    <t xml:space="preserve">avadhūnay</t>
  </si>
  <si>
    <t xml:space="preserve">nirdhūnay</t>
  </si>
  <si>
    <t xml:space="preserve">vyavadhūnay</t>
  </si>
  <si>
    <t xml:space="preserve">vīj</t>
  </si>
  <si>
    <t xml:space="preserve">upavīj</t>
  </si>
  <si>
    <t xml:space="preserve">parivīj</t>
  </si>
  <si>
    <t xml:space="preserve">anuvīj</t>
  </si>
  <si>
    <t xml:space="preserve">udvīj</t>
  </si>
  <si>
    <t xml:space="preserve">barhay</t>
  </si>
  <si>
    <t xml:space="preserve">nibarhay</t>
  </si>
  <si>
    <t xml:space="preserve">kṣāray</t>
  </si>
  <si>
    <t xml:space="preserve">ākṣāray</t>
  </si>
  <si>
    <t xml:space="preserve">prakṣāray</t>
  </si>
  <si>
    <t xml:space="preserve">avakṣāray</t>
  </si>
  <si>
    <t xml:space="preserve">kuṣ</t>
  </si>
  <si>
    <t xml:space="preserve">niṣkuṣ</t>
  </si>
  <si>
    <t xml:space="preserve">abhikuṣ</t>
  </si>
  <si>
    <t xml:space="preserve">vikuṣ</t>
  </si>
  <si>
    <t xml:space="preserve">anukuṣ</t>
  </si>
  <si>
    <t xml:space="preserve">avakuṣ</t>
  </si>
  <si>
    <t xml:space="preserve">vlī</t>
  </si>
  <si>
    <t xml:space="preserve">pravlī</t>
  </si>
  <si>
    <t xml:space="preserve">tarṣay</t>
  </si>
  <si>
    <t xml:space="preserve">vitarṣay</t>
  </si>
  <si>
    <t xml:space="preserve">atitarṣay</t>
  </si>
  <si>
    <t xml:space="preserve">pratarṣay</t>
  </si>
  <si>
    <t xml:space="preserve">nenij</t>
  </si>
  <si>
    <t xml:space="preserve">avanenij</t>
  </si>
  <si>
    <t xml:space="preserve">nirṇenij</t>
  </si>
  <si>
    <t xml:space="preserve">sūtray</t>
  </si>
  <si>
    <t xml:space="preserve">āsūtray</t>
  </si>
  <si>
    <t xml:space="preserve">visūtray</t>
  </si>
  <si>
    <t xml:space="preserve">īrts</t>
  </si>
  <si>
    <t xml:space="preserve">vīrts</t>
  </si>
  <si>
    <t xml:space="preserve">erts</t>
  </si>
  <si>
    <t xml:space="preserve">karikṛ</t>
  </si>
  <si>
    <t xml:space="preserve">ākarikṛ</t>
  </si>
  <si>
    <t xml:space="preserve">hiṅkarikṛ</t>
  </si>
  <si>
    <t xml:space="preserve">pruth</t>
  </si>
  <si>
    <t xml:space="preserve">apapruth</t>
  </si>
  <si>
    <t xml:space="preserve">prapruth</t>
  </si>
  <si>
    <t xml:space="preserve">rāmay</t>
  </si>
  <si>
    <t xml:space="preserve">abhirāmay</t>
  </si>
  <si>
    <t xml:space="preserve">nirāmay</t>
  </si>
  <si>
    <t xml:space="preserve">vāvad</t>
  </si>
  <si>
    <t xml:space="preserve">prativāvad</t>
  </si>
  <si>
    <t xml:space="preserve">vivāvad</t>
  </si>
  <si>
    <t xml:space="preserve">vedh</t>
  </si>
  <si>
    <t xml:space="preserve">pravedh</t>
  </si>
  <si>
    <t xml:space="preserve">saṁpravedh</t>
  </si>
  <si>
    <t xml:space="preserve">śāsay</t>
  </si>
  <si>
    <t xml:space="preserve">anuśāsay</t>
  </si>
  <si>
    <t xml:space="preserve">praśāsay</t>
  </si>
  <si>
    <t xml:space="preserve">kranday</t>
  </si>
  <si>
    <t xml:space="preserve">ākranday</t>
  </si>
  <si>
    <t xml:space="preserve">tartar</t>
  </si>
  <si>
    <t xml:space="preserve">vitartar</t>
  </si>
  <si>
    <t xml:space="preserve">praśnay</t>
  </si>
  <si>
    <t xml:space="preserve">paripraśnay</t>
  </si>
  <si>
    <t xml:space="preserve">vevid</t>
  </si>
  <si>
    <t xml:space="preserve">vivevid</t>
  </si>
  <si>
    <t xml:space="preserve">śikṣay</t>
  </si>
  <si>
    <t xml:space="preserve">abhiśikṣay</t>
  </si>
  <si>
    <t xml:space="preserve">anuśikṣay</t>
  </si>
  <si>
    <t xml:space="preserve">saṁśikṣsay</t>
  </si>
  <si>
    <t xml:space="preserve">manasy</t>
  </si>
  <si>
    <t xml:space="preserve">abhimanasy</t>
  </si>
  <si>
    <t xml:space="preserve">marmṛś</t>
  </si>
  <si>
    <t xml:space="preserve">abhimarmṛś</t>
  </si>
  <si>
    <t xml:space="preserve">med</t>
  </si>
  <si>
    <t xml:space="preserve">anumed</t>
  </si>
  <si>
    <t xml:space="preserve">yopay</t>
  </si>
  <si>
    <t xml:space="preserve">saṁyopay</t>
  </si>
  <si>
    <t xml:space="preserve">at</t>
  </si>
  <si>
    <t xml:space="preserve">samat</t>
  </si>
  <si>
    <t xml:space="preserve">do</t>
  </si>
  <si>
    <t xml:space="preserve">avado</t>
  </si>
  <si>
    <t xml:space="preserve">samavado</t>
  </si>
  <si>
    <t xml:space="preserve">niravado</t>
  </si>
  <si>
    <t xml:space="preserve">nido</t>
  </si>
  <si>
    <t xml:space="preserve">saṁdo</t>
  </si>
  <si>
    <t xml:space="preserve">ādo</t>
  </si>
  <si>
    <t xml:space="preserve">abhyavado</t>
  </si>
  <si>
    <t xml:space="preserve">apido</t>
  </si>
  <si>
    <t xml:space="preserve">paryavado</t>
  </si>
  <si>
    <t xml:space="preserve">pratyavado</t>
  </si>
  <si>
    <t xml:space="preserve">vyavado</t>
  </si>
  <si>
    <t xml:space="preserve">kramay</t>
  </si>
  <si>
    <t xml:space="preserve">utkramay</t>
  </si>
  <si>
    <t xml:space="preserve">niṣkramay</t>
  </si>
  <si>
    <t xml:space="preserve">saṁkramay</t>
  </si>
  <si>
    <t xml:space="preserve">ākramay</t>
  </si>
  <si>
    <t xml:space="preserve">apakramay</t>
  </si>
  <si>
    <t xml:space="preserve">abhikramay</t>
  </si>
  <si>
    <t xml:space="preserve">abhyutkramay</t>
  </si>
  <si>
    <t xml:space="preserve">atikramay</t>
  </si>
  <si>
    <t xml:space="preserve">prakramay</t>
  </si>
  <si>
    <t xml:space="preserve">vikramay</t>
  </si>
  <si>
    <t xml:space="preserve">parikramay</t>
  </si>
  <si>
    <t xml:space="preserve">āsay</t>
  </si>
  <si>
    <t xml:space="preserve">nyāsay</t>
  </si>
  <si>
    <t xml:space="preserve">abhyāsay</t>
  </si>
  <si>
    <t xml:space="preserve">adhyāsay</t>
  </si>
  <si>
    <t xml:space="preserve">utprāsay</t>
  </si>
  <si>
    <t xml:space="preserve">saṁnyāsay</t>
  </si>
  <si>
    <t xml:space="preserve">upasaṁnyāsay</t>
  </si>
  <si>
    <t xml:space="preserve">rundhay</t>
  </si>
  <si>
    <t xml:space="preserve">nirundhay</t>
  </si>
  <si>
    <t xml:space="preserve">siñcay</t>
  </si>
  <si>
    <t xml:space="preserve">niṣiñcay</t>
  </si>
  <si>
    <t xml:space="preserve">stubh</t>
  </si>
  <si>
    <t xml:space="preserve">pariṣṭubh</t>
  </si>
  <si>
    <t xml:space="preserve">prastubh</t>
  </si>
  <si>
    <t xml:space="preserve">āstubh</t>
  </si>
  <si>
    <t xml:space="preserve">abhiṣṭubh</t>
  </si>
  <si>
    <t xml:space="preserve">anuṣṭubh</t>
  </si>
  <si>
    <t xml:space="preserve">pratiṣṭubh</t>
  </si>
  <si>
    <t xml:space="preserve">viṣṭubh</t>
  </si>
  <si>
    <t xml:space="preserve">vyavastubh</t>
  </si>
  <si>
    <t xml:space="preserve">pruṣ</t>
  </si>
  <si>
    <t xml:space="preserve">vipruṣ</t>
  </si>
  <si>
    <t xml:space="preserve">paripruṣ</t>
  </si>
  <si>
    <t xml:space="preserve">kartay</t>
  </si>
  <si>
    <t xml:space="preserve">parikartay</t>
  </si>
  <si>
    <t xml:space="preserve">avakartay</t>
  </si>
  <si>
    <t xml:space="preserve">nikartay</t>
  </si>
  <si>
    <t xml:space="preserve">vikartay</t>
  </si>
  <si>
    <t xml:space="preserve">vinikartay</t>
  </si>
  <si>
    <t xml:space="preserve">kaṣ</t>
  </si>
  <si>
    <t xml:space="preserve">nikaṣ</t>
  </si>
  <si>
    <t xml:space="preserve">apakaṣ</t>
  </si>
  <si>
    <t xml:space="preserve">niṣkaṣ</t>
  </si>
  <si>
    <t xml:space="preserve">utkaṣ</t>
  </si>
  <si>
    <t xml:space="preserve">rūkṣay</t>
  </si>
  <si>
    <t xml:space="preserve">virūkṣay</t>
  </si>
  <si>
    <t xml:space="preserve">manthay</t>
  </si>
  <si>
    <t xml:space="preserve">āmanthay</t>
  </si>
  <si>
    <t xml:space="preserve">abhipramanthay</t>
  </si>
  <si>
    <t xml:space="preserve">nirmanthay</t>
  </si>
  <si>
    <t xml:space="preserve">pramanthay</t>
  </si>
  <si>
    <t xml:space="preserve">dediś</t>
  </si>
  <si>
    <t xml:space="preserve">ādediś</t>
  </si>
  <si>
    <t xml:space="preserve">pradediś</t>
  </si>
  <si>
    <t xml:space="preserve">kṛś</t>
  </si>
  <si>
    <t xml:space="preserve">anukṛś</t>
  </si>
  <si>
    <t xml:space="preserve">avakṛś</t>
  </si>
  <si>
    <t xml:space="preserve">jigamiṣ</t>
  </si>
  <si>
    <t xml:space="preserve">ājigamiṣ</t>
  </si>
  <si>
    <t xml:space="preserve">anusaṁjigamiṣ</t>
  </si>
  <si>
    <t xml:space="preserve">tsar</t>
  </si>
  <si>
    <t xml:space="preserve">abhitsar</t>
  </si>
  <si>
    <t xml:space="preserve">avatsar</t>
  </si>
  <si>
    <t xml:space="preserve">ilay</t>
  </si>
  <si>
    <t xml:space="preserve">avelay</t>
  </si>
  <si>
    <t xml:space="preserve">kṣoday</t>
  </si>
  <si>
    <t xml:space="preserve">saṁkṣoday</t>
  </si>
  <si>
    <t xml:space="preserve">dhvanay</t>
  </si>
  <si>
    <t xml:space="preserve">pradhvanay</t>
  </si>
  <si>
    <t xml:space="preserve">mith</t>
  </si>
  <si>
    <t xml:space="preserve">abhimith</t>
  </si>
  <si>
    <t xml:space="preserve">pratyabhimith</t>
  </si>
  <si>
    <t xml:space="preserve">śvit</t>
  </si>
  <si>
    <t xml:space="preserve">avaśvit</t>
  </si>
  <si>
    <t xml:space="preserve">viśvit</t>
  </si>
  <si>
    <t xml:space="preserve">āday</t>
  </si>
  <si>
    <t xml:space="preserve">apyāday</t>
  </si>
  <si>
    <t xml:space="preserve">jas</t>
  </si>
  <si>
    <t xml:space="preserve">nijas</t>
  </si>
  <si>
    <t xml:space="preserve">rādhay</t>
  </si>
  <si>
    <t xml:space="preserve">ārādhay</t>
  </si>
  <si>
    <t xml:space="preserve">samārādhay</t>
  </si>
  <si>
    <t xml:space="preserve">saṁrādhay</t>
  </si>
  <si>
    <t xml:space="preserve">abhirādhay</t>
  </si>
  <si>
    <t xml:space="preserve">aparādhay</t>
  </si>
  <si>
    <t xml:space="preserve">virādhay</t>
  </si>
  <si>
    <t xml:space="preserve">anurādhay</t>
  </si>
  <si>
    <t xml:space="preserve">lambay</t>
  </si>
  <si>
    <t xml:space="preserve">avalambay</t>
  </si>
  <si>
    <t xml:space="preserve">ullambay</t>
  </si>
  <si>
    <t xml:space="preserve">pralambay</t>
  </si>
  <si>
    <t xml:space="preserve">ālambay</t>
  </si>
  <si>
    <t xml:space="preserve">abhipralambay</t>
  </si>
  <si>
    <t xml:space="preserve">pratilambay</t>
  </si>
  <si>
    <t xml:space="preserve">vilambay</t>
  </si>
  <si>
    <t xml:space="preserve">bhāṣay</t>
  </si>
  <si>
    <t xml:space="preserve">saṁbhāṣay</t>
  </si>
  <si>
    <t xml:space="preserve">anubhāṣay</t>
  </si>
  <si>
    <t xml:space="preserve">prabhāṣay</t>
  </si>
  <si>
    <t xml:space="preserve">gūhay</t>
  </si>
  <si>
    <t xml:space="preserve">nigūhay</t>
  </si>
  <si>
    <t xml:space="preserve">upagūhay</t>
  </si>
  <si>
    <t xml:space="preserve">dālay</t>
  </si>
  <si>
    <t xml:space="preserve">uddālay</t>
  </si>
  <si>
    <t xml:space="preserve">jarbhur</t>
  </si>
  <si>
    <t xml:space="preserve">parijarbhur</t>
  </si>
  <si>
    <t xml:space="preserve">saṁjarbhur</t>
  </si>
  <si>
    <t xml:space="preserve">kuṇṭhay</t>
  </si>
  <si>
    <t xml:space="preserve">avakuṇṭhay</t>
  </si>
  <si>
    <t xml:space="preserve">veviṣ</t>
  </si>
  <si>
    <t xml:space="preserve">pariveviṣ</t>
  </si>
  <si>
    <t xml:space="preserve">jijīviṣ</t>
  </si>
  <si>
    <t xml:space="preserve">ājijīviṣ</t>
  </si>
  <si>
    <t xml:space="preserve">tak</t>
  </si>
  <si>
    <t xml:space="preserve">pratak</t>
  </si>
  <si>
    <t xml:space="preserve">dhi</t>
  </si>
  <si>
    <t xml:space="preserve">abhidhi</t>
  </si>
  <si>
    <t xml:space="preserve">pruṣāy</t>
  </si>
  <si>
    <t xml:space="preserve">āpruṣāy</t>
  </si>
  <si>
    <t xml:space="preserve">mumukṣ</t>
  </si>
  <si>
    <t xml:space="preserve">pramumukṣ</t>
  </si>
  <si>
    <t xml:space="preserve">vanday</t>
  </si>
  <si>
    <t xml:space="preserve">abhivanday</t>
  </si>
  <si>
    <t xml:space="preserve">si</t>
  </si>
  <si>
    <t xml:space="preserve">utsi</t>
  </si>
  <si>
    <t xml:space="preserve">ghṛ</t>
  </si>
  <si>
    <t xml:space="preserve">āghṛ</t>
  </si>
  <si>
    <t xml:space="preserve">praghṛ</t>
  </si>
  <si>
    <t xml:space="preserve">rap</t>
  </si>
  <si>
    <t xml:space="preserve">prarap</t>
  </si>
  <si>
    <t xml:space="preserve">pratirap</t>
  </si>
  <si>
    <t xml:space="preserve">dambhay</t>
  </si>
  <si>
    <t xml:space="preserve">upadambhay</t>
  </si>
  <si>
    <t xml:space="preserve">dā</t>
  </si>
  <si>
    <t xml:space="preserve">ādā</t>
  </si>
  <si>
    <t xml:space="preserve">pradā</t>
  </si>
  <si>
    <t xml:space="preserve">upādā</t>
  </si>
  <si>
    <t xml:space="preserve">samādā</t>
  </si>
  <si>
    <t xml:space="preserve">upadā</t>
  </si>
  <si>
    <t xml:space="preserve">paridā</t>
  </si>
  <si>
    <t xml:space="preserve">vyādā</t>
  </si>
  <si>
    <t xml:space="preserve">sampradā</t>
  </si>
  <si>
    <t xml:space="preserve">anupradā</t>
  </si>
  <si>
    <t xml:space="preserve">pratidā</t>
  </si>
  <si>
    <t xml:space="preserve">parādā</t>
  </si>
  <si>
    <t xml:space="preserve">paryādā</t>
  </si>
  <si>
    <t xml:space="preserve">samupādā</t>
  </si>
  <si>
    <t xml:space="preserve">abhyādā</t>
  </si>
  <si>
    <t xml:space="preserve">apādā</t>
  </si>
  <si>
    <t xml:space="preserve">abhidā</t>
  </si>
  <si>
    <t xml:space="preserve">pratyādā</t>
  </si>
  <si>
    <t xml:space="preserve">anudā</t>
  </si>
  <si>
    <t xml:space="preserve">atidā</t>
  </si>
  <si>
    <t xml:space="preserve">nirādā</t>
  </si>
  <si>
    <t xml:space="preserve">praṇidā</t>
  </si>
  <si>
    <t xml:space="preserve">pratipradā</t>
  </si>
  <si>
    <t xml:space="preserve">saṁdā</t>
  </si>
  <si>
    <t xml:space="preserve">abhivyādā</t>
  </si>
  <si>
    <t xml:space="preserve">parisamādā</t>
  </si>
  <si>
    <t xml:space="preserve">prādā</t>
  </si>
  <si>
    <t xml:space="preserve">samabhyādā</t>
  </si>
  <si>
    <t xml:space="preserve">uddā</t>
  </si>
  <si>
    <t xml:space="preserve">vipradā</t>
  </si>
  <si>
    <t xml:space="preserve">abhyavadā</t>
  </si>
  <si>
    <t xml:space="preserve">abhyupādā</t>
  </si>
  <si>
    <t xml:space="preserve">anvādā</t>
  </si>
  <si>
    <t xml:space="preserve">apavyādā</t>
  </si>
  <si>
    <t xml:space="preserve">udādā</t>
  </si>
  <si>
    <t xml:space="preserve">upapradā</t>
  </si>
  <si>
    <t xml:space="preserve">vidā</t>
  </si>
  <si>
    <t xml:space="preserve">hṛ</t>
  </si>
  <si>
    <t xml:space="preserve">āhṛ</t>
  </si>
  <si>
    <t xml:space="preserve">uddhṛ</t>
  </si>
  <si>
    <t xml:space="preserve">udāhṛ</t>
  </si>
  <si>
    <t xml:space="preserve">vihṛ</t>
  </si>
  <si>
    <t xml:space="preserve">samuddhṛ</t>
  </si>
  <si>
    <t xml:space="preserve">apahṛ</t>
  </si>
  <si>
    <t xml:space="preserve">prahṛ</t>
  </si>
  <si>
    <t xml:space="preserve">vyāhṛ</t>
  </si>
  <si>
    <t xml:space="preserve">saṁhṛ</t>
  </si>
  <si>
    <t xml:space="preserve">samāhṛ</t>
  </si>
  <si>
    <t xml:space="preserve">parihṛ</t>
  </si>
  <si>
    <t xml:space="preserve">upahṛ</t>
  </si>
  <si>
    <t xml:space="preserve">nirhṛ</t>
  </si>
  <si>
    <t xml:space="preserve">samudāhṛ</t>
  </si>
  <si>
    <t xml:space="preserve">upasaṁhṛ</t>
  </si>
  <si>
    <t xml:space="preserve">samanvāhṛ</t>
  </si>
  <si>
    <t xml:space="preserve">abhyavahṛ</t>
  </si>
  <si>
    <t xml:space="preserve">pratyāhṛ</t>
  </si>
  <si>
    <t xml:space="preserve">upāhṛ</t>
  </si>
  <si>
    <t xml:space="preserve">vyavahṛ</t>
  </si>
  <si>
    <t xml:space="preserve">abhivyāhṛ</t>
  </si>
  <si>
    <t xml:space="preserve">abhyuddhṛ</t>
  </si>
  <si>
    <t xml:space="preserve">pratihṛ</t>
  </si>
  <si>
    <t xml:space="preserve">pratisaṁhṛ</t>
  </si>
  <si>
    <t xml:space="preserve">samupāhṛ</t>
  </si>
  <si>
    <t xml:space="preserve">pravyāhṛ</t>
  </si>
  <si>
    <t xml:space="preserve">abhihṛ</t>
  </si>
  <si>
    <t xml:space="preserve">abhinirhṛ</t>
  </si>
  <si>
    <t xml:space="preserve">anuprahṛ</t>
  </si>
  <si>
    <t xml:space="preserve">atihṛ</t>
  </si>
  <si>
    <t xml:space="preserve">adhyāhṛ</t>
  </si>
  <si>
    <t xml:space="preserve">samprahṛ</t>
  </si>
  <si>
    <t xml:space="preserve">vinirhṛ</t>
  </si>
  <si>
    <t xml:space="preserve">anuvyāhṛ</t>
  </si>
  <si>
    <t xml:space="preserve">avahṛ</t>
  </si>
  <si>
    <t xml:space="preserve">upāvahṛ</t>
  </si>
  <si>
    <t xml:space="preserve">anuhṛ</t>
  </si>
  <si>
    <t xml:space="preserve">apāhṛ</t>
  </si>
  <si>
    <t xml:space="preserve">anvavahṛ</t>
  </si>
  <si>
    <t xml:space="preserve">proddhṛ</t>
  </si>
  <si>
    <t xml:space="preserve">viparihṛ</t>
  </si>
  <si>
    <t xml:space="preserve">abhyāhṛ</t>
  </si>
  <si>
    <t xml:space="preserve">anusaṁhṛ</t>
  </si>
  <si>
    <t xml:space="preserve">vyapahṛ</t>
  </si>
  <si>
    <t xml:space="preserve">abhyupāhṛ</t>
  </si>
  <si>
    <t xml:space="preserve">anusamāhṛ</t>
  </si>
  <si>
    <t xml:space="preserve">anvāhṛ</t>
  </si>
  <si>
    <t xml:space="preserve">parāhṛ</t>
  </si>
  <si>
    <t xml:space="preserve">paryāhṛ</t>
  </si>
  <si>
    <t xml:space="preserve">pratyavahṛ</t>
  </si>
  <si>
    <t xml:space="preserve">pratyudāhṛ</t>
  </si>
  <si>
    <t xml:space="preserve">saṁvyavahṛ</t>
  </si>
  <si>
    <t xml:space="preserve">vyatihṛ</t>
  </si>
  <si>
    <t xml:space="preserve">vyuddhṛ</t>
  </si>
  <si>
    <t xml:space="preserve">abhisamāhṛ</t>
  </si>
  <si>
    <t xml:space="preserve">abhivihṛ</t>
  </si>
  <si>
    <t xml:space="preserve">abhyatihṛ</t>
  </si>
  <si>
    <t xml:space="preserve">anuvihṛ</t>
  </si>
  <si>
    <t xml:space="preserve">anuvyavahṛ</t>
  </si>
  <si>
    <t xml:space="preserve">apasaṁhṛ</t>
  </si>
  <si>
    <t xml:space="preserve">apoddhṛ</t>
  </si>
  <si>
    <t xml:space="preserve">adhihṛ</t>
  </si>
  <si>
    <t xml:space="preserve">prāhṛ</t>
  </si>
  <si>
    <t xml:space="preserve">prativyāhṛ</t>
  </si>
  <si>
    <t xml:space="preserve">pratyuddhṛ</t>
  </si>
  <si>
    <t xml:space="preserve">pratyupāhṛ</t>
  </si>
  <si>
    <t xml:space="preserve">samabhihṛ</t>
  </si>
  <si>
    <t xml:space="preserve">samabhivyāhṛ</t>
  </si>
  <si>
    <t xml:space="preserve">samabhyuddhṛ</t>
  </si>
  <si>
    <t xml:space="preserve">sampravihṛ</t>
  </si>
  <si>
    <t xml:space="preserve">saṁvihṛ</t>
  </si>
  <si>
    <t xml:space="preserve">upasamanvāhṛ</t>
  </si>
  <si>
    <t xml:space="preserve">upoddhṛ</t>
  </si>
  <si>
    <t xml:space="preserve">vinihṛ</t>
  </si>
  <si>
    <t xml:space="preserve">vyapāhṛ</t>
  </si>
  <si>
    <t xml:space="preserve">abhiparihṛ</t>
  </si>
  <si>
    <t xml:space="preserve">abhyudāhṛ</t>
  </si>
  <si>
    <t xml:space="preserve">abhyupāvahṛ</t>
  </si>
  <si>
    <t xml:space="preserve">apavyāhṛ</t>
  </si>
  <si>
    <t xml:space="preserve">apyāhṛ</t>
  </si>
  <si>
    <t xml:space="preserve">adhyuddhṛ</t>
  </si>
  <si>
    <t xml:space="preserve">nihṛ</t>
  </si>
  <si>
    <t xml:space="preserve">pratiparāhṛ</t>
  </si>
  <si>
    <t xml:space="preserve">pratiparyāhṛ</t>
  </si>
  <si>
    <t xml:space="preserve">samavahṛ</t>
  </si>
  <si>
    <t xml:space="preserve">samparihṛ</t>
  </si>
  <si>
    <t xml:space="preserve">samupahṛ</t>
  </si>
  <si>
    <t xml:space="preserve">upanyāhṛ</t>
  </si>
  <si>
    <t xml:space="preserve">upasamāhṛ</t>
  </si>
  <si>
    <t xml:space="preserve">upodāhṛ</t>
  </si>
  <si>
    <t xml:space="preserve">an</t>
  </si>
  <si>
    <t xml:space="preserve">prāṇ</t>
  </si>
  <si>
    <t xml:space="preserve">apān</t>
  </si>
  <si>
    <t xml:space="preserve">abhiprāṇ</t>
  </si>
  <si>
    <t xml:space="preserve">vyan</t>
  </si>
  <si>
    <t xml:space="preserve">vyavān</t>
  </si>
  <si>
    <t xml:space="preserve">abhyan</t>
  </si>
  <si>
    <t xml:space="preserve">anuprāṇ</t>
  </si>
  <si>
    <t xml:space="preserve">abhyapān</t>
  </si>
  <si>
    <t xml:space="preserve">udan</t>
  </si>
  <si>
    <t xml:space="preserve">anusaman</t>
  </si>
  <si>
    <t xml:space="preserve">abhivyan</t>
  </si>
  <si>
    <t xml:space="preserve">abhyudan</t>
  </si>
  <si>
    <t xml:space="preserve">avān</t>
  </si>
  <si>
    <t xml:space="preserve">saman</t>
  </si>
  <si>
    <t xml:space="preserve">jvar</t>
  </si>
  <si>
    <t xml:space="preserve">saṁjvar</t>
  </si>
  <si>
    <t xml:space="preserve">anusaṁjvar</t>
  </si>
  <si>
    <t xml:space="preserve">abhisaṁjvar</t>
  </si>
  <si>
    <t xml:space="preserve">cākaś</t>
  </si>
  <si>
    <t xml:space="preserve">avacākaś</t>
  </si>
  <si>
    <t xml:space="preserve">vicākaś</t>
  </si>
  <si>
    <t xml:space="preserve">abhicākaś</t>
  </si>
  <si>
    <t xml:space="preserve">praticākaś</t>
  </si>
  <si>
    <t xml:space="preserve">pracākaś</t>
  </si>
  <si>
    <t xml:space="preserve">varvṛt</t>
  </si>
  <si>
    <t xml:space="preserve">āvarvṛt</t>
  </si>
  <si>
    <t xml:space="preserve">uñch</t>
  </si>
  <si>
    <t xml:space="preserve">proñch</t>
  </si>
  <si>
    <t xml:space="preserve">kīlay</t>
  </si>
  <si>
    <t xml:space="preserve">utkīlay</t>
  </si>
  <si>
    <t xml:space="preserve">citrīy</t>
  </si>
  <si>
    <t xml:space="preserve">aticitrīy</t>
  </si>
  <si>
    <t xml:space="preserve">tūrv</t>
  </si>
  <si>
    <t xml:space="preserve">pratūrv</t>
  </si>
  <si>
    <t xml:space="preserve">pan</t>
  </si>
  <si>
    <t xml:space="preserve">vipan</t>
  </si>
  <si>
    <t xml:space="preserve">mukulay</t>
  </si>
  <si>
    <t xml:space="preserve">unmukulay</t>
  </si>
  <si>
    <t xml:space="preserve">rūpay</t>
  </si>
  <si>
    <t xml:space="preserve">nirūpay</t>
  </si>
  <si>
    <t xml:space="preserve">virūpay</t>
  </si>
  <si>
    <t xml:space="preserve">prarūpay</t>
  </si>
  <si>
    <t xml:space="preserve">abhinirūpay</t>
  </si>
  <si>
    <t xml:space="preserve">pratirūpay</t>
  </si>
  <si>
    <t xml:space="preserve">svāday</t>
  </si>
  <si>
    <t xml:space="preserve">āsvāday</t>
  </si>
  <si>
    <t xml:space="preserve">pratiṣvāday</t>
  </si>
  <si>
    <t xml:space="preserve">samāsvāday</t>
  </si>
  <si>
    <t xml:space="preserve">nij</t>
  </si>
  <si>
    <t xml:space="preserve">nirṇij</t>
  </si>
  <si>
    <t xml:space="preserve">abhyavanij</t>
  </si>
  <si>
    <t xml:space="preserve">parinirṇij</t>
  </si>
  <si>
    <t xml:space="preserve">praṇij</t>
  </si>
  <si>
    <t xml:space="preserve">avanij</t>
  </si>
  <si>
    <t xml:space="preserve">prāvanij</t>
  </si>
  <si>
    <t xml:space="preserve">vinij</t>
  </si>
  <si>
    <t xml:space="preserve">raṭ</t>
  </si>
  <si>
    <t xml:space="preserve">āraṭ</t>
  </si>
  <si>
    <t xml:space="preserve">sisṛkṣ</t>
  </si>
  <si>
    <t xml:space="preserve">abhyutsisṛkṣ</t>
  </si>
  <si>
    <t xml:space="preserve">saṁsisṛkṣ</t>
  </si>
  <si>
    <t xml:space="preserve">utsisṛkṣ</t>
  </si>
  <si>
    <t xml:space="preserve">jāgaray</t>
  </si>
  <si>
    <t xml:space="preserve">ujjāgaray</t>
  </si>
  <si>
    <t xml:space="preserve">prajāgaray</t>
  </si>
  <si>
    <t xml:space="preserve">tarj</t>
  </si>
  <si>
    <t xml:space="preserve">pratitarj</t>
  </si>
  <si>
    <t xml:space="preserve">samabhitarj</t>
  </si>
  <si>
    <t xml:space="preserve">tuś</t>
  </si>
  <si>
    <t xml:space="preserve">nituś</t>
  </si>
  <si>
    <t xml:space="preserve">dodhu</t>
  </si>
  <si>
    <t xml:space="preserve">pradodhu</t>
  </si>
  <si>
    <t xml:space="preserve">guñj</t>
  </si>
  <si>
    <t xml:space="preserve">samudguñj</t>
  </si>
  <si>
    <t xml:space="preserve">cāy</t>
  </si>
  <si>
    <t xml:space="preserve">apacāy</t>
  </si>
  <si>
    <t xml:space="preserve">nicāy</t>
  </si>
  <si>
    <t xml:space="preserve">noday</t>
  </si>
  <si>
    <t xml:space="preserve">vinoday</t>
  </si>
  <si>
    <t xml:space="preserve">praṇoday</t>
  </si>
  <si>
    <t xml:space="preserve">prativinoday</t>
  </si>
  <si>
    <t xml:space="preserve">abhinoday</t>
  </si>
  <si>
    <t xml:space="preserve">abhivinoday</t>
  </si>
  <si>
    <t xml:space="preserve">saṁnoday</t>
  </si>
  <si>
    <t xml:space="preserve">mi</t>
  </si>
  <si>
    <t xml:space="preserve">nirmi</t>
  </si>
  <si>
    <t xml:space="preserve">nimi</t>
  </si>
  <si>
    <t xml:space="preserve">anumi</t>
  </si>
  <si>
    <t xml:space="preserve">apami</t>
  </si>
  <si>
    <t xml:space="preserve">vimi</t>
  </si>
  <si>
    <t xml:space="preserve">abhinirmi</t>
  </si>
  <si>
    <t xml:space="preserve">prami</t>
  </si>
  <si>
    <t xml:space="preserve">unmi</t>
  </si>
  <si>
    <t xml:space="preserve">parāmi</t>
  </si>
  <si>
    <t xml:space="preserve">parimi</t>
  </si>
  <si>
    <t xml:space="preserve">sammi</t>
  </si>
  <si>
    <t xml:space="preserve">upami</t>
  </si>
  <si>
    <t xml:space="preserve">sphūrj</t>
  </si>
  <si>
    <t xml:space="preserve">visphūrj</t>
  </si>
  <si>
    <t xml:space="preserve">avasphūrj</t>
  </si>
  <si>
    <t xml:space="preserve">abhisphūrj</t>
  </si>
  <si>
    <t xml:space="preserve">kṣepay</t>
  </si>
  <si>
    <t xml:space="preserve">prakṣepay</t>
  </si>
  <si>
    <t xml:space="preserve">nikṣepay</t>
  </si>
  <si>
    <t xml:space="preserve">ākṣepay</t>
  </si>
  <si>
    <t xml:space="preserve">parikṣepay</t>
  </si>
  <si>
    <t xml:space="preserve">saṁkṣepay</t>
  </si>
  <si>
    <t xml:space="preserve">skanday</t>
  </si>
  <si>
    <t xml:space="preserve">praskanday</t>
  </si>
  <si>
    <t xml:space="preserve">pratyavaskanday</t>
  </si>
  <si>
    <t xml:space="preserve">samavaskanday</t>
  </si>
  <si>
    <t xml:space="preserve">hrāsay</t>
  </si>
  <si>
    <t xml:space="preserve">parihrāsay</t>
  </si>
  <si>
    <t xml:space="preserve">avahrāsay</t>
  </si>
  <si>
    <t xml:space="preserve">nirhrāsay</t>
  </si>
  <si>
    <t xml:space="preserve">hiṁsay</t>
  </si>
  <si>
    <t xml:space="preserve">vihiṁsay</t>
  </si>
  <si>
    <t xml:space="preserve">bādhay</t>
  </si>
  <si>
    <t xml:space="preserve">apabādhay</t>
  </si>
  <si>
    <t xml:space="preserve">vyābādhay</t>
  </si>
  <si>
    <t xml:space="preserve">vell</t>
  </si>
  <si>
    <t xml:space="preserve">saṁvell</t>
  </si>
  <si>
    <t xml:space="preserve">vivell</t>
  </si>
  <si>
    <t xml:space="preserve">nas</t>
  </si>
  <si>
    <t xml:space="preserve">saṁnas</t>
  </si>
  <si>
    <t xml:space="preserve">kās</t>
  </si>
  <si>
    <t xml:space="preserve">utkās</t>
  </si>
  <si>
    <t xml:space="preserve">īkṣay</t>
  </si>
  <si>
    <t xml:space="preserve">parīkṣay</t>
  </si>
  <si>
    <t xml:space="preserve">nirīkṣay</t>
  </si>
  <si>
    <t xml:space="preserve">avekṣay</t>
  </si>
  <si>
    <t xml:space="preserve">samīkṣay</t>
  </si>
  <si>
    <t xml:space="preserve">prekṣay</t>
  </si>
  <si>
    <t xml:space="preserve">vīkṣay</t>
  </si>
  <si>
    <t xml:space="preserve">anvavekṣay</t>
  </si>
  <si>
    <t xml:space="preserve">apekṣay</t>
  </si>
  <si>
    <t xml:space="preserve">dhvaṁsay</t>
  </si>
  <si>
    <t xml:space="preserve">vidhvaṁsay</t>
  </si>
  <si>
    <t xml:space="preserve">uddhvaṁsay</t>
  </si>
  <si>
    <t xml:space="preserve">pradhvaṁsay</t>
  </si>
  <si>
    <t xml:space="preserve">abhidhvaṁsay</t>
  </si>
  <si>
    <t xml:space="preserve">nidhvaṁsay</t>
  </si>
  <si>
    <t xml:space="preserve">ubj</t>
  </si>
  <si>
    <t xml:space="preserve">samubj</t>
  </si>
  <si>
    <t xml:space="preserve">abhisamubj</t>
  </si>
  <si>
    <t xml:space="preserve">nyubj</t>
  </si>
  <si>
    <t xml:space="preserve">abhinyubj</t>
  </si>
  <si>
    <t xml:space="preserve">nirubj</t>
  </si>
  <si>
    <t xml:space="preserve">udubj</t>
  </si>
  <si>
    <t xml:space="preserve">vyubj</t>
  </si>
  <si>
    <t xml:space="preserve">bhaṣ</t>
  </si>
  <si>
    <t xml:space="preserve">vyābhaṣ</t>
  </si>
  <si>
    <t xml:space="preserve">prabhaṣ</t>
  </si>
  <si>
    <t xml:space="preserve">luñc</t>
  </si>
  <si>
    <t xml:space="preserve">praluñc</t>
  </si>
  <si>
    <t xml:space="preserve">āluñc</t>
  </si>
  <si>
    <t xml:space="preserve">ulluñc</t>
  </si>
  <si>
    <t xml:space="preserve">avaluñc</t>
  </si>
  <si>
    <t xml:space="preserve">viluñc</t>
  </si>
  <si>
    <t xml:space="preserve">titīrṣ</t>
  </si>
  <si>
    <t xml:space="preserve">saṁtitīrṣ</t>
  </si>
  <si>
    <t xml:space="preserve">uttitīrṣ</t>
  </si>
  <si>
    <t xml:space="preserve">nistitīrṣ</t>
  </si>
  <si>
    <t xml:space="preserve">jvalay</t>
  </si>
  <si>
    <t xml:space="preserve">ujjvalay</t>
  </si>
  <si>
    <t xml:space="preserve">prajvalay</t>
  </si>
  <si>
    <t xml:space="preserve">calay</t>
  </si>
  <si>
    <t xml:space="preserve">pracalay</t>
  </si>
  <si>
    <t xml:space="preserve">saṁcalay</t>
  </si>
  <si>
    <t xml:space="preserve">aghāy</t>
  </si>
  <si>
    <t xml:space="preserve">abhyaghāy</t>
  </si>
  <si>
    <t xml:space="preserve">dī</t>
  </si>
  <si>
    <t xml:space="preserve">paridī</t>
  </si>
  <si>
    <t xml:space="preserve">paṇ</t>
  </si>
  <si>
    <t xml:space="preserve">vipaṇ</t>
  </si>
  <si>
    <t xml:space="preserve">tviṣ</t>
  </si>
  <si>
    <t xml:space="preserve">atitviṣ</t>
  </si>
  <si>
    <t xml:space="preserve">badbadh</t>
  </si>
  <si>
    <t xml:space="preserve">prabadbadh</t>
  </si>
  <si>
    <t xml:space="preserve">yiyās</t>
  </si>
  <si>
    <t xml:space="preserve">prayiyās</t>
  </si>
  <si>
    <t xml:space="preserve">kuñc</t>
  </si>
  <si>
    <t xml:space="preserve">saṁkuñc</t>
  </si>
  <si>
    <t xml:space="preserve">nikuñc</t>
  </si>
  <si>
    <t xml:space="preserve">samākuñc</t>
  </si>
  <si>
    <t xml:space="preserve">utkuñc</t>
  </si>
  <si>
    <t xml:space="preserve">ākuñc</t>
  </si>
  <si>
    <t xml:space="preserve">pratisaṁkuñc</t>
  </si>
  <si>
    <t xml:space="preserve">saṁnikuñc</t>
  </si>
  <si>
    <t xml:space="preserve">mṛ</t>
  </si>
  <si>
    <t xml:space="preserve">pramṛ</t>
  </si>
  <si>
    <t xml:space="preserve">abhimṛ</t>
  </si>
  <si>
    <t xml:space="preserve">anumṛ</t>
  </si>
  <si>
    <t xml:space="preserve">parimṛ</t>
  </si>
  <si>
    <t xml:space="preserve">saṁmṛ</t>
  </si>
  <si>
    <t xml:space="preserve">sajjay</t>
  </si>
  <si>
    <t xml:space="preserve">avasajjay</t>
  </si>
  <si>
    <t xml:space="preserve">veśay</t>
  </si>
  <si>
    <t xml:space="preserve">niveśay</t>
  </si>
  <si>
    <t xml:space="preserve">praveśay</t>
  </si>
  <si>
    <t xml:space="preserve">upaveśay</t>
  </si>
  <si>
    <t xml:space="preserve">āveśay</t>
  </si>
  <si>
    <t xml:space="preserve">saṁniveśay</t>
  </si>
  <si>
    <t xml:space="preserve">viniveśay</t>
  </si>
  <si>
    <t xml:space="preserve">saṁveśay</t>
  </si>
  <si>
    <t xml:space="preserve">samāveśay</t>
  </si>
  <si>
    <t xml:space="preserve">anupraveśay</t>
  </si>
  <si>
    <t xml:space="preserve">abhiniveśay</t>
  </si>
  <si>
    <t xml:space="preserve">saṁpraveśay</t>
  </si>
  <si>
    <t xml:space="preserve">upaniveśay</t>
  </si>
  <si>
    <t xml:space="preserve">abhiveśay</t>
  </si>
  <si>
    <t xml:space="preserve">nirveśay</t>
  </si>
  <si>
    <t xml:space="preserve">pratyupaveśay</t>
  </si>
  <si>
    <t xml:space="preserve">samanupraveśay</t>
  </si>
  <si>
    <t xml:space="preserve">samupaveśay</t>
  </si>
  <si>
    <t xml:space="preserve">upasaṁveśay</t>
  </si>
  <si>
    <t xml:space="preserve">apaveśay</t>
  </si>
  <si>
    <t xml:space="preserve">prāveśay</t>
  </si>
  <si>
    <t xml:space="preserve">śāmay</t>
  </si>
  <si>
    <t xml:space="preserve">niśāmay</t>
  </si>
  <si>
    <t xml:space="preserve">praśāmay</t>
  </si>
  <si>
    <t xml:space="preserve">saṁśāmay</t>
  </si>
  <si>
    <t xml:space="preserve">saṁniśāmay</t>
  </si>
  <si>
    <t xml:space="preserve">upaniśāmay</t>
  </si>
  <si>
    <t xml:space="preserve">pratiśāmay</t>
  </si>
  <si>
    <t xml:space="preserve">upaśāmay</t>
  </si>
  <si>
    <t xml:space="preserve">anuniśāmay</t>
  </si>
  <si>
    <t xml:space="preserve">abhipraśāmay</t>
  </si>
  <si>
    <t xml:space="preserve">praviśāmay</t>
  </si>
  <si>
    <t xml:space="preserve">moday</t>
  </si>
  <si>
    <t xml:space="preserve">anumoday</t>
  </si>
  <si>
    <t xml:space="preserve">āmoday</t>
  </si>
  <si>
    <t xml:space="preserve">pratisaṁmoday</t>
  </si>
  <si>
    <t xml:space="preserve">pramoday</t>
  </si>
  <si>
    <t xml:space="preserve">saṁmoday</t>
  </si>
  <si>
    <t xml:space="preserve">abhyanumoday</t>
  </si>
  <si>
    <t xml:space="preserve">parimoday</t>
  </si>
  <si>
    <t xml:space="preserve">anupramoday</t>
  </si>
  <si>
    <t xml:space="preserve">pratimoday</t>
  </si>
  <si>
    <t xml:space="preserve">sraṁsay</t>
  </si>
  <si>
    <t xml:space="preserve">visraṁsay</t>
  </si>
  <si>
    <t xml:space="preserve">avavisraṁsay</t>
  </si>
  <si>
    <t xml:space="preserve">anuvisraṁsay</t>
  </si>
  <si>
    <t xml:space="preserve">skambh</t>
  </si>
  <si>
    <t xml:space="preserve">viṣkambh</t>
  </si>
  <si>
    <t xml:space="preserve">pratiṣkambh</t>
  </si>
  <si>
    <t xml:space="preserve">āskabh</t>
  </si>
  <si>
    <t xml:space="preserve">upaskambh</t>
  </si>
  <si>
    <t xml:space="preserve">svāpay</t>
  </si>
  <si>
    <t xml:space="preserve">prasvāpay</t>
  </si>
  <si>
    <t xml:space="preserve">maday</t>
  </si>
  <si>
    <t xml:space="preserve">unmaday</t>
  </si>
  <si>
    <t xml:space="preserve">sevay</t>
  </si>
  <si>
    <t xml:space="preserve">niṣevay</t>
  </si>
  <si>
    <t xml:space="preserve">āsevay</t>
  </si>
  <si>
    <t xml:space="preserve">parisevay</t>
  </si>
  <si>
    <t xml:space="preserve">upasevay</t>
  </si>
  <si>
    <t xml:space="preserve">krīḍay</t>
  </si>
  <si>
    <t xml:space="preserve">prakrīḍay</t>
  </si>
  <si>
    <t xml:space="preserve">avakrīḍ</t>
  </si>
  <si>
    <t xml:space="preserve">nikrīḍ</t>
  </si>
  <si>
    <t xml:space="preserve">śrath</t>
  </si>
  <si>
    <t xml:space="preserve">anuśrath</t>
  </si>
  <si>
    <t xml:space="preserve">niśrath</t>
  </si>
  <si>
    <t xml:space="preserve">viśrath</t>
  </si>
  <si>
    <t xml:space="preserve">kṛp</t>
  </si>
  <si>
    <t xml:space="preserve">anukṛp</t>
  </si>
  <si>
    <t xml:space="preserve">krāmay</t>
  </si>
  <si>
    <t xml:space="preserve">saṁkrāmay</t>
  </si>
  <si>
    <t xml:space="preserve">niṣkrāmay</t>
  </si>
  <si>
    <t xml:space="preserve">atikrāmay</t>
  </si>
  <si>
    <t xml:space="preserve">abhikrāmay</t>
  </si>
  <si>
    <t xml:space="preserve">abhiniṣkrāmay</t>
  </si>
  <si>
    <t xml:space="preserve">abhyutkrāmay</t>
  </si>
  <si>
    <t xml:space="preserve">anuparikrāmay</t>
  </si>
  <si>
    <t xml:space="preserve">pratisaṁkrāmay</t>
  </si>
  <si>
    <t xml:space="preserve">utkrāmay</t>
  </si>
  <si>
    <t xml:space="preserve">upasaṁkrāmay</t>
  </si>
  <si>
    <t xml:space="preserve">rah</t>
  </si>
  <si>
    <t xml:space="preserve">virah</t>
  </si>
  <si>
    <t xml:space="preserve">adhyavarah</t>
  </si>
  <si>
    <t xml:space="preserve">vepay</t>
  </si>
  <si>
    <t xml:space="preserve">pravepay</t>
  </si>
  <si>
    <t xml:space="preserve">udvepay</t>
  </si>
  <si>
    <t xml:space="preserve">varṣay</t>
  </si>
  <si>
    <t xml:space="preserve">abhivarṣay</t>
  </si>
  <si>
    <t xml:space="preserve">pravarṣay</t>
  </si>
  <si>
    <t xml:space="preserve">vivarṣay</t>
  </si>
  <si>
    <t xml:space="preserve">ścut</t>
  </si>
  <si>
    <t xml:space="preserve">avaścut</t>
  </si>
  <si>
    <t xml:space="preserve">niścut</t>
  </si>
  <si>
    <t xml:space="preserve">praścut</t>
  </si>
  <si>
    <t xml:space="preserve">upaścyut</t>
  </si>
  <si>
    <t xml:space="preserve">vyavaścut</t>
  </si>
  <si>
    <t xml:space="preserve">dagh</t>
  </si>
  <si>
    <t xml:space="preserve">ādagh</t>
  </si>
  <si>
    <t xml:space="preserve">atidagh</t>
  </si>
  <si>
    <t xml:space="preserve">vij</t>
  </si>
  <si>
    <t xml:space="preserve">udvij</t>
  </si>
  <si>
    <t xml:space="preserve">saṁvij</t>
  </si>
  <si>
    <t xml:space="preserve">āvij</t>
  </si>
  <si>
    <t xml:space="preserve">samudvij</t>
  </si>
  <si>
    <t xml:space="preserve">vivij</t>
  </si>
  <si>
    <t xml:space="preserve">pravij</t>
  </si>
  <si>
    <t xml:space="preserve">paryudvij</t>
  </si>
  <si>
    <t xml:space="preserve">vyāvij</t>
  </si>
  <si>
    <t xml:space="preserve">abhivij</t>
  </si>
  <si>
    <t xml:space="preserve">rohay</t>
  </si>
  <si>
    <t xml:space="preserve">ārohay</t>
  </si>
  <si>
    <t xml:space="preserve">saṁrohay</t>
  </si>
  <si>
    <t xml:space="preserve">uparohay</t>
  </si>
  <si>
    <t xml:space="preserve">śaṁsay</t>
  </si>
  <si>
    <t xml:space="preserve">praśaṁsay</t>
  </si>
  <si>
    <t xml:space="preserve">āśaṁsay</t>
  </si>
  <si>
    <t xml:space="preserve">hvṛ</t>
  </si>
  <si>
    <t xml:space="preserve">parihvṛ</t>
  </si>
  <si>
    <t xml:space="preserve">vihvṛ</t>
  </si>
  <si>
    <t xml:space="preserve">yācay</t>
  </si>
  <si>
    <t xml:space="preserve">saṁyācay</t>
  </si>
  <si>
    <t xml:space="preserve">apiyācay</t>
  </si>
  <si>
    <t xml:space="preserve">kṣap</t>
  </si>
  <si>
    <t xml:space="preserve">saṁkṣap</t>
  </si>
  <si>
    <t xml:space="preserve">mṛṇ</t>
  </si>
  <si>
    <t xml:space="preserve">vimṛṇ</t>
  </si>
  <si>
    <t xml:space="preserve">mṛdh</t>
  </si>
  <si>
    <t xml:space="preserve">parimṛdh</t>
  </si>
  <si>
    <t xml:space="preserve">vyac</t>
  </si>
  <si>
    <t xml:space="preserve">saṁvyac</t>
  </si>
  <si>
    <t xml:space="preserve">chalay</t>
  </si>
  <si>
    <t xml:space="preserve">upacchalay</t>
  </si>
  <si>
    <t xml:space="preserve">pāday</t>
  </si>
  <si>
    <t xml:space="preserve">utpāday</t>
  </si>
  <si>
    <t xml:space="preserve">pratipāday</t>
  </si>
  <si>
    <t xml:space="preserve">upapāday</t>
  </si>
  <si>
    <t xml:space="preserve">sampāday</t>
  </si>
  <si>
    <t xml:space="preserve">āpāday</t>
  </si>
  <si>
    <t xml:space="preserve">vyāpāday</t>
  </si>
  <si>
    <t xml:space="preserve">niṣpāday</t>
  </si>
  <si>
    <t xml:space="preserve">samutpāday</t>
  </si>
  <si>
    <t xml:space="preserve">vyutpāday</t>
  </si>
  <si>
    <t xml:space="preserve">prapāday</t>
  </si>
  <si>
    <t xml:space="preserve">upasaṁpāday</t>
  </si>
  <si>
    <t xml:space="preserve">abhisaṁpāday</t>
  </si>
  <si>
    <t xml:space="preserve">saṁpratipāday</t>
  </si>
  <si>
    <t xml:space="preserve">vipāday</t>
  </si>
  <si>
    <t xml:space="preserve">abhipratipāday</t>
  </si>
  <si>
    <t xml:space="preserve">protpāday</t>
  </si>
  <si>
    <t xml:space="preserve">samupapāday</t>
  </si>
  <si>
    <t xml:space="preserve">viniṣpāday</t>
  </si>
  <si>
    <t xml:space="preserve">abhiniṣpāday</t>
  </si>
  <si>
    <t xml:space="preserve">atipāday</t>
  </si>
  <si>
    <t xml:space="preserve">atiprapāday</t>
  </si>
  <si>
    <t xml:space="preserve">avapāday</t>
  </si>
  <si>
    <t xml:space="preserve">nipāday</t>
  </si>
  <si>
    <t xml:space="preserve">paripāday</t>
  </si>
  <si>
    <t xml:space="preserve">eṣay</t>
  </si>
  <si>
    <t xml:space="preserve">anveṣay</t>
  </si>
  <si>
    <t xml:space="preserve">adhyeṣay</t>
  </si>
  <si>
    <t xml:space="preserve">paryeṣay</t>
  </si>
  <si>
    <t xml:space="preserve">samanveṣay</t>
  </si>
  <si>
    <t xml:space="preserve">svan</t>
  </si>
  <si>
    <t xml:space="preserve">nisvan</t>
  </si>
  <si>
    <t xml:space="preserve">niḥsvan</t>
  </si>
  <si>
    <t xml:space="preserve">pratisvan</t>
  </si>
  <si>
    <t xml:space="preserve">prasvan</t>
  </si>
  <si>
    <t xml:space="preserve">adhiṣvan</t>
  </si>
  <si>
    <t xml:space="preserve">avasvan</t>
  </si>
  <si>
    <t xml:space="preserve">viṣvan</t>
  </si>
  <si>
    <t xml:space="preserve">visvan</t>
  </si>
  <si>
    <t xml:space="preserve">das</t>
  </si>
  <si>
    <t xml:space="preserve">upadas</t>
  </si>
  <si>
    <t xml:space="preserve">anūpadas</t>
  </si>
  <si>
    <t xml:space="preserve">saṁdas</t>
  </si>
  <si>
    <t xml:space="preserve">apadas</t>
  </si>
  <si>
    <t xml:space="preserve">pradas</t>
  </si>
  <si>
    <t xml:space="preserve">vidas</t>
  </si>
  <si>
    <t xml:space="preserve">lopay</t>
  </si>
  <si>
    <t xml:space="preserve">vilopay</t>
  </si>
  <si>
    <t xml:space="preserve">pravilopay</t>
  </si>
  <si>
    <t xml:space="preserve">mikṣ</t>
  </si>
  <si>
    <t xml:space="preserve">saṁmikṣ</t>
  </si>
  <si>
    <t xml:space="preserve">ṣṭhīv</t>
  </si>
  <si>
    <t xml:space="preserve">niṣṭhīv</t>
  </si>
  <si>
    <t xml:space="preserve">niḥṣṭhīv</t>
  </si>
  <si>
    <t xml:space="preserve">avaniṣṭhīv</t>
  </si>
  <si>
    <t xml:space="preserve">pratiṣṭhīv</t>
  </si>
  <si>
    <t xml:space="preserve">viniṣṭhiv</t>
  </si>
  <si>
    <t xml:space="preserve">abhiṣṭhīv</t>
  </si>
  <si>
    <t xml:space="preserve">abhiniṣṭhīv</t>
  </si>
  <si>
    <t xml:space="preserve">praṣṭhīv</t>
  </si>
  <si>
    <t xml:space="preserve">kṣu</t>
  </si>
  <si>
    <t xml:space="preserve">avakṣu</t>
  </si>
  <si>
    <t xml:space="preserve">parikṣu</t>
  </si>
  <si>
    <t xml:space="preserve">śāpay</t>
  </si>
  <si>
    <t xml:space="preserve">abhiśāpay</t>
  </si>
  <si>
    <t xml:space="preserve">ceṣṭay</t>
  </si>
  <si>
    <t xml:space="preserve">viceṣṭay</t>
  </si>
  <si>
    <t xml:space="preserve">āceṣṭay</t>
  </si>
  <si>
    <t xml:space="preserve">stan</t>
  </si>
  <si>
    <t xml:space="preserve">niṣṭan</t>
  </si>
  <si>
    <t xml:space="preserve">abhiṣṭan</t>
  </si>
  <si>
    <t xml:space="preserve">anuṣṭan</t>
  </si>
  <si>
    <t xml:space="preserve">viniṣṭan</t>
  </si>
  <si>
    <t xml:space="preserve">abhiniḥstan</t>
  </si>
  <si>
    <t xml:space="preserve">atiniṣṭan</t>
  </si>
  <si>
    <t xml:space="preserve">niḥṣṭan</t>
  </si>
  <si>
    <t xml:space="preserve">pariniḥstan</t>
  </si>
  <si>
    <t xml:space="preserve">vistan</t>
  </si>
  <si>
    <t xml:space="preserve">gur</t>
  </si>
  <si>
    <t xml:space="preserve">avagur</t>
  </si>
  <si>
    <t xml:space="preserve">āgur</t>
  </si>
  <si>
    <t xml:space="preserve">abhigur</t>
  </si>
  <si>
    <t xml:space="preserve">apagur</t>
  </si>
  <si>
    <t xml:space="preserve">atigur</t>
  </si>
  <si>
    <t xml:space="preserve">pragur</t>
  </si>
  <si>
    <t xml:space="preserve">udgur</t>
  </si>
  <si>
    <t xml:space="preserve">cṛt</t>
  </si>
  <si>
    <t xml:space="preserve">avacṛt</t>
  </si>
  <si>
    <t xml:space="preserve">vicṛt</t>
  </si>
  <si>
    <t xml:space="preserve">ācṛt</t>
  </si>
  <si>
    <t xml:space="preserve">paricṛt</t>
  </si>
  <si>
    <t xml:space="preserve">pracṛt</t>
  </si>
  <si>
    <t xml:space="preserve">aticṛt</t>
  </si>
  <si>
    <t xml:space="preserve">nicṛt</t>
  </si>
  <si>
    <t xml:space="preserve">niścṛt</t>
  </si>
  <si>
    <t xml:space="preserve">saṁcṛt</t>
  </si>
  <si>
    <t xml:space="preserve">upacṛt</t>
  </si>
  <si>
    <t xml:space="preserve">īṣ</t>
  </si>
  <si>
    <t xml:space="preserve">samudīṣ</t>
  </si>
  <si>
    <t xml:space="preserve">upeṣ</t>
  </si>
  <si>
    <t xml:space="preserve">udīṣ</t>
  </si>
  <si>
    <t xml:space="preserve">apeṣ</t>
  </si>
  <si>
    <t xml:space="preserve">atīṣ</t>
  </si>
  <si>
    <t xml:space="preserve">bṛṁh</t>
  </si>
  <si>
    <t xml:space="preserve">paribṛṁh</t>
  </si>
  <si>
    <t xml:space="preserve">udbṛṁh</t>
  </si>
  <si>
    <t xml:space="preserve">vibṛṁh</t>
  </si>
  <si>
    <t xml:space="preserve">samudbṛṁh</t>
  </si>
  <si>
    <t xml:space="preserve">lambhay</t>
  </si>
  <si>
    <t xml:space="preserve">ālambhay</t>
  </si>
  <si>
    <t xml:space="preserve">upalambhay</t>
  </si>
  <si>
    <t xml:space="preserve">vipralambhay</t>
  </si>
  <si>
    <t xml:space="preserve">pralambhay</t>
  </si>
  <si>
    <t xml:space="preserve">pratilambhay</t>
  </si>
  <si>
    <t xml:space="preserve">pluṣ</t>
  </si>
  <si>
    <t xml:space="preserve">āpluṣ</t>
  </si>
  <si>
    <t xml:space="preserve">niṣpluṣ</t>
  </si>
  <si>
    <t xml:space="preserve">saṁpluṣ</t>
  </si>
  <si>
    <t xml:space="preserve">ven</t>
  </si>
  <si>
    <t xml:space="preserve">anuven</t>
  </si>
  <si>
    <t xml:space="preserve">viven</t>
  </si>
  <si>
    <t xml:space="preserve">apaven</t>
  </si>
  <si>
    <t xml:space="preserve">ninīṣ</t>
  </si>
  <si>
    <t xml:space="preserve">pratyāninīṣ</t>
  </si>
  <si>
    <t xml:space="preserve">unninīṣ</t>
  </si>
  <si>
    <t xml:space="preserve">bhramay</t>
  </si>
  <si>
    <t xml:space="preserve">paribhramay</t>
  </si>
  <si>
    <t xml:space="preserve">samudbhramay</t>
  </si>
  <si>
    <t xml:space="preserve">marjay</t>
  </si>
  <si>
    <t xml:space="preserve">vimarjay</t>
  </si>
  <si>
    <t xml:space="preserve">uc</t>
  </si>
  <si>
    <t xml:space="preserve">abhyuc</t>
  </si>
  <si>
    <t xml:space="preserve">nyuc</t>
  </si>
  <si>
    <t xml:space="preserve">samuc</t>
  </si>
  <si>
    <t xml:space="preserve">śnath</t>
  </si>
  <si>
    <t xml:space="preserve">abhiśnath</t>
  </si>
  <si>
    <t xml:space="preserve">pariniśnath</t>
  </si>
  <si>
    <t xml:space="preserve">ghas</t>
  </si>
  <si>
    <t xml:space="preserve">apighas</t>
  </si>
  <si>
    <t xml:space="preserve">kleday</t>
  </si>
  <si>
    <t xml:space="preserve">saṁkleday</t>
  </si>
  <si>
    <t xml:space="preserve">prakleday</t>
  </si>
  <si>
    <t xml:space="preserve">ākleday</t>
  </si>
  <si>
    <t xml:space="preserve">parikleday</t>
  </si>
  <si>
    <t xml:space="preserve">upakleday</t>
  </si>
  <si>
    <t xml:space="preserve">dhāvay</t>
  </si>
  <si>
    <t xml:space="preserve">pradhāvay</t>
  </si>
  <si>
    <t xml:space="preserve">saṁdhāvay</t>
  </si>
  <si>
    <t xml:space="preserve">paridhāvay</t>
  </si>
  <si>
    <t xml:space="preserve">vañc</t>
  </si>
  <si>
    <t xml:space="preserve">upavañc</t>
  </si>
  <si>
    <t xml:space="preserve">vivañc</t>
  </si>
  <si>
    <t xml:space="preserve">āvañc</t>
  </si>
  <si>
    <t xml:space="preserve">acchāvañc</t>
  </si>
  <si>
    <t xml:space="preserve">nirvañc</t>
  </si>
  <si>
    <t xml:space="preserve">parivañc</t>
  </si>
  <si>
    <t xml:space="preserve">saṁvañc</t>
  </si>
  <si>
    <t xml:space="preserve">jaṅghan</t>
  </si>
  <si>
    <t xml:space="preserve">apajaṅghan</t>
  </si>
  <si>
    <t xml:space="preserve">nijaṅghan</t>
  </si>
  <si>
    <t xml:space="preserve">arhay</t>
  </si>
  <si>
    <t xml:space="preserve">pratyarhay</t>
  </si>
  <si>
    <t xml:space="preserve">caṅkram</t>
  </si>
  <si>
    <t xml:space="preserve">anucaṅkram</t>
  </si>
  <si>
    <t xml:space="preserve">dardar</t>
  </si>
  <si>
    <t xml:space="preserve">ādardar</t>
  </si>
  <si>
    <t xml:space="preserve">styai</t>
  </si>
  <si>
    <t xml:space="preserve">āstyai</t>
  </si>
  <si>
    <t xml:space="preserve">añc</t>
  </si>
  <si>
    <t xml:space="preserve">āñc</t>
  </si>
  <si>
    <t xml:space="preserve">udañc</t>
  </si>
  <si>
    <t xml:space="preserve">nyañc</t>
  </si>
  <si>
    <t xml:space="preserve">vyañc</t>
  </si>
  <si>
    <t xml:space="preserve">paryañc</t>
  </si>
  <si>
    <t xml:space="preserve">samañc</t>
  </si>
  <si>
    <t xml:space="preserve">samudañc</t>
  </si>
  <si>
    <t xml:space="preserve">upāñc</t>
  </si>
  <si>
    <t xml:space="preserve">jihīrṣ</t>
  </si>
  <si>
    <t xml:space="preserve">prajihīrṣ</t>
  </si>
  <si>
    <t xml:space="preserve">ujjihīrṣ</t>
  </si>
  <si>
    <t xml:space="preserve">parijihīrṣ</t>
  </si>
  <si>
    <t xml:space="preserve">ājihīrṣ</t>
  </si>
  <si>
    <t xml:space="preserve">saṁjihīrṣ</t>
  </si>
  <si>
    <t xml:space="preserve">upajihīrṣ</t>
  </si>
  <si>
    <t xml:space="preserve">hāpay</t>
  </si>
  <si>
    <t xml:space="preserve">parihāpay</t>
  </si>
  <si>
    <t xml:space="preserve">vihāpay</t>
  </si>
  <si>
    <t xml:space="preserve">prahāpay</t>
  </si>
  <si>
    <t xml:space="preserve">cikits</t>
  </si>
  <si>
    <t xml:space="preserve">vicikits</t>
  </si>
  <si>
    <t xml:space="preserve">cūṣ</t>
  </si>
  <si>
    <t xml:space="preserve">ācūṣ</t>
  </si>
  <si>
    <t xml:space="preserve">saṁcūṣ</t>
  </si>
  <si>
    <t xml:space="preserve">dhamay</t>
  </si>
  <si>
    <t xml:space="preserve">avadhamay</t>
  </si>
  <si>
    <t xml:space="preserve">guṇṭhay</t>
  </si>
  <si>
    <t xml:space="preserve">avaguṇṭhay</t>
  </si>
  <si>
    <t xml:space="preserve">samavaguṇṭhay</t>
  </si>
  <si>
    <t xml:space="preserve">uṣ</t>
  </si>
  <si>
    <t xml:space="preserve">pratyuṣ</t>
  </si>
  <si>
    <t xml:space="preserve">nyuṣ</t>
  </si>
  <si>
    <t xml:space="preserve">samuṣ</t>
  </si>
  <si>
    <t xml:space="preserve">samupoṣ</t>
  </si>
  <si>
    <t xml:space="preserve">upoṣ</t>
  </si>
  <si>
    <t xml:space="preserve">uduṣ</t>
  </si>
  <si>
    <t xml:space="preserve">und</t>
  </si>
  <si>
    <t xml:space="preserve">abhyund</t>
  </si>
  <si>
    <t xml:space="preserve">samund</t>
  </si>
  <si>
    <t xml:space="preserve">vyund</t>
  </si>
  <si>
    <t xml:space="preserve">anūnd</t>
  </si>
  <si>
    <t xml:space="preserve">nyund</t>
  </si>
  <si>
    <t xml:space="preserve">upond</t>
  </si>
  <si>
    <t xml:space="preserve">khānay</t>
  </si>
  <si>
    <t xml:space="preserve">nikhānay</t>
  </si>
  <si>
    <t xml:space="preserve">dhūmāy</t>
  </si>
  <si>
    <t xml:space="preserve">saṁdhūmāy</t>
  </si>
  <si>
    <t xml:space="preserve">snapay</t>
  </si>
  <si>
    <t xml:space="preserve">prasnapay</t>
  </si>
  <si>
    <t xml:space="preserve">nāmay</t>
  </si>
  <si>
    <t xml:space="preserve">pariṇāmay</t>
  </si>
  <si>
    <t xml:space="preserve">upanāmay</t>
  </si>
  <si>
    <t xml:space="preserve">unnāmay</t>
  </si>
  <si>
    <t xml:space="preserve">avanāmay</t>
  </si>
  <si>
    <t xml:space="preserve">vināmay</t>
  </si>
  <si>
    <t xml:space="preserve">saṁnāmay</t>
  </si>
  <si>
    <t xml:space="preserve">ānāmay</t>
  </si>
  <si>
    <t xml:space="preserve">atināmay</t>
  </si>
  <si>
    <t xml:space="preserve">abhyavanāmay</t>
  </si>
  <si>
    <t xml:space="preserve">anunāmay</t>
  </si>
  <si>
    <t xml:space="preserve">nirnāmay</t>
  </si>
  <si>
    <t xml:space="preserve">praṇāmay</t>
  </si>
  <si>
    <t xml:space="preserve">samunnāmay</t>
  </si>
  <si>
    <t xml:space="preserve">vyānāmay</t>
  </si>
  <si>
    <t xml:space="preserve">tolay</t>
  </si>
  <si>
    <t xml:space="preserve">uttolay</t>
  </si>
  <si>
    <t xml:space="preserve">prottolay</t>
  </si>
  <si>
    <t xml:space="preserve">saṁtolay</t>
  </si>
  <si>
    <t xml:space="preserve">ātolay</t>
  </si>
  <si>
    <t xml:space="preserve">yāvay</t>
  </si>
  <si>
    <t xml:space="preserve">prayāvay</t>
  </si>
  <si>
    <t xml:space="preserve">tyājay</t>
  </si>
  <si>
    <t xml:space="preserve">saṁtyājay</t>
  </si>
  <si>
    <t xml:space="preserve">parityājay</t>
  </si>
  <si>
    <t xml:space="preserve">heṣ</t>
  </si>
  <si>
    <t xml:space="preserve">pratiheṣ</t>
  </si>
  <si>
    <t xml:space="preserve">abhiheṣ</t>
  </si>
  <si>
    <t xml:space="preserve">ribh</t>
  </si>
  <si>
    <t xml:space="preserve">abhiribh</t>
  </si>
  <si>
    <t xml:space="preserve">damay</t>
  </si>
  <si>
    <t xml:space="preserve">pradamay</t>
  </si>
  <si>
    <t xml:space="preserve">uddamay</t>
  </si>
  <si>
    <t xml:space="preserve">ci</t>
  </si>
  <si>
    <t xml:space="preserve">niści</t>
  </si>
  <si>
    <t xml:space="preserve">upaci</t>
  </si>
  <si>
    <t xml:space="preserve">āci</t>
  </si>
  <si>
    <t xml:space="preserve">saṁci</t>
  </si>
  <si>
    <t xml:space="preserve">vici</t>
  </si>
  <si>
    <t xml:space="preserve">viniści</t>
  </si>
  <si>
    <t xml:space="preserve">samāci</t>
  </si>
  <si>
    <t xml:space="preserve">nici</t>
  </si>
  <si>
    <t xml:space="preserve">parici</t>
  </si>
  <si>
    <t xml:space="preserve">praci</t>
  </si>
  <si>
    <t xml:space="preserve">apaci</t>
  </si>
  <si>
    <t xml:space="preserve">avaci</t>
  </si>
  <si>
    <t xml:space="preserve">samucci</t>
  </si>
  <si>
    <t xml:space="preserve">ucci</t>
  </si>
  <si>
    <t xml:space="preserve">samupaci</t>
  </si>
  <si>
    <t xml:space="preserve">pariniści</t>
  </si>
  <si>
    <t xml:space="preserve">pravici</t>
  </si>
  <si>
    <t xml:space="preserve">saṁnici</t>
  </si>
  <si>
    <t xml:space="preserve">anuci</t>
  </si>
  <si>
    <t xml:space="preserve">anusaṁci</t>
  </si>
  <si>
    <t xml:space="preserve">avāci</t>
  </si>
  <si>
    <t xml:space="preserve">sampraci</t>
  </si>
  <si>
    <t xml:space="preserve">vinici</t>
  </si>
  <si>
    <t xml:space="preserve">abhisaṁci</t>
  </si>
  <si>
    <t xml:space="preserve">abhyucci</t>
  </si>
  <si>
    <t xml:space="preserve">adhici</t>
  </si>
  <si>
    <t xml:space="preserve">lap</t>
  </si>
  <si>
    <t xml:space="preserve">vilap</t>
  </si>
  <si>
    <t xml:space="preserve">pralap</t>
  </si>
  <si>
    <t xml:space="preserve">ālap</t>
  </si>
  <si>
    <t xml:space="preserve">abhilap</t>
  </si>
  <si>
    <t xml:space="preserve">saṁlap</t>
  </si>
  <si>
    <t xml:space="preserve">vipralap</t>
  </si>
  <si>
    <t xml:space="preserve">samālap</t>
  </si>
  <si>
    <t xml:space="preserve">ullap</t>
  </si>
  <si>
    <t xml:space="preserve">vyālap</t>
  </si>
  <si>
    <t xml:space="preserve">apalap</t>
  </si>
  <si>
    <t xml:space="preserve">dal</t>
  </si>
  <si>
    <t xml:space="preserve">vidal</t>
  </si>
  <si>
    <t xml:space="preserve">avadal</t>
  </si>
  <si>
    <t xml:space="preserve">tṛd</t>
  </si>
  <si>
    <t xml:space="preserve">abhitṛd</t>
  </si>
  <si>
    <t xml:space="preserve">ātṛd</t>
  </si>
  <si>
    <t xml:space="preserve">saṁtṛd</t>
  </si>
  <si>
    <t xml:space="preserve">vitṛd</t>
  </si>
  <si>
    <t xml:space="preserve">avatṛd</t>
  </si>
  <si>
    <t xml:space="preserve">anutṛd</t>
  </si>
  <si>
    <t xml:space="preserve">atitṛd</t>
  </si>
  <si>
    <t xml:space="preserve">nitṛd</t>
  </si>
  <si>
    <t xml:space="preserve">paritṛd</t>
  </si>
  <si>
    <t xml:space="preserve">pratṛd</t>
  </si>
  <si>
    <t xml:space="preserve">upatṛd</t>
  </si>
  <si>
    <t xml:space="preserve">uttṛd</t>
  </si>
  <si>
    <t xml:space="preserve">sparśay</t>
  </si>
  <si>
    <t xml:space="preserve">upasparśay</t>
  </si>
  <si>
    <t xml:space="preserve">saṁsparśay</t>
  </si>
  <si>
    <t xml:space="preserve">anusaṁsparśay</t>
  </si>
  <si>
    <t xml:space="preserve">adhisparśay</t>
  </si>
  <si>
    <t xml:space="preserve">nartay</t>
  </si>
  <si>
    <t xml:space="preserve">ānartay</t>
  </si>
  <si>
    <t xml:space="preserve">pranartay</t>
  </si>
  <si>
    <t xml:space="preserve">kheday</t>
  </si>
  <si>
    <t xml:space="preserve">parikheday</t>
  </si>
  <si>
    <t xml:space="preserve">marmṛj</t>
  </si>
  <si>
    <t xml:space="preserve">anumarmṛj</t>
  </si>
  <si>
    <t xml:space="preserve">mṛś</t>
  </si>
  <si>
    <t xml:space="preserve">vimṛś</t>
  </si>
  <si>
    <t xml:space="preserve">parāmṛś</t>
  </si>
  <si>
    <t xml:space="preserve">abhimṛś</t>
  </si>
  <si>
    <t xml:space="preserve">āmṛś</t>
  </si>
  <si>
    <t xml:space="preserve">parimṛś</t>
  </si>
  <si>
    <t xml:space="preserve">anumṛś</t>
  </si>
  <si>
    <t xml:space="preserve">anvavamṛś</t>
  </si>
  <si>
    <t xml:space="preserve">sammṛś</t>
  </si>
  <si>
    <t xml:space="preserve">pravimṛś</t>
  </si>
  <si>
    <t xml:space="preserve">avamṛś</t>
  </si>
  <si>
    <t xml:space="preserve">pramṛś</t>
  </si>
  <si>
    <t xml:space="preserve">pratyabhimṛś</t>
  </si>
  <si>
    <t xml:space="preserve">pratyavamṛś</t>
  </si>
  <si>
    <t xml:space="preserve">unmṛś</t>
  </si>
  <si>
    <t xml:space="preserve">anuvimṛś</t>
  </si>
  <si>
    <t xml:space="preserve">abhipramṛś</t>
  </si>
  <si>
    <t xml:space="preserve">anuparāmṛś</t>
  </si>
  <si>
    <t xml:space="preserve">paryāmṛś</t>
  </si>
  <si>
    <t xml:space="preserve">samavamṛś</t>
  </si>
  <si>
    <t xml:space="preserve">saṁvimṛś</t>
  </si>
  <si>
    <t xml:space="preserve">upopaparāmṛś</t>
  </si>
  <si>
    <t xml:space="preserve">bhājay</t>
  </si>
  <si>
    <t xml:space="preserve">vibhājay</t>
  </si>
  <si>
    <t xml:space="preserve">nirbhājay</t>
  </si>
  <si>
    <t xml:space="preserve">mūtray</t>
  </si>
  <si>
    <t xml:space="preserve">avamūtr</t>
  </si>
  <si>
    <t xml:space="preserve">kvaṇ</t>
  </si>
  <si>
    <t xml:space="preserve">parikvaṇ</t>
  </si>
  <si>
    <t xml:space="preserve">prakvaṇ</t>
  </si>
  <si>
    <t xml:space="preserve">pāṭhay</t>
  </si>
  <si>
    <t xml:space="preserve">paripāṭhay</t>
  </si>
  <si>
    <t xml:space="preserve">saṁpāṭhay</t>
  </si>
  <si>
    <t xml:space="preserve">piś</t>
  </si>
  <si>
    <t xml:space="preserve">āpiś</t>
  </si>
  <si>
    <t xml:space="preserve">abhipiś</t>
  </si>
  <si>
    <t xml:space="preserve">niṣpiś</t>
  </si>
  <si>
    <t xml:space="preserve">luṭh</t>
  </si>
  <si>
    <t xml:space="preserve">pariluṭh</t>
  </si>
  <si>
    <t xml:space="preserve">viluṭh</t>
  </si>
  <si>
    <t xml:space="preserve">parinirluṭh</t>
  </si>
  <si>
    <t xml:space="preserve">praluṭh</t>
  </si>
  <si>
    <t xml:space="preserve">truṭ</t>
  </si>
  <si>
    <t xml:space="preserve">vitruṭ</t>
  </si>
  <si>
    <t xml:space="preserve">hras</t>
  </si>
  <si>
    <t xml:space="preserve">nirhras</t>
  </si>
  <si>
    <t xml:space="preserve">ghuṣ</t>
  </si>
  <si>
    <t xml:space="preserve">saṁghuṣ</t>
  </si>
  <si>
    <t xml:space="preserve">udghuṣ</t>
  </si>
  <si>
    <t xml:space="preserve">vighuṣ</t>
  </si>
  <si>
    <t xml:space="preserve">avaghuṣ</t>
  </si>
  <si>
    <t xml:space="preserve">āghuṣ</t>
  </si>
  <si>
    <t xml:space="preserve">upaghuṣ</t>
  </si>
  <si>
    <t xml:space="preserve">praghuṣ</t>
  </si>
  <si>
    <t xml:space="preserve">samudghuṣ</t>
  </si>
  <si>
    <t xml:space="preserve">anughuṣ</t>
  </si>
  <si>
    <t xml:space="preserve">prodghuṣ</t>
  </si>
  <si>
    <t xml:space="preserve">samāghuṣ</t>
  </si>
  <si>
    <t xml:space="preserve">upasaṁghuṣ</t>
  </si>
  <si>
    <t xml:space="preserve">vipraghuṣ</t>
  </si>
  <si>
    <t xml:space="preserve">vyāghuṣ</t>
  </si>
  <si>
    <t xml:space="preserve">parighuṣ</t>
  </si>
  <si>
    <t xml:space="preserve">katth</t>
  </si>
  <si>
    <t xml:space="preserve">vikatth</t>
  </si>
  <si>
    <t xml:space="preserve">viṣ</t>
  </si>
  <si>
    <t xml:space="preserve">pariviṣ</t>
  </si>
  <si>
    <t xml:space="preserve">praviṣ</t>
  </si>
  <si>
    <t xml:space="preserve">saṁviṣ</t>
  </si>
  <si>
    <t xml:space="preserve">upaviṣ</t>
  </si>
  <si>
    <t xml:space="preserve">lekhay</t>
  </si>
  <si>
    <t xml:space="preserve">abhilekhay</t>
  </si>
  <si>
    <t xml:space="preserve">vilekhay</t>
  </si>
  <si>
    <t xml:space="preserve">parilekhay</t>
  </si>
  <si>
    <t xml:space="preserve">ullekhay</t>
  </si>
  <si>
    <t xml:space="preserve">dhvan</t>
  </si>
  <si>
    <t xml:space="preserve">pradhvan</t>
  </si>
  <si>
    <t xml:space="preserve">abhidhvan</t>
  </si>
  <si>
    <t xml:space="preserve">sukhay</t>
  </si>
  <si>
    <t xml:space="preserve">upasukhay</t>
  </si>
  <si>
    <t xml:space="preserve">vye</t>
  </si>
  <si>
    <t xml:space="preserve">saṁvye</t>
  </si>
  <si>
    <t xml:space="preserve">parivye</t>
  </si>
  <si>
    <t xml:space="preserve">upavye</t>
  </si>
  <si>
    <t xml:space="preserve">pravye</t>
  </si>
  <si>
    <t xml:space="preserve">āvye</t>
  </si>
  <si>
    <t xml:space="preserve">upasaṁvye</t>
  </si>
  <si>
    <t xml:space="preserve">anusaṁvye</t>
  </si>
  <si>
    <t xml:space="preserve">apavye</t>
  </si>
  <si>
    <t xml:space="preserve">adhivye</t>
  </si>
  <si>
    <t xml:space="preserve">avavye</t>
  </si>
  <si>
    <t xml:space="preserve">abhivye</t>
  </si>
  <si>
    <t xml:space="preserve">apivye</t>
  </si>
  <si>
    <t xml:space="preserve">nivye</t>
  </si>
  <si>
    <t xml:space="preserve">īps</t>
  </si>
  <si>
    <t xml:space="preserve">abhīps</t>
  </si>
  <si>
    <t xml:space="preserve">preps</t>
  </si>
  <si>
    <t xml:space="preserve">vīps</t>
  </si>
  <si>
    <t xml:space="preserve">samīps</t>
  </si>
  <si>
    <t xml:space="preserve">samabhīps</t>
  </si>
  <si>
    <t xml:space="preserve">upeps</t>
  </si>
  <si>
    <t xml:space="preserve">bhraṁśay</t>
  </si>
  <si>
    <t xml:space="preserve">prabhraṁśay</t>
  </si>
  <si>
    <t xml:space="preserve">vibhraṁśay</t>
  </si>
  <si>
    <t xml:space="preserve">ābhraṁśay</t>
  </si>
  <si>
    <t xml:space="preserve">svad</t>
  </si>
  <si>
    <t xml:space="preserve">āsvad</t>
  </si>
  <si>
    <t xml:space="preserve">saṁsvad</t>
  </si>
  <si>
    <t xml:space="preserve">śāyay</t>
  </si>
  <si>
    <t xml:space="preserve">adhiśāyay</t>
  </si>
  <si>
    <t xml:space="preserve">loḍay</t>
  </si>
  <si>
    <t xml:space="preserve">āloḍay</t>
  </si>
  <si>
    <t xml:space="preserve">viloḍay</t>
  </si>
  <si>
    <t xml:space="preserve">samāloḍay</t>
  </si>
  <si>
    <t xml:space="preserve">saṁloḍay</t>
  </si>
  <si>
    <t xml:space="preserve">avaloḍay</t>
  </si>
  <si>
    <t xml:space="preserve">pariloḍay</t>
  </si>
  <si>
    <t xml:space="preserve">ulloḍay</t>
  </si>
  <si>
    <t xml:space="preserve">vipraloḍay</t>
  </si>
  <si>
    <t xml:space="preserve">ativiloḍay</t>
  </si>
  <si>
    <t xml:space="preserve">hlāday</t>
  </si>
  <si>
    <t xml:space="preserve">prahlāday</t>
  </si>
  <si>
    <t xml:space="preserve">āhlāday</t>
  </si>
  <si>
    <t xml:space="preserve">saṁhlāday</t>
  </si>
  <si>
    <t xml:space="preserve">roṣay</t>
  </si>
  <si>
    <t xml:space="preserve">saṁroṣay</t>
  </si>
  <si>
    <t xml:space="preserve">āroṣay</t>
  </si>
  <si>
    <t xml:space="preserve">añcay</t>
  </si>
  <si>
    <t xml:space="preserve">udañcay</t>
  </si>
  <si>
    <t xml:space="preserve">samudañcay</t>
  </si>
  <si>
    <t xml:space="preserve">nonāv</t>
  </si>
  <si>
    <t xml:space="preserve">anunonāv</t>
  </si>
  <si>
    <t xml:space="preserve">śeṣay</t>
  </si>
  <si>
    <t xml:space="preserve">avaśeṣay</t>
  </si>
  <si>
    <t xml:space="preserve">viśeṣay</t>
  </si>
  <si>
    <t xml:space="preserve">niravaśeṣay</t>
  </si>
  <si>
    <t xml:space="preserve">niḥśeṣay</t>
  </si>
  <si>
    <t xml:space="preserve">pariśeṣay</t>
  </si>
  <si>
    <t xml:space="preserve">uccheṣay</t>
  </si>
  <si>
    <t xml:space="preserve">laṅgh</t>
  </si>
  <si>
    <t xml:space="preserve">vilaṅgh</t>
  </si>
  <si>
    <t xml:space="preserve">avalaṅgh</t>
  </si>
  <si>
    <t xml:space="preserve">pratilaṅgh</t>
  </si>
  <si>
    <t xml:space="preserve">atilaṅgh</t>
  </si>
  <si>
    <t xml:space="preserve">saṁlaṅgh</t>
  </si>
  <si>
    <t xml:space="preserve">ullaṅgh</t>
  </si>
  <si>
    <t xml:space="preserve">cud</t>
  </si>
  <si>
    <t xml:space="preserve">saṁcud</t>
  </si>
  <si>
    <t xml:space="preserve">pracud</t>
  </si>
  <si>
    <t xml:space="preserve">abhipracud</t>
  </si>
  <si>
    <t xml:space="preserve">yamay</t>
  </si>
  <si>
    <t xml:space="preserve">niyamay</t>
  </si>
  <si>
    <t xml:space="preserve">saṁyamay</t>
  </si>
  <si>
    <t xml:space="preserve">udyamay</t>
  </si>
  <si>
    <t xml:space="preserve">kleśay</t>
  </si>
  <si>
    <t xml:space="preserve">utkleśay</t>
  </si>
  <si>
    <t xml:space="preserve">saṁkleśay</t>
  </si>
  <si>
    <t xml:space="preserve">parikleśay</t>
  </si>
  <si>
    <t xml:space="preserve">samutkleśay</t>
  </si>
  <si>
    <t xml:space="preserve">upakleśay</t>
  </si>
  <si>
    <t xml:space="preserve">prakleśay</t>
  </si>
  <si>
    <t xml:space="preserve">svar</t>
  </si>
  <si>
    <t xml:space="preserve">saṁsvar</t>
  </si>
  <si>
    <t xml:space="preserve">abhisvar</t>
  </si>
  <si>
    <t xml:space="preserve">atisvar</t>
  </si>
  <si>
    <t xml:space="preserve">jighṛkṣay</t>
  </si>
  <si>
    <t xml:space="preserve">saṁjighṛkṣ</t>
  </si>
  <si>
    <t xml:space="preserve">pratijighṛkṣ</t>
  </si>
  <si>
    <t xml:space="preserve">lakṣ</t>
  </si>
  <si>
    <t xml:space="preserve">abhilakṣ</t>
  </si>
  <si>
    <t xml:space="preserve">upalakṣ</t>
  </si>
  <si>
    <t xml:space="preserve">upālakṣ</t>
  </si>
  <si>
    <t xml:space="preserve">abhyupalakṣ</t>
  </si>
  <si>
    <t xml:space="preserve">samālakṣ</t>
  </si>
  <si>
    <t xml:space="preserve">sampratilakṣ</t>
  </si>
  <si>
    <t xml:space="preserve">rad</t>
  </si>
  <si>
    <t xml:space="preserve">virad</t>
  </si>
  <si>
    <t xml:space="preserve">prarad</t>
  </si>
  <si>
    <t xml:space="preserve">tuj</t>
  </si>
  <si>
    <t xml:space="preserve">ātuj</t>
  </si>
  <si>
    <t xml:space="preserve">lobhay</t>
  </si>
  <si>
    <t xml:space="preserve">pralobhay</t>
  </si>
  <si>
    <t xml:space="preserve">vilobhay</t>
  </si>
  <si>
    <t xml:space="preserve">saṁlobhay</t>
  </si>
  <si>
    <t xml:space="preserve">abhilobhay</t>
  </si>
  <si>
    <t xml:space="preserve">pratilobhay</t>
  </si>
  <si>
    <t xml:space="preserve">pravilobhay</t>
  </si>
  <si>
    <t xml:space="preserve">sampralobhay</t>
  </si>
  <si>
    <t xml:space="preserve">upapralobhay</t>
  </si>
  <si>
    <t xml:space="preserve">anulobhay</t>
  </si>
  <si>
    <t xml:space="preserve">parilobhay</t>
  </si>
  <si>
    <t xml:space="preserve">upalobhay</t>
  </si>
  <si>
    <t xml:space="preserve">vipralobhay</t>
  </si>
  <si>
    <t xml:space="preserve">sphoṭay</t>
  </si>
  <si>
    <t xml:space="preserve">āsphoṭay</t>
  </si>
  <si>
    <t xml:space="preserve">prasphoṭay</t>
  </si>
  <si>
    <t xml:space="preserve">saṁsphoṭay</t>
  </si>
  <si>
    <t xml:space="preserve">utsphoṭay</t>
  </si>
  <si>
    <t xml:space="preserve">visphoṭay</t>
  </si>
  <si>
    <t xml:space="preserve">añjay</t>
  </si>
  <si>
    <t xml:space="preserve">vyañjay</t>
  </si>
  <si>
    <t xml:space="preserve">abhyañjay</t>
  </si>
  <si>
    <t xml:space="preserve">abhivyañjay</t>
  </si>
  <si>
    <t xml:space="preserve">samañjay</t>
  </si>
  <si>
    <t xml:space="preserve">valg</t>
  </si>
  <si>
    <t xml:space="preserve">āvalg</t>
  </si>
  <si>
    <t xml:space="preserve">pravalg</t>
  </si>
  <si>
    <t xml:space="preserve">abhivalg</t>
  </si>
  <si>
    <t xml:space="preserve">vivalg</t>
  </si>
  <si>
    <t xml:space="preserve">vyāvalg</t>
  </si>
  <si>
    <t xml:space="preserve">saṁvalg</t>
  </si>
  <si>
    <t xml:space="preserve">parāvalg</t>
  </si>
  <si>
    <t xml:space="preserve">vṛh</t>
  </si>
  <si>
    <t xml:space="preserve">pravṛh</t>
  </si>
  <si>
    <t xml:space="preserve">āvṛh</t>
  </si>
  <si>
    <t xml:space="preserve">saṁvṛh</t>
  </si>
  <si>
    <t xml:space="preserve">samudvṛh</t>
  </si>
  <si>
    <t xml:space="preserve">ativṛh</t>
  </si>
  <si>
    <t xml:space="preserve">upapravṛh</t>
  </si>
  <si>
    <t xml:space="preserve">udvṛh</t>
  </si>
  <si>
    <t xml:space="preserve">āprā</t>
  </si>
  <si>
    <t xml:space="preserve">chanday</t>
  </si>
  <si>
    <t xml:space="preserve">vicchanday</t>
  </si>
  <si>
    <t xml:space="preserve">saṁchanday</t>
  </si>
  <si>
    <t xml:space="preserve">ācchanday</t>
  </si>
  <si>
    <t xml:space="preserve">upacchanday</t>
  </si>
  <si>
    <t xml:space="preserve">poṣay</t>
  </si>
  <si>
    <t xml:space="preserve">paripoṣay</t>
  </si>
  <si>
    <t xml:space="preserve">saṁpoṣay</t>
  </si>
  <si>
    <t xml:space="preserve">spṛ</t>
  </si>
  <si>
    <t xml:space="preserve">apaspṛ</t>
  </si>
  <si>
    <t xml:space="preserve">avaspṛ</t>
  </si>
  <si>
    <t xml:space="preserve">āspṛ</t>
  </si>
  <si>
    <t xml:space="preserve">niḥspṛ</t>
  </si>
  <si>
    <t xml:space="preserve">rih</t>
  </si>
  <si>
    <t xml:space="preserve">ārih</t>
  </si>
  <si>
    <t xml:space="preserve">saṁrih</t>
  </si>
  <si>
    <t xml:space="preserve">hā</t>
  </si>
  <si>
    <t xml:space="preserve">vihā</t>
  </si>
  <si>
    <t xml:space="preserve">prahā</t>
  </si>
  <si>
    <t xml:space="preserve">parihā</t>
  </si>
  <si>
    <t xml:space="preserve">apahā</t>
  </si>
  <si>
    <t xml:space="preserve">viprahā</t>
  </si>
  <si>
    <t xml:space="preserve">avahā</t>
  </si>
  <si>
    <t xml:space="preserve">apāhā</t>
  </si>
  <si>
    <t xml:space="preserve">upahā</t>
  </si>
  <si>
    <t xml:space="preserve">anuhā</t>
  </si>
  <si>
    <t xml:space="preserve">pravihā</t>
  </si>
  <si>
    <t xml:space="preserve">atihā</t>
  </si>
  <si>
    <t xml:space="preserve">nihā</t>
  </si>
  <si>
    <t xml:space="preserve">saṁhā</t>
  </si>
  <si>
    <t xml:space="preserve">samprahā</t>
  </si>
  <si>
    <t xml:space="preserve">nirhā</t>
  </si>
  <si>
    <t xml:space="preserve">vyapahā</t>
  </si>
  <si>
    <t xml:space="preserve">ujjhā</t>
  </si>
  <si>
    <t xml:space="preserve">abhivihā</t>
  </si>
  <si>
    <t xml:space="preserve">anuparāhā</t>
  </si>
  <si>
    <t xml:space="preserve">pratihā</t>
  </si>
  <si>
    <t xml:space="preserve">samapahā</t>
  </si>
  <si>
    <t xml:space="preserve">samavahā</t>
  </si>
  <si>
    <t xml:space="preserve">saṁvihā</t>
  </si>
  <si>
    <t xml:space="preserve">vipratihā</t>
  </si>
  <si>
    <t xml:space="preserve">abhihā</t>
  </si>
  <si>
    <t xml:space="preserve">pratisaṁhā</t>
  </si>
  <si>
    <t xml:space="preserve">samuddhā</t>
  </si>
  <si>
    <t xml:space="preserve">apihā</t>
  </si>
  <si>
    <t xml:space="preserve">atiprahā</t>
  </si>
  <si>
    <t xml:space="preserve">prativihā</t>
  </si>
  <si>
    <t xml:space="preserve">abhiprahā</t>
  </si>
  <si>
    <t xml:space="preserve">abhyuddhā</t>
  </si>
  <si>
    <t xml:space="preserve">parāhā</t>
  </si>
  <si>
    <t xml:space="preserve">parisaṁhā</t>
  </si>
  <si>
    <t xml:space="preserve">proddhā</t>
  </si>
  <si>
    <t xml:space="preserve">hāray</t>
  </si>
  <si>
    <t xml:space="preserve">āhāray</t>
  </si>
  <si>
    <t xml:space="preserve">abhihāray</t>
  </si>
  <si>
    <t xml:space="preserve">upahāray</t>
  </si>
  <si>
    <t xml:space="preserve">abhyavahāray</t>
  </si>
  <si>
    <t xml:space="preserve">uddhāray</t>
  </si>
  <si>
    <t xml:space="preserve">apahāray</t>
  </si>
  <si>
    <t xml:space="preserve">saṁhāray</t>
  </si>
  <si>
    <t xml:space="preserve">avahāray</t>
  </si>
  <si>
    <t xml:space="preserve">abhivyāhāray</t>
  </si>
  <si>
    <t xml:space="preserve">parihāray</t>
  </si>
  <si>
    <t xml:space="preserve">pravyāhāray</t>
  </si>
  <si>
    <t xml:space="preserve">nirhāray</t>
  </si>
  <si>
    <t xml:space="preserve">prahāray</t>
  </si>
  <si>
    <t xml:space="preserve">pratihāray</t>
  </si>
  <si>
    <t xml:space="preserve">pratisaṁhāray</t>
  </si>
  <si>
    <t xml:space="preserve">pratyavahāray</t>
  </si>
  <si>
    <t xml:space="preserve">vyāhāray</t>
  </si>
  <si>
    <t xml:space="preserve">vyavahāray</t>
  </si>
  <si>
    <t xml:space="preserve">abhyuddhāray</t>
  </si>
  <si>
    <t xml:space="preserve">pratyabhihāray</t>
  </si>
  <si>
    <t xml:space="preserve">mīlay</t>
  </si>
  <si>
    <t xml:space="preserve">nimīlay</t>
  </si>
  <si>
    <t xml:space="preserve">sammīlay</t>
  </si>
  <si>
    <t xml:space="preserve">āmīlay</t>
  </si>
  <si>
    <t xml:space="preserve">unmīlay</t>
  </si>
  <si>
    <t xml:space="preserve">pronmīlay</t>
  </si>
  <si>
    <t xml:space="preserve">vinimīlay</t>
  </si>
  <si>
    <t xml:space="preserve">anumīlay</t>
  </si>
  <si>
    <t xml:space="preserve">samunmīlay</t>
  </si>
  <si>
    <t xml:space="preserve">vyāmīlay</t>
  </si>
  <si>
    <t xml:space="preserve">ran</t>
  </si>
  <si>
    <t xml:space="preserve">niran</t>
  </si>
  <si>
    <t xml:space="preserve">praran</t>
  </si>
  <si>
    <t xml:space="preserve">saṁpraran</t>
  </si>
  <si>
    <t xml:space="preserve">aj</t>
  </si>
  <si>
    <t xml:space="preserve">udaj</t>
  </si>
  <si>
    <t xml:space="preserve">āj</t>
  </si>
  <si>
    <t xml:space="preserve">apāj</t>
  </si>
  <si>
    <t xml:space="preserve">upāj</t>
  </si>
  <si>
    <t xml:space="preserve">niraj</t>
  </si>
  <si>
    <t xml:space="preserve">samaj</t>
  </si>
  <si>
    <t xml:space="preserve">abhyaj</t>
  </si>
  <si>
    <t xml:space="preserve">abhyāj</t>
  </si>
  <si>
    <t xml:space="preserve">avāj</t>
  </si>
  <si>
    <t xml:space="preserve">prāj</t>
  </si>
  <si>
    <t xml:space="preserve">vyaj</t>
  </si>
  <si>
    <t xml:space="preserve">śātay</t>
  </si>
  <si>
    <t xml:space="preserve">viśātay</t>
  </si>
  <si>
    <t xml:space="preserve">avaśātay</t>
  </si>
  <si>
    <t xml:space="preserve">pariśātay</t>
  </si>
  <si>
    <t xml:space="preserve">praśātay</t>
  </si>
  <si>
    <t xml:space="preserve">praviśātay</t>
  </si>
  <si>
    <t xml:space="preserve">saṁśātay</t>
  </si>
  <si>
    <t xml:space="preserve">ghaṭay</t>
  </si>
  <si>
    <t xml:space="preserve">vighaṭay</t>
  </si>
  <si>
    <t xml:space="preserve">saṁghaṭay</t>
  </si>
  <si>
    <t xml:space="preserve">udghaṭay</t>
  </si>
  <si>
    <t xml:space="preserve">dabh</t>
  </si>
  <si>
    <t xml:space="preserve">ādabh</t>
  </si>
  <si>
    <t xml:space="preserve">yuyuts</t>
  </si>
  <si>
    <t xml:space="preserve">prayuyuts</t>
  </si>
  <si>
    <t xml:space="preserve">svaj</t>
  </si>
  <si>
    <t xml:space="preserve">pariṣvaj</t>
  </si>
  <si>
    <t xml:space="preserve">sampariṣvaj</t>
  </si>
  <si>
    <t xml:space="preserve">abhiṣvaj</t>
  </si>
  <si>
    <t xml:space="preserve">abhipariṣvañj</t>
  </si>
  <si>
    <t xml:space="preserve">abhisaṁsvañj</t>
  </si>
  <si>
    <t xml:space="preserve">saṁsvaj</t>
  </si>
  <si>
    <t xml:space="preserve">viṣvaj</t>
  </si>
  <si>
    <t xml:space="preserve">tvaray</t>
  </si>
  <si>
    <t xml:space="preserve">saṁtvaray</t>
  </si>
  <si>
    <t xml:space="preserve">abhitvaray</t>
  </si>
  <si>
    <t xml:space="preserve">carcay</t>
  </si>
  <si>
    <t xml:space="preserve">paricarcay</t>
  </si>
  <si>
    <t xml:space="preserve">veṣṭ</t>
  </si>
  <si>
    <t xml:space="preserve">viveṣṭ</t>
  </si>
  <si>
    <t xml:space="preserve">saṁveṣṭ</t>
  </si>
  <si>
    <t xml:space="preserve">udveṣṭ</t>
  </si>
  <si>
    <t xml:space="preserve">āveṣṭ</t>
  </si>
  <si>
    <t xml:space="preserve">abhisaṁveṣṭ</t>
  </si>
  <si>
    <t xml:space="preserve">abhyanuveṣṭ</t>
  </si>
  <si>
    <t xml:space="preserve">prativeṣṭ</t>
  </si>
  <si>
    <t xml:space="preserve">pratisaṁveṣṭ</t>
  </si>
  <si>
    <t xml:space="preserve">saṁpariveṣṭ</t>
  </si>
  <si>
    <t xml:space="preserve">vyāveṣṭ</t>
  </si>
  <si>
    <t xml:space="preserve">vyativeṣṭ</t>
  </si>
  <si>
    <t xml:space="preserve">anuveṣṭ</t>
  </si>
  <si>
    <t xml:space="preserve">upaniveṣṭ</t>
  </si>
  <si>
    <t xml:space="preserve">lolay</t>
  </si>
  <si>
    <t xml:space="preserve">vilolay</t>
  </si>
  <si>
    <t xml:space="preserve">ālolay</t>
  </si>
  <si>
    <t xml:space="preserve">atilolay</t>
  </si>
  <si>
    <t xml:space="preserve">parilolay</t>
  </si>
  <si>
    <t xml:space="preserve">ullolay</t>
  </si>
  <si>
    <t xml:space="preserve">vyālolay</t>
  </si>
  <si>
    <t xml:space="preserve">sulolay</t>
  </si>
  <si>
    <t xml:space="preserve">asūy</t>
  </si>
  <si>
    <t xml:space="preserve">pratyasūy</t>
  </si>
  <si>
    <t xml:space="preserve">ropay</t>
  </si>
  <si>
    <t xml:space="preserve">āropay</t>
  </si>
  <si>
    <t xml:space="preserve">avaropay</t>
  </si>
  <si>
    <t xml:space="preserve">samāropay</t>
  </si>
  <si>
    <t xml:space="preserve">vyaparopay</t>
  </si>
  <si>
    <t xml:space="preserve">adhiropay</t>
  </si>
  <si>
    <t xml:space="preserve">pratyavaropay</t>
  </si>
  <si>
    <t xml:space="preserve">abhiropay</t>
  </si>
  <si>
    <t xml:space="preserve">adhyāropay</t>
  </si>
  <si>
    <t xml:space="preserve">viropay</t>
  </si>
  <si>
    <t xml:space="preserve">vyavaropay</t>
  </si>
  <si>
    <t xml:space="preserve">atiropay</t>
  </si>
  <si>
    <t xml:space="preserve">upāropay</t>
  </si>
  <si>
    <t xml:space="preserve">paryavaropay</t>
  </si>
  <si>
    <t xml:space="preserve">praropay</t>
  </si>
  <si>
    <t xml:space="preserve">saṁropay</t>
  </si>
  <si>
    <t xml:space="preserve">samavaropay</t>
  </si>
  <si>
    <t xml:space="preserve">uparopay</t>
  </si>
  <si>
    <t xml:space="preserve">avāropay</t>
  </si>
  <si>
    <t xml:space="preserve">niropay</t>
  </si>
  <si>
    <t xml:space="preserve">pratiropay</t>
  </si>
  <si>
    <t xml:space="preserve">pratyāropay</t>
  </si>
  <si>
    <t xml:space="preserve">ve</t>
  </si>
  <si>
    <t xml:space="preserve">āve</t>
  </si>
  <si>
    <t xml:space="preserve">prave</t>
  </si>
  <si>
    <t xml:space="preserve">udve</t>
  </si>
  <si>
    <t xml:space="preserve">parive</t>
  </si>
  <si>
    <t xml:space="preserve">saṁve</t>
  </si>
  <si>
    <t xml:space="preserve">samāve</t>
  </si>
  <si>
    <t xml:space="preserve">apave</t>
  </si>
  <si>
    <t xml:space="preserve">atiprave</t>
  </si>
  <si>
    <t xml:space="preserve">samprave</t>
  </si>
  <si>
    <t xml:space="preserve">upave</t>
  </si>
  <si>
    <t xml:space="preserve">vive</t>
  </si>
  <si>
    <t xml:space="preserve">dyotay</t>
  </si>
  <si>
    <t xml:space="preserve">uddyotay</t>
  </si>
  <si>
    <t xml:space="preserve">vidyotay</t>
  </si>
  <si>
    <t xml:space="preserve">nirdyotay</t>
  </si>
  <si>
    <t xml:space="preserve">avadyotay</t>
  </si>
  <si>
    <t xml:space="preserve">abhidyotay</t>
  </si>
  <si>
    <t xml:space="preserve">pradyotay</t>
  </si>
  <si>
    <t xml:space="preserve">majjay</t>
  </si>
  <si>
    <t xml:space="preserve">nimajjay</t>
  </si>
  <si>
    <t xml:space="preserve">unmajjay</t>
  </si>
  <si>
    <t xml:space="preserve">vivās</t>
  </si>
  <si>
    <t xml:space="preserve">āvivās</t>
  </si>
  <si>
    <t xml:space="preserve">vyathay</t>
  </si>
  <si>
    <t xml:space="preserve">pravyathay</t>
  </si>
  <si>
    <t xml:space="preserve">lelih</t>
  </si>
  <si>
    <t xml:space="preserve">parilelih</t>
  </si>
  <si>
    <t xml:space="preserve">vilelih</t>
  </si>
  <si>
    <t xml:space="preserve">avalelih</t>
  </si>
  <si>
    <t xml:space="preserve">hary</t>
  </si>
  <si>
    <t xml:space="preserve">pratihary</t>
  </si>
  <si>
    <t xml:space="preserve">abhihary</t>
  </si>
  <si>
    <t xml:space="preserve">kanikrad</t>
  </si>
  <si>
    <t xml:space="preserve">abhikanikrad</t>
  </si>
  <si>
    <t xml:space="preserve">gṛ</t>
  </si>
  <si>
    <t xml:space="preserve">udgṛ</t>
  </si>
  <si>
    <t xml:space="preserve">nigṛ</t>
  </si>
  <si>
    <t xml:space="preserve">pratigṛ</t>
  </si>
  <si>
    <t xml:space="preserve">saṁgṛ</t>
  </si>
  <si>
    <t xml:space="preserve">samudgṛ</t>
  </si>
  <si>
    <t xml:space="preserve">abhigṛ</t>
  </si>
  <si>
    <t xml:space="preserve">pragṛ</t>
  </si>
  <si>
    <t xml:space="preserve">avagṛ</t>
  </si>
  <si>
    <t xml:space="preserve">saṁpragṛ</t>
  </si>
  <si>
    <t xml:space="preserve">vinirgṛ</t>
  </si>
  <si>
    <t xml:space="preserve">abhyudgṛ</t>
  </si>
  <si>
    <t xml:space="preserve">āgṛ</t>
  </si>
  <si>
    <t xml:space="preserve">abhipratigṛ</t>
  </si>
  <si>
    <t xml:space="preserve">abhisaṁgṛ</t>
  </si>
  <si>
    <t xml:space="preserve">anugṛ</t>
  </si>
  <si>
    <r>
      <rPr>
        <sz val="10"/>
        <rFont val="Arial"/>
        <family val="2"/>
        <charset val="204"/>
      </rPr>
      <t xml:space="preserve">upag</t>
    </r>
    <r>
      <rPr>
        <sz val="10"/>
        <rFont val="Microsoft YaHei"/>
        <family val="2"/>
        <charset val="204"/>
      </rPr>
      <t xml:space="preserve">￞</t>
    </r>
  </si>
  <si>
    <t xml:space="preserve">upagṛ</t>
  </si>
  <si>
    <t xml:space="preserve">bhartsay</t>
  </si>
  <si>
    <t xml:space="preserve">nirbhartsay</t>
  </si>
  <si>
    <t xml:space="preserve">avabhartsay</t>
  </si>
  <si>
    <t xml:space="preserve">paribhartsay</t>
  </si>
  <si>
    <t xml:space="preserve">smāray</t>
  </si>
  <si>
    <t xml:space="preserve">saṁsmāray</t>
  </si>
  <si>
    <t xml:space="preserve">vismāray</t>
  </si>
  <si>
    <t xml:space="preserve">pratismāray</t>
  </si>
  <si>
    <t xml:space="preserve">anusmāray</t>
  </si>
  <si>
    <t xml:space="preserve">tṛṣ</t>
  </si>
  <si>
    <t xml:space="preserve">atitṛṣ</t>
  </si>
  <si>
    <t xml:space="preserve">anutṛṣ</t>
  </si>
  <si>
    <t xml:space="preserve">vitṛṣ</t>
  </si>
  <si>
    <t xml:space="preserve">dhī</t>
  </si>
  <si>
    <t xml:space="preserve">pradhī</t>
  </si>
  <si>
    <t xml:space="preserve">abhidhī</t>
  </si>
  <si>
    <t xml:space="preserve">anudhī</t>
  </si>
  <si>
    <t xml:space="preserve">anvādhī</t>
  </si>
  <si>
    <t xml:space="preserve">avadhī</t>
  </si>
  <si>
    <t xml:space="preserve">pratidhī</t>
  </si>
  <si>
    <t xml:space="preserve">uddhī</t>
  </si>
  <si>
    <t xml:space="preserve">vidhī</t>
  </si>
  <si>
    <t xml:space="preserve">kāś</t>
  </si>
  <si>
    <t xml:space="preserve">prakāś</t>
  </si>
  <si>
    <t xml:space="preserve">samprakās</t>
  </si>
  <si>
    <t xml:space="preserve">vikāś</t>
  </si>
  <si>
    <t xml:space="preserve">viprakāś</t>
  </si>
  <si>
    <t xml:space="preserve">pratiprakāś</t>
  </si>
  <si>
    <t xml:space="preserve">utkāś</t>
  </si>
  <si>
    <t xml:space="preserve">ākāś</t>
  </si>
  <si>
    <t xml:space="preserve">abhikāś</t>
  </si>
  <si>
    <t xml:space="preserve">abhiprakāś</t>
  </si>
  <si>
    <t xml:space="preserve">anuvikāś</t>
  </si>
  <si>
    <t xml:space="preserve">avakāś</t>
  </si>
  <si>
    <t xml:space="preserve">saṁkāś</t>
  </si>
  <si>
    <t xml:space="preserve">lul</t>
  </si>
  <si>
    <t xml:space="preserve">vilul</t>
  </si>
  <si>
    <t xml:space="preserve">saṁlul</t>
  </si>
  <si>
    <t xml:space="preserve">ālul</t>
  </si>
  <si>
    <t xml:space="preserve">abhilul</t>
  </si>
  <si>
    <t xml:space="preserve">parilul</t>
  </si>
  <si>
    <t xml:space="preserve">bhūṣ</t>
  </si>
  <si>
    <t xml:space="preserve">ābhūṣ</t>
  </si>
  <si>
    <t xml:space="preserve">paribhūṣ</t>
  </si>
  <si>
    <t xml:space="preserve">pratibhūṣ</t>
  </si>
  <si>
    <t xml:space="preserve">prabhūṣ</t>
  </si>
  <si>
    <t xml:space="preserve">vibhūṣ</t>
  </si>
  <si>
    <t xml:space="preserve">abhibhūṣ</t>
  </si>
  <si>
    <t xml:space="preserve">anuprabhūṣ</t>
  </si>
  <si>
    <t xml:space="preserve">atibhūṣ</t>
  </si>
  <si>
    <t xml:space="preserve">sambhūṣ</t>
  </si>
  <si>
    <t xml:space="preserve">upabhūṣ</t>
  </si>
  <si>
    <t xml:space="preserve">upābhūṣ</t>
  </si>
  <si>
    <t xml:space="preserve">upaprabhūṣ</t>
  </si>
  <si>
    <t xml:space="preserve">cihnay</t>
  </si>
  <si>
    <t xml:space="preserve">paricihnay</t>
  </si>
  <si>
    <t xml:space="preserve">upacihnay</t>
  </si>
  <si>
    <t xml:space="preserve">vicihnay</t>
  </si>
  <si>
    <t xml:space="preserve">bhīṣay</t>
  </si>
  <si>
    <t xml:space="preserve">vibhīṣay</t>
  </si>
  <si>
    <t xml:space="preserve">dits</t>
  </si>
  <si>
    <t xml:space="preserve">ādits</t>
  </si>
  <si>
    <t xml:space="preserve">pradits</t>
  </si>
  <si>
    <t xml:space="preserve">samādits</t>
  </si>
  <si>
    <t xml:space="preserve">saṁpradits</t>
  </si>
  <si>
    <t xml:space="preserve">titikṣ</t>
  </si>
  <si>
    <t xml:space="preserve">anutitikṣ</t>
  </si>
  <si>
    <t xml:space="preserve">jñāpay</t>
  </si>
  <si>
    <t xml:space="preserve">ājñāpay</t>
  </si>
  <si>
    <t xml:space="preserve">vijñāpay</t>
  </si>
  <si>
    <t xml:space="preserve">anujñāpay</t>
  </si>
  <si>
    <t xml:space="preserve">prajñāpay</t>
  </si>
  <si>
    <t xml:space="preserve">samanujñāpay</t>
  </si>
  <si>
    <t xml:space="preserve">samājñāpay</t>
  </si>
  <si>
    <t xml:space="preserve">abhyanujñāpay</t>
  </si>
  <si>
    <t xml:space="preserve">saṁjñāpay</t>
  </si>
  <si>
    <t xml:space="preserve">pratijñāpay</t>
  </si>
  <si>
    <t xml:space="preserve">saṁvijñāpay</t>
  </si>
  <si>
    <t xml:space="preserve">bhāsay</t>
  </si>
  <si>
    <t xml:space="preserve">avabhāsay</t>
  </si>
  <si>
    <t xml:space="preserve">ābhāsay</t>
  </si>
  <si>
    <t xml:space="preserve">prabhāsay</t>
  </si>
  <si>
    <t xml:space="preserve">udbhāsay</t>
  </si>
  <si>
    <t xml:space="preserve">nirbhāsay</t>
  </si>
  <si>
    <t xml:space="preserve">vyavabhāsay</t>
  </si>
  <si>
    <t xml:space="preserve">nirvibhāsay</t>
  </si>
  <si>
    <t xml:space="preserve">prodbhāsay</t>
  </si>
  <si>
    <t xml:space="preserve">mārjay</t>
  </si>
  <si>
    <t xml:space="preserve">saṁmārjay</t>
  </si>
  <si>
    <t xml:space="preserve">parimārjay</t>
  </si>
  <si>
    <t xml:space="preserve">pramārjay</t>
  </si>
  <si>
    <t xml:space="preserve">anumārjay</t>
  </si>
  <si>
    <t xml:space="preserve">saṁparimārjay</t>
  </si>
  <si>
    <t xml:space="preserve">unmārjay</t>
  </si>
  <si>
    <t xml:space="preserve">apāmārjay</t>
  </si>
  <si>
    <t xml:space="preserve">nirmārjay</t>
  </si>
  <si>
    <t xml:space="preserve">saṁpramārjay</t>
  </si>
  <si>
    <t xml:space="preserve">karṣay</t>
  </si>
  <si>
    <t xml:space="preserve">ākarṣay</t>
  </si>
  <si>
    <t xml:space="preserve">apakarṣay</t>
  </si>
  <si>
    <t xml:space="preserve">utkarṣay</t>
  </si>
  <si>
    <t xml:space="preserve">vikarṣay</t>
  </si>
  <si>
    <t xml:space="preserve">parikarṣay</t>
  </si>
  <si>
    <t xml:space="preserve">samākarṣay</t>
  </si>
  <si>
    <t xml:space="preserve">vyākarṣay</t>
  </si>
  <si>
    <t xml:space="preserve">anukarṣay</t>
  </si>
  <si>
    <t xml:space="preserve">prakarṣay</t>
  </si>
  <si>
    <t xml:space="preserve">kālay</t>
  </si>
  <si>
    <t xml:space="preserve">prakālay</t>
  </si>
  <si>
    <t xml:space="preserve">parikālay</t>
  </si>
  <si>
    <t xml:space="preserve">saṁkālay</t>
  </si>
  <si>
    <t xml:space="preserve">atikālay</t>
  </si>
  <si>
    <t xml:space="preserve">nikālay</t>
  </si>
  <si>
    <t xml:space="preserve">gharṣay</t>
  </si>
  <si>
    <t xml:space="preserve">avagharṣay</t>
  </si>
  <si>
    <t xml:space="preserve">nigharṣay</t>
  </si>
  <si>
    <t xml:space="preserve">vigharṣay</t>
  </si>
  <si>
    <t xml:space="preserve">pragharṣay</t>
  </si>
  <si>
    <t xml:space="preserve">saṁgharṣay</t>
  </si>
  <si>
    <t xml:space="preserve">charday</t>
  </si>
  <si>
    <t xml:space="preserve">praccharday</t>
  </si>
  <si>
    <t xml:space="preserve">dṛh</t>
  </si>
  <si>
    <t xml:space="preserve">saṁdṛh</t>
  </si>
  <si>
    <t xml:space="preserve">anūddṛh</t>
  </si>
  <si>
    <t xml:space="preserve">uddṛh</t>
  </si>
  <si>
    <t xml:space="preserve">snehay</t>
  </si>
  <si>
    <t xml:space="preserve">saṁsnehay</t>
  </si>
  <si>
    <t xml:space="preserve">atisnehay</t>
  </si>
  <si>
    <t xml:space="preserve">upasnehay</t>
  </si>
  <si>
    <t xml:space="preserve">pṛṇ</t>
  </si>
  <si>
    <t xml:space="preserve">āpṛṇ</t>
  </si>
  <si>
    <t xml:space="preserve">dhanv</t>
  </si>
  <si>
    <t xml:space="preserve">pradhanv</t>
  </si>
  <si>
    <t xml:space="preserve">abhidhanv</t>
  </si>
  <si>
    <t xml:space="preserve">acchādhanv</t>
  </si>
  <si>
    <t xml:space="preserve">anudhanv</t>
  </si>
  <si>
    <t xml:space="preserve">paripradhanv</t>
  </si>
  <si>
    <t xml:space="preserve">saṁdhanv</t>
  </si>
  <si>
    <t xml:space="preserve">vakṣ</t>
  </si>
  <si>
    <t xml:space="preserve">saṁvakṣ</t>
  </si>
  <si>
    <t xml:space="preserve">ras</t>
  </si>
  <si>
    <t xml:space="preserve">āras</t>
  </si>
  <si>
    <t xml:space="preserve">abhiras</t>
  </si>
  <si>
    <t xml:space="preserve">anuras</t>
  </si>
  <si>
    <t xml:space="preserve">pratiras</t>
  </si>
  <si>
    <t xml:space="preserve">viras</t>
  </si>
  <si>
    <t xml:space="preserve">ghoṣay</t>
  </si>
  <si>
    <t xml:space="preserve">udghoṣay</t>
  </si>
  <si>
    <t xml:space="preserve">āghoṣay</t>
  </si>
  <si>
    <t xml:space="preserve">avaghoṣay</t>
  </si>
  <si>
    <t xml:space="preserve">nighoṣay</t>
  </si>
  <si>
    <t xml:space="preserve">praghoṣay</t>
  </si>
  <si>
    <t xml:space="preserve">saṁghoṣay</t>
  </si>
  <si>
    <t xml:space="preserve">vyāghoṣay</t>
  </si>
  <si>
    <t xml:space="preserve">prodghoṣay</t>
  </si>
  <si>
    <t xml:space="preserve">ṛj</t>
  </si>
  <si>
    <t xml:space="preserve">atyṛj</t>
  </si>
  <si>
    <t xml:space="preserve">nyṛj</t>
  </si>
  <si>
    <t xml:space="preserve">abhyatyṛj</t>
  </si>
  <si>
    <t xml:space="preserve">anvarj</t>
  </si>
  <si>
    <t xml:space="preserve">apyatyṛj</t>
  </si>
  <si>
    <t xml:space="preserve">nirṛj</t>
  </si>
  <si>
    <t xml:space="preserve">ḍhālay</t>
  </si>
  <si>
    <t xml:space="preserve">praḍhālay</t>
  </si>
  <si>
    <t xml:space="preserve">āḍhālay</t>
  </si>
  <si>
    <t xml:space="preserve">saṁḍhālay</t>
  </si>
  <si>
    <t xml:space="preserve">vījay</t>
  </si>
  <si>
    <t xml:space="preserve">upavījay</t>
  </si>
  <si>
    <t xml:space="preserve">abhivījay</t>
  </si>
  <si>
    <t xml:space="preserve">parivījay</t>
  </si>
  <si>
    <t xml:space="preserve">saṁvījay</t>
  </si>
  <si>
    <t xml:space="preserve">saṁparivījay</t>
  </si>
  <si>
    <t xml:space="preserve">āvījay</t>
  </si>
  <si>
    <t xml:space="preserve">namay</t>
  </si>
  <si>
    <t xml:space="preserve">unnamay</t>
  </si>
  <si>
    <t xml:space="preserve">ānamay</t>
  </si>
  <si>
    <t xml:space="preserve">avanamay</t>
  </si>
  <si>
    <t xml:space="preserve">praṇamay</t>
  </si>
  <si>
    <t xml:space="preserve">vinamay</t>
  </si>
  <si>
    <t xml:space="preserve">abhyunnamay</t>
  </si>
  <si>
    <t xml:space="preserve">pariṇamay</t>
  </si>
  <si>
    <t xml:space="preserve">saṁnamay</t>
  </si>
  <si>
    <t xml:space="preserve">samunnamay</t>
  </si>
  <si>
    <t xml:space="preserve">atyunnamay</t>
  </si>
  <si>
    <t xml:space="preserve">nirnamay</t>
  </si>
  <si>
    <t xml:space="preserve">pothay</t>
  </si>
  <si>
    <t xml:space="preserve">āpothay</t>
  </si>
  <si>
    <t xml:space="preserve">vipothay</t>
  </si>
  <si>
    <t xml:space="preserve">sampothay</t>
  </si>
  <si>
    <t xml:space="preserve">avapothay</t>
  </si>
  <si>
    <t xml:space="preserve">apapothay</t>
  </si>
  <si>
    <t xml:space="preserve">pratipothay</t>
  </si>
  <si>
    <t xml:space="preserve">samāpothay</t>
  </si>
  <si>
    <t xml:space="preserve">abhiputh</t>
  </si>
  <si>
    <t xml:space="preserve">nipothay</t>
  </si>
  <si>
    <t xml:space="preserve">prapothay</t>
  </si>
  <si>
    <t xml:space="preserve">ri</t>
  </si>
  <si>
    <t xml:space="preserve">nirī</t>
  </si>
  <si>
    <t xml:space="preserve">prari</t>
  </si>
  <si>
    <t xml:space="preserve">āri</t>
  </si>
  <si>
    <t xml:space="preserve">anuri</t>
  </si>
  <si>
    <t xml:space="preserve">cak</t>
  </si>
  <si>
    <t xml:space="preserve">uccak</t>
  </si>
  <si>
    <t xml:space="preserve">rodhay</t>
  </si>
  <si>
    <t xml:space="preserve">nirodhay</t>
  </si>
  <si>
    <t xml:space="preserve">virodhay</t>
  </si>
  <si>
    <t xml:space="preserve">avarodhay</t>
  </si>
  <si>
    <t xml:space="preserve">saṁnirodhay</t>
  </si>
  <si>
    <t xml:space="preserve">uparodhay</t>
  </si>
  <si>
    <t xml:space="preserve">ārodhay</t>
  </si>
  <si>
    <t xml:space="preserve">prarodhay</t>
  </si>
  <si>
    <t xml:space="preserve">upasaṁrodhay</t>
  </si>
  <si>
    <t xml:space="preserve">saṁrodhay</t>
  </si>
  <si>
    <t xml:space="preserve">ghaṭṭay</t>
  </si>
  <si>
    <t xml:space="preserve">vighaṭṭay</t>
  </si>
  <si>
    <t xml:space="preserve">avaghaṭṭay</t>
  </si>
  <si>
    <t xml:space="preserve">saṁghaṭṭay</t>
  </si>
  <si>
    <t xml:space="preserve">āghaṭṭay</t>
  </si>
  <si>
    <t xml:space="preserve">parighaṭṭay</t>
  </si>
  <si>
    <t xml:space="preserve">udghaṭṭay</t>
  </si>
  <si>
    <t xml:space="preserve">upaghaṭṭay</t>
  </si>
  <si>
    <t xml:space="preserve">nanday</t>
  </si>
  <si>
    <t xml:space="preserve">ānanday</t>
  </si>
  <si>
    <t xml:space="preserve">abhinanday</t>
  </si>
  <si>
    <t xml:space="preserve">pratinanday</t>
  </si>
  <si>
    <t xml:space="preserve">abhyānanday</t>
  </si>
  <si>
    <t xml:space="preserve">pratyabhinanday</t>
  </si>
  <si>
    <t xml:space="preserve">samānanday</t>
  </si>
  <si>
    <t xml:space="preserve">tarjay</t>
  </si>
  <si>
    <t xml:space="preserve">saṁtarjay</t>
  </si>
  <si>
    <t xml:space="preserve">abhitarjay</t>
  </si>
  <si>
    <t xml:space="preserve">paritarjay</t>
  </si>
  <si>
    <t xml:space="preserve">ātarjay</t>
  </si>
  <si>
    <t xml:space="preserve">samabhitarjay</t>
  </si>
  <si>
    <t xml:space="preserve">dhāmay</t>
  </si>
  <si>
    <t xml:space="preserve">paridhāmay</t>
  </si>
  <si>
    <t xml:space="preserve">rabh</t>
  </si>
  <si>
    <t xml:space="preserve">ārabh</t>
  </si>
  <si>
    <t xml:space="preserve">saṁrabh</t>
  </si>
  <si>
    <t xml:space="preserve">samārabh</t>
  </si>
  <si>
    <t xml:space="preserve">prārabh</t>
  </si>
  <si>
    <t xml:space="preserve">anvārabh</t>
  </si>
  <si>
    <t xml:space="preserve">parirabh</t>
  </si>
  <si>
    <t xml:space="preserve">abhisaṁrabh</t>
  </si>
  <si>
    <t xml:space="preserve">pratisaṁrabh</t>
  </si>
  <si>
    <t xml:space="preserve">samanvārabh</t>
  </si>
  <si>
    <t xml:space="preserve">abhyārabh</t>
  </si>
  <si>
    <t xml:space="preserve">pratirabh</t>
  </si>
  <si>
    <t xml:space="preserve">anusaṁrabh</t>
  </si>
  <si>
    <t xml:space="preserve">vyanvārabh</t>
  </si>
  <si>
    <t xml:space="preserve">samparirabh</t>
  </si>
  <si>
    <t xml:space="preserve">samupārabh</t>
  </si>
  <si>
    <t xml:space="preserve">upāvarabh</t>
  </si>
  <si>
    <t xml:space="preserve">vyārabh</t>
  </si>
  <si>
    <t xml:space="preserve">abhirabh</t>
  </si>
  <si>
    <t xml:space="preserve">anusamārabh</t>
  </si>
  <si>
    <t xml:space="preserve">ghūrṇ</t>
  </si>
  <si>
    <t xml:space="preserve">āghūrṇ</t>
  </si>
  <si>
    <t xml:space="preserve">vighūrṇ</t>
  </si>
  <si>
    <t xml:space="preserve">vyāghūrṇ</t>
  </si>
  <si>
    <t xml:space="preserve">avaghūrṇ</t>
  </si>
  <si>
    <t xml:space="preserve">parighūrṇ</t>
  </si>
  <si>
    <t xml:space="preserve">udghūrṇ</t>
  </si>
  <si>
    <t xml:space="preserve">tam</t>
  </si>
  <si>
    <t xml:space="preserve">pratam</t>
  </si>
  <si>
    <t xml:space="preserve">paritam</t>
  </si>
  <si>
    <t xml:space="preserve">ātam</t>
  </si>
  <si>
    <t xml:space="preserve">atipratam</t>
  </si>
  <si>
    <t xml:space="preserve">saṁtam</t>
  </si>
  <si>
    <t xml:space="preserve">uttam</t>
  </si>
  <si>
    <t xml:space="preserve">jaray</t>
  </si>
  <si>
    <t xml:space="preserve">nirjaray</t>
  </si>
  <si>
    <t xml:space="preserve">val</t>
  </si>
  <si>
    <t xml:space="preserve">saṁval</t>
  </si>
  <si>
    <t xml:space="preserve">anuval</t>
  </si>
  <si>
    <t xml:space="preserve">vival</t>
  </si>
  <si>
    <t xml:space="preserve">nakṣ</t>
  </si>
  <si>
    <t xml:space="preserve">abhinakṣ</t>
  </si>
  <si>
    <t xml:space="preserve">ānakṣ</t>
  </si>
  <si>
    <t xml:space="preserve">abhipraṇakṣ</t>
  </si>
  <si>
    <t xml:space="preserve">acchānakṣ</t>
  </si>
  <si>
    <t xml:space="preserve">avanakṣ</t>
  </si>
  <si>
    <t xml:space="preserve">pranakṣ</t>
  </si>
  <si>
    <t xml:space="preserve">upanakṣ</t>
  </si>
  <si>
    <t xml:space="preserve">druh</t>
  </si>
  <si>
    <t xml:space="preserve">abhidruh</t>
  </si>
  <si>
    <t xml:space="preserve">vidruh</t>
  </si>
  <si>
    <t xml:space="preserve">kuṭṭay</t>
  </si>
  <si>
    <t xml:space="preserve">nikuṭṭay</t>
  </si>
  <si>
    <t xml:space="preserve">prakuṭṭay</t>
  </si>
  <si>
    <t xml:space="preserve">vikuṭṭay</t>
  </si>
  <si>
    <t xml:space="preserve">avakuṭṭay</t>
  </si>
  <si>
    <t xml:space="preserve">johav</t>
  </si>
  <si>
    <t xml:space="preserve">ājohav</t>
  </si>
  <si>
    <t xml:space="preserve">anviṣ</t>
  </si>
  <si>
    <t xml:space="preserve">preṣ</t>
  </si>
  <si>
    <t xml:space="preserve">pratīṣ</t>
  </si>
  <si>
    <t xml:space="preserve">parīṣ</t>
  </si>
  <si>
    <t xml:space="preserve">adhīṣ</t>
  </si>
  <si>
    <t xml:space="preserve">samanviṣ</t>
  </si>
  <si>
    <t xml:space="preserve">saṁpreṣ</t>
  </si>
  <si>
    <t xml:space="preserve">paryanviṣ</t>
  </si>
  <si>
    <t xml:space="preserve">samiṣ</t>
  </si>
  <si>
    <t xml:space="preserve">sampratīṣ</t>
  </si>
  <si>
    <t xml:space="preserve">upapreṣ</t>
  </si>
  <si>
    <t xml:space="preserve">abhīṣ</t>
  </si>
  <si>
    <t xml:space="preserve">aveṣ</t>
  </si>
  <si>
    <t xml:space="preserve">nipreṣ</t>
  </si>
  <si>
    <t xml:space="preserve">antariṣ</t>
  </si>
  <si>
    <t xml:space="preserve">vīṣ</t>
  </si>
  <si>
    <t xml:space="preserve">abhipreṣ</t>
  </si>
  <si>
    <t xml:space="preserve">māpay</t>
  </si>
  <si>
    <t xml:space="preserve">pramāpay</t>
  </si>
  <si>
    <t xml:space="preserve">anumāpay</t>
  </si>
  <si>
    <t xml:space="preserve">nirmāpay</t>
  </si>
  <si>
    <t xml:space="preserve">unmāpay</t>
  </si>
  <si>
    <t xml:space="preserve">spand</t>
  </si>
  <si>
    <t xml:space="preserve">praspand</t>
  </si>
  <si>
    <t xml:space="preserve">parispand</t>
  </si>
  <si>
    <t xml:space="preserve">vispand</t>
  </si>
  <si>
    <t xml:space="preserve">āspand</t>
  </si>
  <si>
    <t xml:space="preserve">saṁspand</t>
  </si>
  <si>
    <t xml:space="preserve">cheday</t>
  </si>
  <si>
    <t xml:space="preserve">uccheday</t>
  </si>
  <si>
    <t xml:space="preserve">avaccheday</t>
  </si>
  <si>
    <t xml:space="preserve">praccheday</t>
  </si>
  <si>
    <t xml:space="preserve">saṁcheday</t>
  </si>
  <si>
    <t xml:space="preserve">kuñcay</t>
  </si>
  <si>
    <t xml:space="preserve">ākuñcay</t>
  </si>
  <si>
    <t xml:space="preserve">vikuñcay</t>
  </si>
  <si>
    <t xml:space="preserve">nikuñcay</t>
  </si>
  <si>
    <t xml:space="preserve">saṁkuñcay</t>
  </si>
  <si>
    <t xml:space="preserve">utkuñcay</t>
  </si>
  <si>
    <t xml:space="preserve">ujh</t>
  </si>
  <si>
    <t xml:space="preserve">projh</t>
  </si>
  <si>
    <t xml:space="preserve">samujh</t>
  </si>
  <si>
    <t xml:space="preserve">abhisamujh</t>
  </si>
  <si>
    <t xml:space="preserve">vyapojh</t>
  </si>
  <si>
    <t xml:space="preserve">jigīṣ</t>
  </si>
  <si>
    <t xml:space="preserve">vijigīṣ</t>
  </si>
  <si>
    <t xml:space="preserve">abhijigīṣ</t>
  </si>
  <si>
    <t xml:space="preserve">pratijigīṣ</t>
  </si>
  <si>
    <t xml:space="preserve">lālay</t>
  </si>
  <si>
    <t xml:space="preserve">upalālay</t>
  </si>
  <si>
    <t xml:space="preserve">atilālay</t>
  </si>
  <si>
    <t xml:space="preserve">saṁlālay</t>
  </si>
  <si>
    <t xml:space="preserve">pralālay</t>
  </si>
  <si>
    <t xml:space="preserve">ullālay</t>
  </si>
  <si>
    <t xml:space="preserve">śvi</t>
  </si>
  <si>
    <t xml:space="preserve">ucchvi</t>
  </si>
  <si>
    <t xml:space="preserve">praśvi</t>
  </si>
  <si>
    <t xml:space="preserve">saṁśvi</t>
  </si>
  <si>
    <t xml:space="preserve">samucchvi</t>
  </si>
  <si>
    <t xml:space="preserve">viśvi</t>
  </si>
  <si>
    <t xml:space="preserve">kan</t>
  </si>
  <si>
    <t xml:space="preserve">ākan</t>
  </si>
  <si>
    <t xml:space="preserve">saṁkan</t>
  </si>
  <si>
    <t xml:space="preserve">śabday</t>
  </si>
  <si>
    <t xml:space="preserve">saṁśabday</t>
  </si>
  <si>
    <t xml:space="preserve">abhiśabday</t>
  </si>
  <si>
    <t xml:space="preserve">anuśabday</t>
  </si>
  <si>
    <t xml:space="preserve">pariśabday</t>
  </si>
  <si>
    <t xml:space="preserve">bharjay</t>
  </si>
  <si>
    <t xml:space="preserve">paribharjay</t>
  </si>
  <si>
    <t xml:space="preserve">mah</t>
  </si>
  <si>
    <t xml:space="preserve">vimah</t>
  </si>
  <si>
    <t xml:space="preserve">āśay</t>
  </si>
  <si>
    <t xml:space="preserve">prāśay</t>
  </si>
  <si>
    <t xml:space="preserve">atyāśay</t>
  </si>
  <si>
    <t xml:space="preserve">saṁprāśay</t>
  </si>
  <si>
    <t xml:space="preserve">abhyāśay</t>
  </si>
  <si>
    <t xml:space="preserve">yātay</t>
  </si>
  <si>
    <t xml:space="preserve">niryātay</t>
  </si>
  <si>
    <t xml:space="preserve">āyātay</t>
  </si>
  <si>
    <t xml:space="preserve">pratiyātay</t>
  </si>
  <si>
    <t xml:space="preserve">pratiniryātay</t>
  </si>
  <si>
    <t xml:space="preserve">anvāyātay</t>
  </si>
  <si>
    <t xml:space="preserve">viyātay</t>
  </si>
  <si>
    <t xml:space="preserve">pad</t>
  </si>
  <si>
    <t xml:space="preserve">sampad</t>
  </si>
  <si>
    <t xml:space="preserve">utpad</t>
  </si>
  <si>
    <t xml:space="preserve">pratipad</t>
  </si>
  <si>
    <t xml:space="preserve">upapad</t>
  </si>
  <si>
    <t xml:space="preserve">āpad</t>
  </si>
  <si>
    <t xml:space="preserve">prapad</t>
  </si>
  <si>
    <t xml:space="preserve">samutpad</t>
  </si>
  <si>
    <t xml:space="preserve">abhipad</t>
  </si>
  <si>
    <t xml:space="preserve">vipad</t>
  </si>
  <si>
    <t xml:space="preserve">niṣpad</t>
  </si>
  <si>
    <t xml:space="preserve">samāpad</t>
  </si>
  <si>
    <t xml:space="preserve">anupad</t>
  </si>
  <si>
    <t xml:space="preserve">pratyutpad</t>
  </si>
  <si>
    <t xml:space="preserve">upasaṁpad</t>
  </si>
  <si>
    <t xml:space="preserve">vyāpad</t>
  </si>
  <si>
    <t xml:space="preserve">avapad</t>
  </si>
  <si>
    <t xml:space="preserve">abhiprapad</t>
  </si>
  <si>
    <t xml:space="preserve">vipratipad</t>
  </si>
  <si>
    <t xml:space="preserve">abhyavapad</t>
  </si>
  <si>
    <t xml:space="preserve">anuprapad</t>
  </si>
  <si>
    <t xml:space="preserve">paryāpad</t>
  </si>
  <si>
    <t xml:space="preserve">samprapad</t>
  </si>
  <si>
    <t xml:space="preserve">abhisampad</t>
  </si>
  <si>
    <t xml:space="preserve">nipad</t>
  </si>
  <si>
    <t xml:space="preserve">sampratipad</t>
  </si>
  <si>
    <t xml:space="preserve">abhiniṣpad</t>
  </si>
  <si>
    <t xml:space="preserve">samabhipad</t>
  </si>
  <si>
    <t xml:space="preserve">abhyupapad</t>
  </si>
  <si>
    <t xml:space="preserve">atipad</t>
  </si>
  <si>
    <t xml:space="preserve">pratyāpad</t>
  </si>
  <si>
    <t xml:space="preserve">samupapad</t>
  </si>
  <si>
    <t xml:space="preserve">abhipratipad</t>
  </si>
  <si>
    <t xml:space="preserve">anupratipad</t>
  </si>
  <si>
    <t xml:space="preserve">viniṣpad</t>
  </si>
  <si>
    <t xml:space="preserve">vyutpad</t>
  </si>
  <si>
    <t xml:space="preserve">abhinipad</t>
  </si>
  <si>
    <t xml:space="preserve">abhisamprapad</t>
  </si>
  <si>
    <t xml:space="preserve">apapad</t>
  </si>
  <si>
    <t xml:space="preserve">pariniṣpad</t>
  </si>
  <si>
    <t xml:space="preserve">upanipad</t>
  </si>
  <si>
    <t xml:space="preserve">upaprapad</t>
  </si>
  <si>
    <t xml:space="preserve">vinipad</t>
  </si>
  <si>
    <t xml:space="preserve">abhisamāpad</t>
  </si>
  <si>
    <t xml:space="preserve">abhyāpad</t>
  </si>
  <si>
    <t xml:space="preserve">anunipad</t>
  </si>
  <si>
    <t xml:space="preserve">apipad</t>
  </si>
  <si>
    <t xml:space="preserve">atiprapad</t>
  </si>
  <si>
    <t xml:space="preserve">samanupad</t>
  </si>
  <si>
    <t xml:space="preserve">vyavapad</t>
  </si>
  <si>
    <t xml:space="preserve">sā</t>
  </si>
  <si>
    <t xml:space="preserve">vyavasā</t>
  </si>
  <si>
    <t xml:space="preserve">avasā</t>
  </si>
  <si>
    <t xml:space="preserve">adhyavaso</t>
  </si>
  <si>
    <t xml:space="preserve">viṣā</t>
  </si>
  <si>
    <t xml:space="preserve">paryavasā</t>
  </si>
  <si>
    <t xml:space="preserve">anvavasā</t>
  </si>
  <si>
    <t xml:space="preserve">abhyudavasā</t>
  </si>
  <si>
    <t xml:space="preserve">utsā</t>
  </si>
  <si>
    <t xml:space="preserve">udavasā</t>
  </si>
  <si>
    <t xml:space="preserve">anuvyavaso</t>
  </si>
  <si>
    <t xml:space="preserve">atisā</t>
  </si>
  <si>
    <t xml:space="preserve">niravaso</t>
  </si>
  <si>
    <t xml:space="preserve">pratyavasā</t>
  </si>
  <si>
    <t xml:space="preserve">samavasā</t>
  </si>
  <si>
    <t xml:space="preserve">abhiṣā</t>
  </si>
  <si>
    <t xml:space="preserve">pariṣā</t>
  </si>
  <si>
    <t xml:space="preserve">prāvasā</t>
  </si>
  <si>
    <t xml:space="preserve">upāvasā</t>
  </si>
  <si>
    <t xml:space="preserve">garhay</t>
  </si>
  <si>
    <t xml:space="preserve">vigarhay</t>
  </si>
  <si>
    <t xml:space="preserve">parigarhay</t>
  </si>
  <si>
    <t xml:space="preserve">śocay</t>
  </si>
  <si>
    <t xml:space="preserve">anuśocay</t>
  </si>
  <si>
    <t xml:space="preserve">ucchocay</t>
  </si>
  <si>
    <t xml:space="preserve">abhiśocay</t>
  </si>
  <si>
    <t xml:space="preserve">pariśocay</t>
  </si>
  <si>
    <t xml:space="preserve">saṁśocay</t>
  </si>
  <si>
    <t xml:space="preserve">vāś</t>
  </si>
  <si>
    <t xml:space="preserve">abhivāś</t>
  </si>
  <si>
    <t xml:space="preserve">prativāś</t>
  </si>
  <si>
    <t xml:space="preserve">anuvāś</t>
  </si>
  <si>
    <t xml:space="preserve">parivāś</t>
  </si>
  <si>
    <t xml:space="preserve">pravāś</t>
  </si>
  <si>
    <t xml:space="preserve">udvāś</t>
  </si>
  <si>
    <t xml:space="preserve">mand</t>
  </si>
  <si>
    <t xml:space="preserve">abhipramand</t>
  </si>
  <si>
    <t xml:space="preserve">kath</t>
  </si>
  <si>
    <t xml:space="preserve">anukath</t>
  </si>
  <si>
    <t xml:space="preserve">dhmāpay</t>
  </si>
  <si>
    <t xml:space="preserve">pradhmāpay</t>
  </si>
  <si>
    <t xml:space="preserve">ādhmāpay</t>
  </si>
  <si>
    <t xml:space="preserve">vidhmāpay</t>
  </si>
  <si>
    <t xml:space="preserve">dyut</t>
  </si>
  <si>
    <t xml:space="preserve">vidyut</t>
  </si>
  <si>
    <t xml:space="preserve">pradyut</t>
  </si>
  <si>
    <t xml:space="preserve">ādyut</t>
  </si>
  <si>
    <t xml:space="preserve">avadyut</t>
  </si>
  <si>
    <t xml:space="preserve">abhividyut</t>
  </si>
  <si>
    <t xml:space="preserve">samuddyut</t>
  </si>
  <si>
    <t xml:space="preserve">saṁvidyut</t>
  </si>
  <si>
    <t xml:space="preserve">uddyut</t>
  </si>
  <si>
    <t xml:space="preserve">sīv</t>
  </si>
  <si>
    <t xml:space="preserve">saṁsīv</t>
  </si>
  <si>
    <t xml:space="preserve">anusīv</t>
  </si>
  <si>
    <t xml:space="preserve">utsīv</t>
  </si>
  <si>
    <t xml:space="preserve">abhisaṁsīv</t>
  </si>
  <si>
    <t xml:space="preserve">āsīv</t>
  </si>
  <si>
    <t xml:space="preserve">abhiṣīv</t>
  </si>
  <si>
    <t xml:space="preserve">pariṣīv</t>
  </si>
  <si>
    <t xml:space="preserve">prasīv</t>
  </si>
  <si>
    <t xml:space="preserve">pratiṣīv</t>
  </si>
  <si>
    <t xml:space="preserve">prathay</t>
  </si>
  <si>
    <t xml:space="preserve">viprathay</t>
  </si>
  <si>
    <t xml:space="preserve">abhiprathay</t>
  </si>
  <si>
    <t xml:space="preserve">āprathay</t>
  </si>
  <si>
    <t xml:space="preserve">niprathay</t>
  </si>
  <si>
    <t xml:space="preserve">spṛhay</t>
  </si>
  <si>
    <t xml:space="preserve">saṁspṛh</t>
  </si>
  <si>
    <t xml:space="preserve">dhā</t>
  </si>
  <si>
    <t xml:space="preserve">vidhā</t>
  </si>
  <si>
    <t xml:space="preserve">abhidhā</t>
  </si>
  <si>
    <t xml:space="preserve">nidhā</t>
  </si>
  <si>
    <t xml:space="preserve">antardhā</t>
  </si>
  <si>
    <t xml:space="preserve">ādhā</t>
  </si>
  <si>
    <t xml:space="preserve">saṁdhā</t>
  </si>
  <si>
    <t xml:space="preserve">samādhā</t>
  </si>
  <si>
    <t xml:space="preserve">śraddhā</t>
  </si>
  <si>
    <t xml:space="preserve">pidhā</t>
  </si>
  <si>
    <t xml:space="preserve">saṁnidhā</t>
  </si>
  <si>
    <t xml:space="preserve">paridhā</t>
  </si>
  <si>
    <t xml:space="preserve">praṇidhā</t>
  </si>
  <si>
    <t xml:space="preserve">upadhā</t>
  </si>
  <si>
    <t xml:space="preserve">avadhā</t>
  </si>
  <si>
    <t xml:space="preserve">tirodhā</t>
  </si>
  <si>
    <t xml:space="preserve">abhisaṁdhā</t>
  </si>
  <si>
    <t xml:space="preserve">apidhā</t>
  </si>
  <si>
    <t xml:space="preserve">saṁvidhā</t>
  </si>
  <si>
    <t xml:space="preserve">upasamādhā</t>
  </si>
  <si>
    <t xml:space="preserve">abhiśraddhā</t>
  </si>
  <si>
    <t xml:space="preserve">anuvidhā</t>
  </si>
  <si>
    <t xml:space="preserve">vinidhā</t>
  </si>
  <si>
    <t xml:space="preserve">vyavadhā</t>
  </si>
  <si>
    <t xml:space="preserve">upasaṁdhā</t>
  </si>
  <si>
    <t xml:space="preserve">pratividhā</t>
  </si>
  <si>
    <t xml:space="preserve">anusaṁdhā</t>
  </si>
  <si>
    <t xml:space="preserve">pratidhā</t>
  </si>
  <si>
    <t xml:space="preserve">purodhā</t>
  </si>
  <si>
    <t xml:space="preserve">abhyādhā</t>
  </si>
  <si>
    <t xml:space="preserve">upādhā</t>
  </si>
  <si>
    <t xml:space="preserve">upanidhā</t>
  </si>
  <si>
    <t xml:space="preserve">samabhidhā</t>
  </si>
  <si>
    <t xml:space="preserve">atisaṁdhā</t>
  </si>
  <si>
    <t xml:space="preserve">pravidhā</t>
  </si>
  <si>
    <t xml:space="preserve">anvādhā</t>
  </si>
  <si>
    <t xml:space="preserve">prapidhā</t>
  </si>
  <si>
    <t xml:space="preserve">pratisaṁdhā</t>
  </si>
  <si>
    <t xml:space="preserve">abhinidhā</t>
  </si>
  <si>
    <t xml:space="preserve">adhyādhā</t>
  </si>
  <si>
    <t xml:space="preserve">pratisamādhā</t>
  </si>
  <si>
    <t xml:space="preserve">viparidhā</t>
  </si>
  <si>
    <t xml:space="preserve">adhinidhā</t>
  </si>
  <si>
    <t xml:space="preserve">nirādhā</t>
  </si>
  <si>
    <t xml:space="preserve">paryādhā</t>
  </si>
  <si>
    <t xml:space="preserve">adhidhā</t>
  </si>
  <si>
    <t xml:space="preserve">vyādhā</t>
  </si>
  <si>
    <t xml:space="preserve">adhisaṁdhā</t>
  </si>
  <si>
    <t xml:space="preserve">atidhā</t>
  </si>
  <si>
    <t xml:space="preserve">avanidhā</t>
  </si>
  <si>
    <t xml:space="preserve">pradhā</t>
  </si>
  <si>
    <t xml:space="preserve">prasaṁdhā</t>
  </si>
  <si>
    <t xml:space="preserve">pratinidhā</t>
  </si>
  <si>
    <t xml:space="preserve">pratyabhidhā</t>
  </si>
  <si>
    <t xml:space="preserve">pratyapidhā</t>
  </si>
  <si>
    <t xml:space="preserve">samabhisaṁdhā</t>
  </si>
  <si>
    <t xml:space="preserve">uddhā</t>
  </si>
  <si>
    <t xml:space="preserve">abhisamādhā</t>
  </si>
  <si>
    <t xml:space="preserve">abhyavadhā</t>
  </si>
  <si>
    <t xml:space="preserve">anudhā</t>
  </si>
  <si>
    <t xml:space="preserve">anuparyādhā</t>
  </si>
  <si>
    <t xml:space="preserve">anvavadhā</t>
  </si>
  <si>
    <t xml:space="preserve">apādhā</t>
  </si>
  <si>
    <t xml:space="preserve">āvirdhā</t>
  </si>
  <si>
    <t xml:space="preserve">saṁśraddhā</t>
  </si>
  <si>
    <t xml:space="preserve">saṁpidhā</t>
  </si>
  <si>
    <t xml:space="preserve">sampraṇidhā</t>
  </si>
  <si>
    <t xml:space="preserve">udādhā</t>
  </si>
  <si>
    <t xml:space="preserve">uparinidhā</t>
  </si>
  <si>
    <t xml:space="preserve">nirdhe</t>
  </si>
  <si>
    <t xml:space="preserve">abhiparyādhā</t>
  </si>
  <si>
    <t xml:space="preserve">abhividhā</t>
  </si>
  <si>
    <t xml:space="preserve">abhyupadhā</t>
  </si>
  <si>
    <t xml:space="preserve">anūpadhā</t>
  </si>
  <si>
    <t xml:space="preserve">anūddhā</t>
  </si>
  <si>
    <t xml:space="preserve">antarādhā</t>
  </si>
  <si>
    <t xml:space="preserve">anupratidhā</t>
  </si>
  <si>
    <t xml:space="preserve">anusamādhā</t>
  </si>
  <si>
    <t xml:space="preserve">apadhā</t>
  </si>
  <si>
    <t xml:space="preserve">apanidhā</t>
  </si>
  <si>
    <t xml:space="preserve">atividhā</t>
  </si>
  <si>
    <t xml:space="preserve">atyādhā</t>
  </si>
  <si>
    <t xml:space="preserve">atyuddhā</t>
  </si>
  <si>
    <t xml:space="preserve">adhividhā</t>
  </si>
  <si>
    <t xml:space="preserve">nirdhā</t>
  </si>
  <si>
    <t xml:space="preserve">nyādhā</t>
  </si>
  <si>
    <t xml:space="preserve">pariṇidhā</t>
  </si>
  <si>
    <t xml:space="preserve">pratyavadhā</t>
  </si>
  <si>
    <t xml:space="preserve">pratyupadhā</t>
  </si>
  <si>
    <t xml:space="preserve">pratyupādhā</t>
  </si>
  <si>
    <t xml:space="preserve">samapidhā</t>
  </si>
  <si>
    <t xml:space="preserve">samavadhā</t>
  </si>
  <si>
    <t xml:space="preserve">samupadhā</t>
  </si>
  <si>
    <t xml:space="preserve">unnidhā</t>
  </si>
  <si>
    <t xml:space="preserve">upāvadhā</t>
  </si>
  <si>
    <t xml:space="preserve">upopadhā</t>
  </si>
  <si>
    <t xml:space="preserve">vyanudhā</t>
  </si>
  <si>
    <t xml:space="preserve">niravadhā</t>
  </si>
  <si>
    <t xml:space="preserve">srāvay</t>
  </si>
  <si>
    <t xml:space="preserve">visrāvay</t>
  </si>
  <si>
    <t xml:space="preserve">parisrāvay</t>
  </si>
  <si>
    <t xml:space="preserve">āsrāvay</t>
  </si>
  <si>
    <t xml:space="preserve">saṁsrāvay</t>
  </si>
  <si>
    <t xml:space="preserve">niḥsrāvay</t>
  </si>
  <si>
    <t xml:space="preserve">avasrāvay</t>
  </si>
  <si>
    <t xml:space="preserve">prasrāvay</t>
  </si>
  <si>
    <t xml:space="preserve">apasrāvay</t>
  </si>
  <si>
    <t xml:space="preserve">nisrāvay</t>
  </si>
  <si>
    <t xml:space="preserve">anvavasrāvay</t>
  </si>
  <si>
    <t xml:space="preserve">aṭ</t>
  </si>
  <si>
    <t xml:space="preserve">paryaṭ</t>
  </si>
  <si>
    <t xml:space="preserve">īr</t>
  </si>
  <si>
    <t xml:space="preserve">udīr</t>
  </si>
  <si>
    <t xml:space="preserve">samudīr</t>
  </si>
  <si>
    <t xml:space="preserve">er</t>
  </si>
  <si>
    <t xml:space="preserve">prer</t>
  </si>
  <si>
    <t xml:space="preserve">abhyudīr</t>
  </si>
  <si>
    <t xml:space="preserve">nyer</t>
  </si>
  <si>
    <t xml:space="preserve">samīr</t>
  </si>
  <si>
    <t xml:space="preserve">pratyudīr</t>
  </si>
  <si>
    <t xml:space="preserve">samabhyudīr</t>
  </si>
  <si>
    <t xml:space="preserve">samer</t>
  </si>
  <si>
    <t xml:space="preserve">samprer</t>
  </si>
  <si>
    <t xml:space="preserve">vraśc</t>
  </si>
  <si>
    <t xml:space="preserve">vivraśc</t>
  </si>
  <si>
    <t xml:space="preserve">āvraśc</t>
  </si>
  <si>
    <t xml:space="preserve">pravraśc</t>
  </si>
  <si>
    <t xml:space="preserve">anuvraśc</t>
  </si>
  <si>
    <t xml:space="preserve">apivraśc</t>
  </si>
  <si>
    <t xml:space="preserve">avavraśc</t>
  </si>
  <si>
    <t xml:space="preserve">nivraśc</t>
  </si>
  <si>
    <t xml:space="preserve">nirvraśc</t>
  </si>
  <si>
    <t xml:space="preserve">parivraśc</t>
  </si>
  <si>
    <t xml:space="preserve">saṁvraśc</t>
  </si>
  <si>
    <t xml:space="preserve">kṣud</t>
  </si>
  <si>
    <t xml:space="preserve">saṁkṣud</t>
  </si>
  <si>
    <t xml:space="preserve">avakṣud</t>
  </si>
  <si>
    <t xml:space="preserve">prakṣud</t>
  </si>
  <si>
    <t xml:space="preserve">bubhūṣ</t>
  </si>
  <si>
    <t xml:space="preserve">anububhūṣ</t>
  </si>
  <si>
    <t xml:space="preserve">prodbubhūṣ</t>
  </si>
  <si>
    <t xml:space="preserve">ūh</t>
  </si>
  <si>
    <t xml:space="preserve">vyūh</t>
  </si>
  <si>
    <t xml:space="preserve">vyapoh</t>
  </si>
  <si>
    <t xml:space="preserve">apoh</t>
  </si>
  <si>
    <t xml:space="preserve">nirūh</t>
  </si>
  <si>
    <t xml:space="preserve">prativyūh</t>
  </si>
  <si>
    <t xml:space="preserve">parisamūh</t>
  </si>
  <si>
    <t xml:space="preserve">pratyūh</t>
  </si>
  <si>
    <t xml:space="preserve">proh</t>
  </si>
  <si>
    <t xml:space="preserve">adhyūh</t>
  </si>
  <si>
    <t xml:space="preserve">samūh</t>
  </si>
  <si>
    <t xml:space="preserve">abhyūh</t>
  </si>
  <si>
    <t xml:space="preserve">udūh</t>
  </si>
  <si>
    <t xml:space="preserve">paryūh</t>
  </si>
  <si>
    <t xml:space="preserve">abhisamūh</t>
  </si>
  <si>
    <t xml:space="preserve">anuvyūh</t>
  </si>
  <si>
    <t xml:space="preserve">avāpoh</t>
  </si>
  <si>
    <t xml:space="preserve">nyūh</t>
  </si>
  <si>
    <t xml:space="preserve">nirvyūh</t>
  </si>
  <si>
    <t xml:space="preserve">samabhyūh</t>
  </si>
  <si>
    <t xml:space="preserve">upoh</t>
  </si>
  <si>
    <t xml:space="preserve">abhyudūh</t>
  </si>
  <si>
    <t xml:space="preserve">apodūh</t>
  </si>
  <si>
    <t xml:space="preserve">atyūh</t>
  </si>
  <si>
    <t xml:space="preserve">avoh</t>
  </si>
  <si>
    <t xml:space="preserve">upasamūh</t>
  </si>
  <si>
    <t xml:space="preserve">abhiparyūh</t>
  </si>
  <si>
    <t xml:space="preserve">cyāvay</t>
  </si>
  <si>
    <t xml:space="preserve">praccyāvay</t>
  </si>
  <si>
    <t xml:space="preserve">saṁcyāvay</t>
  </si>
  <si>
    <t xml:space="preserve">uccyāvay</t>
  </si>
  <si>
    <t xml:space="preserve">ācyāvay</t>
  </si>
  <si>
    <t xml:space="preserve">sampracyāvay</t>
  </si>
  <si>
    <t xml:space="preserve">vicyāvay</t>
  </si>
  <si>
    <t xml:space="preserve">mih</t>
  </si>
  <si>
    <t xml:space="preserve">pramih</t>
  </si>
  <si>
    <t xml:space="preserve">nimih</t>
  </si>
  <si>
    <t xml:space="preserve">pratimih</t>
  </si>
  <si>
    <t xml:space="preserve">abhimih</t>
  </si>
  <si>
    <t xml:space="preserve">adhimih</t>
  </si>
  <si>
    <t xml:space="preserve">avamih</t>
  </si>
  <si>
    <t xml:space="preserve">syand</t>
  </si>
  <si>
    <t xml:space="preserve">abhiṣyand</t>
  </si>
  <si>
    <t xml:space="preserve">viṣyand</t>
  </si>
  <si>
    <t xml:space="preserve">prasyand</t>
  </si>
  <si>
    <t xml:space="preserve">abhiviṣyand</t>
  </si>
  <si>
    <t xml:space="preserve">anuṣyand</t>
  </si>
  <si>
    <t xml:space="preserve">pariprasyand</t>
  </si>
  <si>
    <t xml:space="preserve">āsyand</t>
  </si>
  <si>
    <t xml:space="preserve">abhinisyand</t>
  </si>
  <si>
    <t xml:space="preserve">abhyavasyand</t>
  </si>
  <si>
    <t xml:space="preserve">anusaṁsyand</t>
  </si>
  <si>
    <t xml:space="preserve">anuviṣyand</t>
  </si>
  <si>
    <t xml:space="preserve">avasyand</t>
  </si>
  <si>
    <t xml:space="preserve">nisyand</t>
  </si>
  <si>
    <t xml:space="preserve">niḥsyand</t>
  </si>
  <si>
    <t xml:space="preserve">saṁsyand</t>
  </si>
  <si>
    <t xml:space="preserve">jugups</t>
  </si>
  <si>
    <t xml:space="preserve">vijugups</t>
  </si>
  <si>
    <t xml:space="preserve">ājugups</t>
  </si>
  <si>
    <t xml:space="preserve">pratijugups</t>
  </si>
  <si>
    <t xml:space="preserve">gṛdh</t>
  </si>
  <si>
    <t xml:space="preserve">pratigṛdh</t>
  </si>
  <si>
    <t xml:space="preserve">abhigṛdh</t>
  </si>
  <si>
    <t xml:space="preserve">anugṛdh</t>
  </si>
  <si>
    <t xml:space="preserve">parigṛdh</t>
  </si>
  <si>
    <t xml:space="preserve">saṁgṛdh</t>
  </si>
  <si>
    <t xml:space="preserve">kam</t>
  </si>
  <si>
    <t xml:space="preserve">ākam</t>
  </si>
  <si>
    <t xml:space="preserve">abhikam</t>
  </si>
  <si>
    <t xml:space="preserve">nikam</t>
  </si>
  <si>
    <t xml:space="preserve">tulay</t>
  </si>
  <si>
    <t xml:space="preserve">avatulay</t>
  </si>
  <si>
    <t xml:space="preserve">las</t>
  </si>
  <si>
    <t xml:space="preserve">vilas</t>
  </si>
  <si>
    <t xml:space="preserve">ullas</t>
  </si>
  <si>
    <t xml:space="preserve">samullas</t>
  </si>
  <si>
    <t xml:space="preserve">prollas</t>
  </si>
  <si>
    <t xml:space="preserve">pravilas</t>
  </si>
  <si>
    <t xml:space="preserve">abhyullas</t>
  </si>
  <si>
    <t xml:space="preserve">bṛṁhay</t>
  </si>
  <si>
    <t xml:space="preserve">upabṛṁhay</t>
  </si>
  <si>
    <t xml:space="preserve">paribṛṁhay</t>
  </si>
  <si>
    <t xml:space="preserve">saṁbṛṁhay</t>
  </si>
  <si>
    <t xml:space="preserve">samupabṛhay</t>
  </si>
  <si>
    <t xml:space="preserve">cetay</t>
  </si>
  <si>
    <t xml:space="preserve">saṁcetay</t>
  </si>
  <si>
    <t xml:space="preserve">pracetay</t>
  </si>
  <si>
    <t xml:space="preserve">gāh</t>
  </si>
  <si>
    <t xml:space="preserve">avagāh</t>
  </si>
  <si>
    <t xml:space="preserve">vigāh</t>
  </si>
  <si>
    <t xml:space="preserve">atigāh</t>
  </si>
  <si>
    <t xml:space="preserve">pravigāh</t>
  </si>
  <si>
    <t xml:space="preserve">vyavagāh</t>
  </si>
  <si>
    <t xml:space="preserve">saṁgāh</t>
  </si>
  <si>
    <t xml:space="preserve">sampragāh</t>
  </si>
  <si>
    <t xml:space="preserve">abhivigāh</t>
  </si>
  <si>
    <t xml:space="preserve">abhyavagāh</t>
  </si>
  <si>
    <t xml:space="preserve">anugāh</t>
  </si>
  <si>
    <t xml:space="preserve">pragāh</t>
  </si>
  <si>
    <t xml:space="preserve">prativigāh</t>
  </si>
  <si>
    <t xml:space="preserve">samavagāh</t>
  </si>
  <si>
    <t xml:space="preserve">saṁpravigāh</t>
  </si>
  <si>
    <t xml:space="preserve">saṁvigāh</t>
  </si>
  <si>
    <t xml:space="preserve">abhigāh</t>
  </si>
  <si>
    <t xml:space="preserve">abhipragāh</t>
  </si>
  <si>
    <t xml:space="preserve">pratigāh</t>
  </si>
  <si>
    <t xml:space="preserve">upagāh</t>
  </si>
  <si>
    <t xml:space="preserve">udgāh</t>
  </si>
  <si>
    <t xml:space="preserve">khyāpay</t>
  </si>
  <si>
    <t xml:space="preserve">vikhyāpay</t>
  </si>
  <si>
    <t xml:space="preserve">prakhyāpay</t>
  </si>
  <si>
    <t xml:space="preserve">abhikhyāpay</t>
  </si>
  <si>
    <t xml:space="preserve">saṁkhyāpay</t>
  </si>
  <si>
    <t xml:space="preserve">ākhyāpay</t>
  </si>
  <si>
    <t xml:space="preserve">vyākhyāpay</t>
  </si>
  <si>
    <t xml:space="preserve">avakhyāpay</t>
  </si>
  <si>
    <t xml:space="preserve">anusaṁkhyāpay</t>
  </si>
  <si>
    <t xml:space="preserve">lū</t>
  </si>
  <si>
    <t xml:space="preserve">vilū</t>
  </si>
  <si>
    <t xml:space="preserve">nirlū</t>
  </si>
  <si>
    <t xml:space="preserve">ālū</t>
  </si>
  <si>
    <t xml:space="preserve">pralū</t>
  </si>
  <si>
    <t xml:space="preserve">pratilū</t>
  </si>
  <si>
    <t xml:space="preserve">ullū</t>
  </si>
  <si>
    <t xml:space="preserve">vyatilū</t>
  </si>
  <si>
    <t xml:space="preserve">glā</t>
  </si>
  <si>
    <t xml:space="preserve">pariglā</t>
  </si>
  <si>
    <t xml:space="preserve">avaglā</t>
  </si>
  <si>
    <t xml:space="preserve">abhipariglā</t>
  </si>
  <si>
    <t xml:space="preserve">praglā</t>
  </si>
  <si>
    <t xml:space="preserve">gopay</t>
  </si>
  <si>
    <t xml:space="preserve">nigopay</t>
  </si>
  <si>
    <t xml:space="preserve">pragopay</t>
  </si>
  <si>
    <t xml:space="preserve">saṁgopay</t>
  </si>
  <si>
    <t xml:space="preserve">dāhay</t>
  </si>
  <si>
    <t xml:space="preserve">saṁdāhay</t>
  </si>
  <si>
    <t xml:space="preserve">paridāhay</t>
  </si>
  <si>
    <t xml:space="preserve">nirdāhay</t>
  </si>
  <si>
    <t xml:space="preserve">khaṇḍay</t>
  </si>
  <si>
    <t xml:space="preserve">parikhaṇḍay</t>
  </si>
  <si>
    <t xml:space="preserve">vikhaṇḍay</t>
  </si>
  <si>
    <t xml:space="preserve">avakhaṇḍay</t>
  </si>
  <si>
    <t xml:space="preserve">lehay</t>
  </si>
  <si>
    <t xml:space="preserve">avalehay</t>
  </si>
  <si>
    <t xml:space="preserve">pratilehay</t>
  </si>
  <si>
    <t xml:space="preserve">rakṣay</t>
  </si>
  <si>
    <t xml:space="preserve">saṁrakṣay</t>
  </si>
  <si>
    <t xml:space="preserve">surakṣay</t>
  </si>
  <si>
    <t xml:space="preserve">devay</t>
  </si>
  <si>
    <t xml:space="preserve">paridevay</t>
  </si>
  <si>
    <t xml:space="preserve">pṛc</t>
  </si>
  <si>
    <t xml:space="preserve">sampṛc</t>
  </si>
  <si>
    <t xml:space="preserve">āpṛc</t>
  </si>
  <si>
    <t xml:space="preserve">anupṛc</t>
  </si>
  <si>
    <t xml:space="preserve">niṣpṛc</t>
  </si>
  <si>
    <t xml:space="preserve">vipṛc</t>
  </si>
  <si>
    <t xml:space="preserve">avapṛc</t>
  </si>
  <si>
    <t xml:space="preserve">prapṛc</t>
  </si>
  <si>
    <t xml:space="preserve">upapṛc</t>
  </si>
  <si>
    <t xml:space="preserve">apipṛc</t>
  </si>
  <si>
    <t xml:space="preserve">ru</t>
  </si>
  <si>
    <t xml:space="preserve">viru</t>
  </si>
  <si>
    <t xml:space="preserve">abhiru</t>
  </si>
  <si>
    <t xml:space="preserve">saṁru</t>
  </si>
  <si>
    <t xml:space="preserve">uparu</t>
  </si>
  <si>
    <t xml:space="preserve">āru</t>
  </si>
  <si>
    <t xml:space="preserve">anuru</t>
  </si>
  <si>
    <t xml:space="preserve">praru</t>
  </si>
  <si>
    <t xml:space="preserve">pratiru</t>
  </si>
  <si>
    <t xml:space="preserve">tarkay</t>
  </si>
  <si>
    <t xml:space="preserve">vitarkay</t>
  </si>
  <si>
    <t xml:space="preserve">pratarkay</t>
  </si>
  <si>
    <t xml:space="preserve">paritarkay</t>
  </si>
  <si>
    <t xml:space="preserve">saṁtarkay</t>
  </si>
  <si>
    <t xml:space="preserve">anutarkay</t>
  </si>
  <si>
    <t xml:space="preserve">pratitarkay</t>
  </si>
  <si>
    <t xml:space="preserve">saṁvitarkay</t>
  </si>
  <si>
    <t xml:space="preserve">sampratarkay</t>
  </si>
  <si>
    <t xml:space="preserve">du</t>
  </si>
  <si>
    <t xml:space="preserve">vidu</t>
  </si>
  <si>
    <t xml:space="preserve">pradu</t>
  </si>
  <si>
    <t xml:space="preserve">paridu</t>
  </si>
  <si>
    <t xml:space="preserve">abhidu</t>
  </si>
  <si>
    <t xml:space="preserve">ādu</t>
  </si>
  <si>
    <t xml:space="preserve">cumb</t>
  </si>
  <si>
    <t xml:space="preserve">paricumb</t>
  </si>
  <si>
    <t xml:space="preserve">ācumb</t>
  </si>
  <si>
    <t xml:space="preserve">abhicumb</t>
  </si>
  <si>
    <t xml:space="preserve">praticumb</t>
  </si>
  <si>
    <t xml:space="preserve">uccumb</t>
  </si>
  <si>
    <t xml:space="preserve">vicumb</t>
  </si>
  <si>
    <t xml:space="preserve">lips</t>
  </si>
  <si>
    <t xml:space="preserve">upalips</t>
  </si>
  <si>
    <t xml:space="preserve">abhilips</t>
  </si>
  <si>
    <t xml:space="preserve">jijñās</t>
  </si>
  <si>
    <t xml:space="preserve">vijijiñās</t>
  </si>
  <si>
    <t xml:space="preserve">prajijñās</t>
  </si>
  <si>
    <t xml:space="preserve">upajijñās</t>
  </si>
  <si>
    <t xml:space="preserve">kutsay</t>
  </si>
  <si>
    <t xml:space="preserve">vikutsay</t>
  </si>
  <si>
    <t xml:space="preserve">parikutsay</t>
  </si>
  <si>
    <t xml:space="preserve">avakutsay</t>
  </si>
  <si>
    <t xml:space="preserve">jū</t>
  </si>
  <si>
    <t xml:space="preserve">prajū</t>
  </si>
  <si>
    <t xml:space="preserve">skand</t>
  </si>
  <si>
    <t xml:space="preserve">praskand</t>
  </si>
  <si>
    <t xml:space="preserve">avaskand</t>
  </si>
  <si>
    <t xml:space="preserve">āskand</t>
  </si>
  <si>
    <t xml:space="preserve">abhyavaskand</t>
  </si>
  <si>
    <t xml:space="preserve">abhiskand</t>
  </si>
  <si>
    <t xml:space="preserve">atiṣkand</t>
  </si>
  <si>
    <t xml:space="preserve">adhiṣkand</t>
  </si>
  <si>
    <t xml:space="preserve">pariṣkand</t>
  </si>
  <si>
    <t xml:space="preserve">abhipraskand</t>
  </si>
  <si>
    <t xml:space="preserve">pratyavaskand</t>
  </si>
  <si>
    <t xml:space="preserve">saṁskand</t>
  </si>
  <si>
    <t xml:space="preserve">samāskand</t>
  </si>
  <si>
    <t xml:space="preserve">utkand</t>
  </si>
  <si>
    <t xml:space="preserve">marṣay</t>
  </si>
  <si>
    <t xml:space="preserve">āmarṣay</t>
  </si>
  <si>
    <t xml:space="preserve">abhimarṣay</t>
  </si>
  <si>
    <t xml:space="preserve">avamarṣay</t>
  </si>
  <si>
    <t xml:space="preserve">upamarṣay</t>
  </si>
  <si>
    <t xml:space="preserve">yu</t>
  </si>
  <si>
    <t xml:space="preserve">saṁyu</t>
  </si>
  <si>
    <t xml:space="preserve">viyu</t>
  </si>
  <si>
    <t xml:space="preserve">āyu</t>
  </si>
  <si>
    <t xml:space="preserve">niyu</t>
  </si>
  <si>
    <t xml:space="preserve">abhyāyu</t>
  </si>
  <si>
    <t xml:space="preserve">avayu</t>
  </si>
  <si>
    <t xml:space="preserve">upasaṁyu</t>
  </si>
  <si>
    <t xml:space="preserve">niryu</t>
  </si>
  <si>
    <t xml:space="preserve">pratiyu</t>
  </si>
  <si>
    <t xml:space="preserve">udāyu</t>
  </si>
  <si>
    <t xml:space="preserve">apayu</t>
  </si>
  <si>
    <t xml:space="preserve">vyatiyu</t>
  </si>
  <si>
    <t xml:space="preserve">nah</t>
  </si>
  <si>
    <t xml:space="preserve">saṁnah</t>
  </si>
  <si>
    <t xml:space="preserve">avanah</t>
  </si>
  <si>
    <t xml:space="preserve">ānah</t>
  </si>
  <si>
    <t xml:space="preserve">pinah</t>
  </si>
  <si>
    <t xml:space="preserve">paryavanah</t>
  </si>
  <si>
    <t xml:space="preserve">unnah</t>
  </si>
  <si>
    <t xml:space="preserve">apinah</t>
  </si>
  <si>
    <t xml:space="preserve">upanah</t>
  </si>
  <si>
    <t xml:space="preserve">samunnah</t>
  </si>
  <si>
    <t xml:space="preserve">pariṇah</t>
  </si>
  <si>
    <t xml:space="preserve">vinah</t>
  </si>
  <si>
    <t xml:space="preserve">abhinah</t>
  </si>
  <si>
    <t xml:space="preserve">abhisaṁnah</t>
  </si>
  <si>
    <t xml:space="preserve">apanah</t>
  </si>
  <si>
    <t xml:space="preserve">ninah</t>
  </si>
  <si>
    <t xml:space="preserve">samupanah</t>
  </si>
  <si>
    <t xml:space="preserve">upasaṁnah</t>
  </si>
  <si>
    <t xml:space="preserve">paryāṇah</t>
  </si>
  <si>
    <t xml:space="preserve">pratyānah</t>
  </si>
  <si>
    <t xml:space="preserve">bhaṇ</t>
  </si>
  <si>
    <t xml:space="preserve">pratibhaṇ</t>
  </si>
  <si>
    <t xml:space="preserve">piṇḍay</t>
  </si>
  <si>
    <t xml:space="preserve">saṁpiṇḍay</t>
  </si>
  <si>
    <t xml:space="preserve">utpiṇḍay</t>
  </si>
  <si>
    <t xml:space="preserve">paripiṇḍay</t>
  </si>
  <si>
    <t xml:space="preserve">viniṣpiṇḍay</t>
  </si>
  <si>
    <t xml:space="preserve">mudray</t>
  </si>
  <si>
    <t xml:space="preserve">unmudray</t>
  </si>
  <si>
    <t xml:space="preserve">vimudray</t>
  </si>
  <si>
    <t xml:space="preserve">saṁmudray</t>
  </si>
  <si>
    <t xml:space="preserve">parimudray</t>
  </si>
  <si>
    <t xml:space="preserve">nirmudray</t>
  </si>
  <si>
    <t xml:space="preserve">mī</t>
  </si>
  <si>
    <t xml:space="preserve">pramī</t>
  </si>
  <si>
    <t xml:space="preserve">āmī</t>
  </si>
  <si>
    <t xml:space="preserve">prīṇay</t>
  </si>
  <si>
    <t xml:space="preserve">saṁprīṇay</t>
  </si>
  <si>
    <t xml:space="preserve">abhiprīṇay</t>
  </si>
  <si>
    <t xml:space="preserve">miṣ</t>
  </si>
  <si>
    <t xml:space="preserve">unmiṣ</t>
  </si>
  <si>
    <t xml:space="preserve">nimiṣ</t>
  </si>
  <si>
    <t xml:space="preserve">pronmiṣ</t>
  </si>
  <si>
    <t xml:space="preserve">samunmiṣ</t>
  </si>
  <si>
    <t xml:space="preserve">pratyunmiṣ</t>
  </si>
  <si>
    <t xml:space="preserve">mlā</t>
  </si>
  <si>
    <t xml:space="preserve">parimlā</t>
  </si>
  <si>
    <t xml:space="preserve">pramlā</t>
  </si>
  <si>
    <t xml:space="preserve">āmlā</t>
  </si>
  <si>
    <t xml:space="preserve">abhimlā</t>
  </si>
  <si>
    <t xml:space="preserve">vimlā</t>
  </si>
  <si>
    <t xml:space="preserve">śīlay</t>
  </si>
  <si>
    <t xml:space="preserve">pariśīlay</t>
  </si>
  <si>
    <t xml:space="preserve">anuśīlay</t>
  </si>
  <si>
    <t xml:space="preserve">saṁśīlay</t>
  </si>
  <si>
    <t xml:space="preserve">atiśīlay</t>
  </si>
  <si>
    <t xml:space="preserve">vas</t>
  </si>
  <si>
    <t xml:space="preserve">upavas</t>
  </si>
  <si>
    <t xml:space="preserve">prativas</t>
  </si>
  <si>
    <t xml:space="preserve">adhivas</t>
  </si>
  <si>
    <t xml:space="preserve">āvas</t>
  </si>
  <si>
    <t xml:space="preserve">vivas</t>
  </si>
  <si>
    <t xml:space="preserve">adhyāvas</t>
  </si>
  <si>
    <t xml:space="preserve">vipravas</t>
  </si>
  <si>
    <t xml:space="preserve">samupavas</t>
  </si>
  <si>
    <t xml:space="preserve">anuvas</t>
  </si>
  <si>
    <t xml:space="preserve">nirvas</t>
  </si>
  <si>
    <t xml:space="preserve">nivas</t>
  </si>
  <si>
    <t xml:space="preserve">parivas</t>
  </si>
  <si>
    <t xml:space="preserve">samāvas</t>
  </si>
  <si>
    <t xml:space="preserve">saṁnivas</t>
  </si>
  <si>
    <t xml:space="preserve">upāvas</t>
  </si>
  <si>
    <t xml:space="preserve">nirvivas</t>
  </si>
  <si>
    <t xml:space="preserve">pravas</t>
  </si>
  <si>
    <t xml:space="preserve">apavas</t>
  </si>
  <si>
    <t xml:space="preserve">abhisaṁvas</t>
  </si>
  <si>
    <t xml:space="preserve">adhinivas</t>
  </si>
  <si>
    <t xml:space="preserve">parāvas</t>
  </si>
  <si>
    <t xml:space="preserve">saṁvas</t>
  </si>
  <si>
    <t xml:space="preserve">udāvas</t>
  </si>
  <si>
    <t xml:space="preserve">udvas</t>
  </si>
  <si>
    <t xml:space="preserve">abhivivas</t>
  </si>
  <si>
    <t xml:space="preserve">antarvas</t>
  </si>
  <si>
    <t xml:space="preserve">adhisaṁvas</t>
  </si>
  <si>
    <t xml:space="preserve">samanuvas</t>
  </si>
  <si>
    <t xml:space="preserve">abhivas</t>
  </si>
  <si>
    <t xml:space="preserve">parivivas</t>
  </si>
  <si>
    <t xml:space="preserve">jṛmbh</t>
  </si>
  <si>
    <t xml:space="preserve">vijṛmbh</t>
  </si>
  <si>
    <t xml:space="preserve">avajṛmbh</t>
  </si>
  <si>
    <t xml:space="preserve">parijṛmbh</t>
  </si>
  <si>
    <t xml:space="preserve">prajṛmbh</t>
  </si>
  <si>
    <t xml:space="preserve">pravijṛmbh</t>
  </si>
  <si>
    <t xml:space="preserve">samujjṛmbh</t>
  </si>
  <si>
    <t xml:space="preserve">ujjṛmbh</t>
  </si>
  <si>
    <t xml:space="preserve">abhijṛmbh</t>
  </si>
  <si>
    <t xml:space="preserve">saṁjṛmbh</t>
  </si>
  <si>
    <t xml:space="preserve">vyājṛmbh</t>
  </si>
  <si>
    <t xml:space="preserve">yantray</t>
  </si>
  <si>
    <t xml:space="preserve">niyantray</t>
  </si>
  <si>
    <t xml:space="preserve">anuyantray</t>
  </si>
  <si>
    <t xml:space="preserve">atiyantray</t>
  </si>
  <si>
    <t xml:space="preserve">pariyantray</t>
  </si>
  <si>
    <t xml:space="preserve">viniyantray</t>
  </si>
  <si>
    <t xml:space="preserve">klam</t>
  </si>
  <si>
    <t xml:space="preserve">pariklam</t>
  </si>
  <si>
    <t xml:space="preserve">viklam</t>
  </si>
  <si>
    <t xml:space="preserve">recay</t>
  </si>
  <si>
    <t xml:space="preserve">virecay</t>
  </si>
  <si>
    <t xml:space="preserve">ativirecay</t>
  </si>
  <si>
    <t xml:space="preserve">atirecay</t>
  </si>
  <si>
    <t xml:space="preserve">udrecay</t>
  </si>
  <si>
    <t xml:space="preserve">prarecay</t>
  </si>
  <si>
    <t xml:space="preserve">jakṣ</t>
  </si>
  <si>
    <t xml:space="preserve">vijakṣ</t>
  </si>
  <si>
    <t xml:space="preserve">bhikṣ</t>
  </si>
  <si>
    <t xml:space="preserve">anubhikṣ</t>
  </si>
  <si>
    <t xml:space="preserve">lup</t>
  </si>
  <si>
    <t xml:space="preserve">vilup</t>
  </si>
  <si>
    <t xml:space="preserve">avalup</t>
  </si>
  <si>
    <t xml:space="preserve">ullup</t>
  </si>
  <si>
    <t xml:space="preserve">vipralup</t>
  </si>
  <si>
    <t xml:space="preserve">apalup</t>
  </si>
  <si>
    <t xml:space="preserve">parilup</t>
  </si>
  <si>
    <t xml:space="preserve">pralup</t>
  </si>
  <si>
    <t xml:space="preserve">ālup</t>
  </si>
  <si>
    <t xml:space="preserve">nirlup</t>
  </si>
  <si>
    <t xml:space="preserve">pravilup</t>
  </si>
  <si>
    <t xml:space="preserve">vyālup</t>
  </si>
  <si>
    <t xml:space="preserve">abhilup</t>
  </si>
  <si>
    <t xml:space="preserve">anvavalup</t>
  </si>
  <si>
    <t xml:space="preserve">saṁlup</t>
  </si>
  <si>
    <t xml:space="preserve">sampralup</t>
  </si>
  <si>
    <t xml:space="preserve">pratilup</t>
  </si>
  <si>
    <t xml:space="preserve">samullup</t>
  </si>
  <si>
    <t xml:space="preserve">sūday</t>
  </si>
  <si>
    <t xml:space="preserve">niṣūday</t>
  </si>
  <si>
    <t xml:space="preserve">abhiṣūday</t>
  </si>
  <si>
    <t xml:space="preserve">prasūday</t>
  </si>
  <si>
    <t xml:space="preserve">saṁniṣūday</t>
  </si>
  <si>
    <t xml:space="preserve">viniṣūday</t>
  </si>
  <si>
    <t xml:space="preserve">kvāthay</t>
  </si>
  <si>
    <t xml:space="preserve">niṣkvāthay</t>
  </si>
  <si>
    <t xml:space="preserve">saṁkvāthay</t>
  </si>
  <si>
    <t xml:space="preserve">utkvāthay</t>
  </si>
  <si>
    <t xml:space="preserve">samutkvāthay</t>
  </si>
  <si>
    <t xml:space="preserve">prakvāthay</t>
  </si>
  <si>
    <t xml:space="preserve">vikvāthay</t>
  </si>
  <si>
    <t xml:space="preserve">cakṣ</t>
  </si>
  <si>
    <t xml:space="preserve">ācakṣ</t>
  </si>
  <si>
    <t xml:space="preserve">pracakṣ</t>
  </si>
  <si>
    <t xml:space="preserve">vyācakṣ</t>
  </si>
  <si>
    <t xml:space="preserve">samācakṣ</t>
  </si>
  <si>
    <t xml:space="preserve">vicakṣ</t>
  </si>
  <si>
    <t xml:space="preserve">paricakṣ</t>
  </si>
  <si>
    <t xml:space="preserve">abhicakṣ</t>
  </si>
  <si>
    <t xml:space="preserve">pratyācakṣ</t>
  </si>
  <si>
    <t xml:space="preserve">sampracakṣ</t>
  </si>
  <si>
    <t xml:space="preserve">saṁcakṣ</t>
  </si>
  <si>
    <t xml:space="preserve">praticakṣ</t>
  </si>
  <si>
    <t xml:space="preserve">avacakṣ</t>
  </si>
  <si>
    <t xml:space="preserve">nirācakṣ</t>
  </si>
  <si>
    <t xml:space="preserve">abhipracakṣ</t>
  </si>
  <si>
    <t xml:space="preserve">anucakṣ</t>
  </si>
  <si>
    <t xml:space="preserve">abhivicakṣ</t>
  </si>
  <si>
    <t xml:space="preserve">abhyācakṣ</t>
  </si>
  <si>
    <t xml:space="preserve">anvācakṣ</t>
  </si>
  <si>
    <t xml:space="preserve">parisaṁcakṣ</t>
  </si>
  <si>
    <t xml:space="preserve">prasaṁcakṣ</t>
  </si>
  <si>
    <t xml:space="preserve">pravicakṣ</t>
  </si>
  <si>
    <t xml:space="preserve">udācakṣ</t>
  </si>
  <si>
    <t xml:space="preserve">udvicakṣ</t>
  </si>
  <si>
    <t xml:space="preserve">pāray</t>
  </si>
  <si>
    <t xml:space="preserve">vyāpāray</t>
  </si>
  <si>
    <t xml:space="preserve">atipāray</t>
  </si>
  <si>
    <t xml:space="preserve">āpāray</t>
  </si>
  <si>
    <t xml:space="preserve">sampāray</t>
  </si>
  <si>
    <t xml:space="preserve">samutpāray</t>
  </si>
  <si>
    <t xml:space="preserve">utpāray</t>
  </si>
  <si>
    <t xml:space="preserve">pāṭay</t>
  </si>
  <si>
    <t xml:space="preserve">utpāṭay</t>
  </si>
  <si>
    <t xml:space="preserve">samutpāṭay</t>
  </si>
  <si>
    <t xml:space="preserve">vipāṭay</t>
  </si>
  <si>
    <t xml:space="preserve">āpāṭay</t>
  </si>
  <si>
    <t xml:space="preserve">avapāṭay</t>
  </si>
  <si>
    <t xml:space="preserve">paripāṭay</t>
  </si>
  <si>
    <t xml:space="preserve">prapāṭay</t>
  </si>
  <si>
    <t xml:space="preserve">vinipāṭay</t>
  </si>
  <si>
    <t xml:space="preserve">viniṣpāṭay</t>
  </si>
  <si>
    <t xml:space="preserve">mārg</t>
  </si>
  <si>
    <t xml:space="preserve">parimārg</t>
  </si>
  <si>
    <t xml:space="preserve">vimārg</t>
  </si>
  <si>
    <t xml:space="preserve">pratimārg</t>
  </si>
  <si>
    <t xml:space="preserve">māday</t>
  </si>
  <si>
    <t xml:space="preserve">unmāday</t>
  </si>
  <si>
    <t xml:space="preserve">pramāday</t>
  </si>
  <si>
    <t xml:space="preserve">nirmāday</t>
  </si>
  <si>
    <t xml:space="preserve">saṁmāday</t>
  </si>
  <si>
    <t xml:space="preserve">nimāday</t>
  </si>
  <si>
    <t xml:space="preserve">śliṣ</t>
  </si>
  <si>
    <t xml:space="preserve">āśliṣ</t>
  </si>
  <si>
    <t xml:space="preserve">saṁśliṣ</t>
  </si>
  <si>
    <t xml:space="preserve">samāśliṣ</t>
  </si>
  <si>
    <t xml:space="preserve">viśliṣ</t>
  </si>
  <si>
    <t xml:space="preserve">upaśliṣ</t>
  </si>
  <si>
    <t xml:space="preserve">atiśliṣ</t>
  </si>
  <si>
    <t xml:space="preserve">abhisaṁśliṣ</t>
  </si>
  <si>
    <t xml:space="preserve">upāśliṣ</t>
  </si>
  <si>
    <t xml:space="preserve">upasaṁśliṣ</t>
  </si>
  <si>
    <t xml:space="preserve">bhṛjj</t>
  </si>
  <si>
    <t xml:space="preserve">paribhṛjj</t>
  </si>
  <si>
    <t xml:space="preserve">nibhṛjj</t>
  </si>
  <si>
    <t xml:space="preserve">dhūpay</t>
  </si>
  <si>
    <t xml:space="preserve">vidhūpay</t>
  </si>
  <si>
    <t xml:space="preserve">nirdhūpay</t>
  </si>
  <si>
    <t xml:space="preserve">paridhūpay</t>
  </si>
  <si>
    <t xml:space="preserve">anudhūpay</t>
  </si>
  <si>
    <t xml:space="preserve">avadhūpay</t>
  </si>
  <si>
    <t xml:space="preserve">pradhūpay</t>
  </si>
  <si>
    <t xml:space="preserve">upadhūpay</t>
  </si>
  <si>
    <t xml:space="preserve">kvath</t>
  </si>
  <si>
    <t xml:space="preserve">utkvath</t>
  </si>
  <si>
    <t xml:space="preserve">prakvath</t>
  </si>
  <si>
    <t xml:space="preserve">parikvath</t>
  </si>
  <si>
    <t xml:space="preserve">dṛp</t>
  </si>
  <si>
    <t xml:space="preserve">pradṛp</t>
  </si>
  <si>
    <t xml:space="preserve">atidṛp</t>
  </si>
  <si>
    <t xml:space="preserve">bheday</t>
  </si>
  <si>
    <t xml:space="preserve">vibheday</t>
  </si>
  <si>
    <t xml:space="preserve">prabheday</t>
  </si>
  <si>
    <t xml:space="preserve">udbheday</t>
  </si>
  <si>
    <t xml:space="preserve">dīkṣ</t>
  </si>
  <si>
    <t xml:space="preserve">abhidīkṣ</t>
  </si>
  <si>
    <t xml:space="preserve">pradīkṣ</t>
  </si>
  <si>
    <t xml:space="preserve">plāvay</t>
  </si>
  <si>
    <t xml:space="preserve">āplāvay</t>
  </si>
  <si>
    <t xml:space="preserve">saṁplāvay</t>
  </si>
  <si>
    <t xml:space="preserve">pariplāvay</t>
  </si>
  <si>
    <t xml:space="preserve">abhiplāvay</t>
  </si>
  <si>
    <t xml:space="preserve">viplāvay</t>
  </si>
  <si>
    <t xml:space="preserve">samāplāvay</t>
  </si>
  <si>
    <t xml:space="preserve">utplāvay</t>
  </si>
  <si>
    <t xml:space="preserve">niṣplāvay</t>
  </si>
  <si>
    <t xml:space="preserve">paryāplāvay</t>
  </si>
  <si>
    <t xml:space="preserve">praplāvay</t>
  </si>
  <si>
    <t xml:space="preserve">upaplāvay</t>
  </si>
  <si>
    <t xml:space="preserve">ruṣ</t>
  </si>
  <si>
    <t xml:space="preserve">saṁpraruṣ</t>
  </si>
  <si>
    <t xml:space="preserve">viruṣ</t>
  </si>
  <si>
    <t xml:space="preserve">jinv</t>
  </si>
  <si>
    <t xml:space="preserve">ājinv</t>
  </si>
  <si>
    <t xml:space="preserve">prajinv</t>
  </si>
  <si>
    <t xml:space="preserve">upaprajinv</t>
  </si>
  <si>
    <t xml:space="preserve">dīpay</t>
  </si>
  <si>
    <t xml:space="preserve">pradīpay</t>
  </si>
  <si>
    <t xml:space="preserve">ādīpay</t>
  </si>
  <si>
    <t xml:space="preserve">vidīpay</t>
  </si>
  <si>
    <t xml:space="preserve">paridīpay</t>
  </si>
  <si>
    <t xml:space="preserve">uddīpay</t>
  </si>
  <si>
    <t xml:space="preserve">saṁdīpay</t>
  </si>
  <si>
    <t xml:space="preserve">sampradīpay</t>
  </si>
  <si>
    <t xml:space="preserve">upadīpay</t>
  </si>
  <si>
    <t xml:space="preserve">abhidīpay</t>
  </si>
  <si>
    <t xml:space="preserve">abhividīpay</t>
  </si>
  <si>
    <t xml:space="preserve">avadīpay</t>
  </si>
  <si>
    <t xml:space="preserve">samuddīpay</t>
  </si>
  <si>
    <t xml:space="preserve">vyādīpay</t>
  </si>
  <si>
    <t xml:space="preserve">tud</t>
  </si>
  <si>
    <t xml:space="preserve">vitud</t>
  </si>
  <si>
    <t xml:space="preserve">nistud</t>
  </si>
  <si>
    <t xml:space="preserve">pratud</t>
  </si>
  <si>
    <t xml:space="preserve">anutud</t>
  </si>
  <si>
    <t xml:space="preserve">anunitud</t>
  </si>
  <si>
    <t xml:space="preserve">ātud</t>
  </si>
  <si>
    <t xml:space="preserve">abhitud</t>
  </si>
  <si>
    <t xml:space="preserve">paritud</t>
  </si>
  <si>
    <t xml:space="preserve">nitud</t>
  </si>
  <si>
    <t xml:space="preserve">saṁtud</t>
  </si>
  <si>
    <t xml:space="preserve">uttud</t>
  </si>
  <si>
    <t xml:space="preserve">kṣudh</t>
  </si>
  <si>
    <t xml:space="preserve">vikṣudh</t>
  </si>
  <si>
    <t xml:space="preserve">kopay</t>
  </si>
  <si>
    <t xml:space="preserve">prakopay</t>
  </si>
  <si>
    <t xml:space="preserve">vikopay</t>
  </si>
  <si>
    <t xml:space="preserve">atikopay</t>
  </si>
  <si>
    <t xml:space="preserve">parikopay</t>
  </si>
  <si>
    <t xml:space="preserve">lal</t>
  </si>
  <si>
    <t xml:space="preserve">vilal</t>
  </si>
  <si>
    <t xml:space="preserve">ullal</t>
  </si>
  <si>
    <t xml:space="preserve">ghrā</t>
  </si>
  <si>
    <t xml:space="preserve">āghrā</t>
  </si>
  <si>
    <t xml:space="preserve">upāghrā</t>
  </si>
  <si>
    <t xml:space="preserve">upaghrā</t>
  </si>
  <si>
    <t xml:space="preserve">abhighrā</t>
  </si>
  <si>
    <t xml:space="preserve">samāghrā</t>
  </si>
  <si>
    <t xml:space="preserve">samupāghrā</t>
  </si>
  <si>
    <t xml:space="preserve">avaghrā</t>
  </si>
  <si>
    <t xml:space="preserve">praghrā</t>
  </si>
  <si>
    <t xml:space="preserve">atighrā</t>
  </si>
  <si>
    <t xml:space="preserve">nighrā</t>
  </si>
  <si>
    <t xml:space="preserve">parighrā</t>
  </si>
  <si>
    <t xml:space="preserve">samupaghrā</t>
  </si>
  <si>
    <t xml:space="preserve">vighrā</t>
  </si>
  <si>
    <t xml:space="preserve">anughrā</t>
  </si>
  <si>
    <t xml:space="preserve">vyāghrā</t>
  </si>
  <si>
    <t xml:space="preserve">kūj</t>
  </si>
  <si>
    <t xml:space="preserve">nikūj</t>
  </si>
  <si>
    <t xml:space="preserve">upakūj</t>
  </si>
  <si>
    <t xml:space="preserve">ākūj</t>
  </si>
  <si>
    <t xml:space="preserve">vikūj</t>
  </si>
  <si>
    <t xml:space="preserve">anukūj</t>
  </si>
  <si>
    <t xml:space="preserve">niṣkūj</t>
  </si>
  <si>
    <t xml:space="preserve">utkūj</t>
  </si>
  <si>
    <t xml:space="preserve">abhinikūj</t>
  </si>
  <si>
    <t xml:space="preserve">avakūj</t>
  </si>
  <si>
    <t xml:space="preserve">prakūj</t>
  </si>
  <si>
    <t xml:space="preserve">pratikūj</t>
  </si>
  <si>
    <t xml:space="preserve">abhikūj</t>
  </si>
  <si>
    <t xml:space="preserve">protkūj</t>
  </si>
  <si>
    <t xml:space="preserve">ghaṭ</t>
  </si>
  <si>
    <t xml:space="preserve">vighaṭ</t>
  </si>
  <si>
    <t xml:space="preserve">parighaṭ</t>
  </si>
  <si>
    <t xml:space="preserve">saṁghaṭ</t>
  </si>
  <si>
    <t xml:space="preserve">avaghaṭ</t>
  </si>
  <si>
    <t xml:space="preserve">udghaṭ</t>
  </si>
  <si>
    <t xml:space="preserve">praghaṭ</t>
  </si>
  <si>
    <t xml:space="preserve">dharṣay</t>
  </si>
  <si>
    <t xml:space="preserve">pradharṣay</t>
  </si>
  <si>
    <t xml:space="preserve">ādharṣay</t>
  </si>
  <si>
    <t xml:space="preserve">sampradharṣay</t>
  </si>
  <si>
    <t xml:space="preserve">vidharṣay</t>
  </si>
  <si>
    <t xml:space="preserve">abhidharṣay</t>
  </si>
  <si>
    <t xml:space="preserve">paridharṣay</t>
  </si>
  <si>
    <t xml:space="preserve">dīv</t>
  </si>
  <si>
    <t xml:space="preserve">paridīv</t>
  </si>
  <si>
    <t xml:space="preserve">pratidīv</t>
  </si>
  <si>
    <t xml:space="preserve">atidiv</t>
  </si>
  <si>
    <t xml:space="preserve">pradīv</t>
  </si>
  <si>
    <t xml:space="preserve">vidīv</t>
  </si>
  <si>
    <t xml:space="preserve">īh</t>
  </si>
  <si>
    <t xml:space="preserve">samīh</t>
  </si>
  <si>
    <t xml:space="preserve">pinv</t>
  </si>
  <si>
    <t xml:space="preserve">prapinv</t>
  </si>
  <si>
    <t xml:space="preserve">lajj</t>
  </si>
  <si>
    <t xml:space="preserve">vilajj</t>
  </si>
  <si>
    <t xml:space="preserve">saṁlajj</t>
  </si>
  <si>
    <t xml:space="preserve">stṛ</t>
  </si>
  <si>
    <t xml:space="preserve">vistṛ</t>
  </si>
  <si>
    <t xml:space="preserve">āstṛ</t>
  </si>
  <si>
    <t xml:space="preserve">paristṛ</t>
  </si>
  <si>
    <t xml:space="preserve">saṁstṛ</t>
  </si>
  <si>
    <t xml:space="preserve">upastṛ</t>
  </si>
  <si>
    <t xml:space="preserve">samāstṛ</t>
  </si>
  <si>
    <t xml:space="preserve">avastṛ</t>
  </si>
  <si>
    <t xml:space="preserve">samavastṛ</t>
  </si>
  <si>
    <t xml:space="preserve">prastṛ</t>
  </si>
  <si>
    <t xml:space="preserve">parisaṁstṛ</t>
  </si>
  <si>
    <t xml:space="preserve">abhistṛ</t>
  </si>
  <si>
    <t xml:space="preserve">abhiparistṛ</t>
  </si>
  <si>
    <t xml:space="preserve">abhivistṛ</t>
  </si>
  <si>
    <t xml:space="preserve">abhavastṛ</t>
  </si>
  <si>
    <t xml:space="preserve">nistṛ</t>
  </si>
  <si>
    <t xml:space="preserve">parivistṛ</t>
  </si>
  <si>
    <t xml:space="preserve">pravistṛ</t>
  </si>
  <si>
    <t xml:space="preserve">upāstṛ</t>
  </si>
  <si>
    <t xml:space="preserve">upavistṛ</t>
  </si>
  <si>
    <t xml:space="preserve">vinistṛ</t>
  </si>
  <si>
    <t xml:space="preserve">vyavastṛ</t>
  </si>
  <si>
    <t xml:space="preserve">abhiprastṛ</t>
  </si>
  <si>
    <t xml:space="preserve">anuprastṛ</t>
  </si>
  <si>
    <t xml:space="preserve">upaprastṛ</t>
  </si>
  <si>
    <t xml:space="preserve">rādh</t>
  </si>
  <si>
    <t xml:space="preserve">aparādh</t>
  </si>
  <si>
    <t xml:space="preserve">ārādh</t>
  </si>
  <si>
    <t xml:space="preserve">pratirādh</t>
  </si>
  <si>
    <t xml:space="preserve">avarādh</t>
  </si>
  <si>
    <t xml:space="preserve">prarādh</t>
  </si>
  <si>
    <t xml:space="preserve">upārādh</t>
  </si>
  <si>
    <t xml:space="preserve">virādh</t>
  </si>
  <si>
    <t xml:space="preserve">anurādh</t>
  </si>
  <si>
    <t xml:space="preserve">nū</t>
  </si>
  <si>
    <t xml:space="preserve">praṇū</t>
  </si>
  <si>
    <t xml:space="preserve">pariṇū</t>
  </si>
  <si>
    <t xml:space="preserve">saṁnū</t>
  </si>
  <si>
    <t xml:space="preserve">acchānu</t>
  </si>
  <si>
    <t xml:space="preserve">pratinū</t>
  </si>
  <si>
    <t xml:space="preserve">vāpay</t>
  </si>
  <si>
    <t xml:space="preserve">nirvāpay</t>
  </si>
  <si>
    <t xml:space="preserve">āvāpay</t>
  </si>
  <si>
    <t xml:space="preserve">parinirvāpay</t>
  </si>
  <si>
    <t xml:space="preserve">prativāpay</t>
  </si>
  <si>
    <t xml:space="preserve">samāvāpay</t>
  </si>
  <si>
    <t xml:space="preserve">pravāpay</t>
  </si>
  <si>
    <t xml:space="preserve">nivāpay</t>
  </si>
  <si>
    <t xml:space="preserve">parivāpay</t>
  </si>
  <si>
    <t xml:space="preserve">pratīvāpay</t>
  </si>
  <si>
    <t xml:space="preserve">avabhās</t>
  </si>
  <si>
    <t xml:space="preserve">ābhās</t>
  </si>
  <si>
    <t xml:space="preserve">prabhās</t>
  </si>
  <si>
    <t xml:space="preserve">pratibhās</t>
  </si>
  <si>
    <t xml:space="preserve">udbhās</t>
  </si>
  <si>
    <t xml:space="preserve">vibhās</t>
  </si>
  <si>
    <t xml:space="preserve">pratyavabhās</t>
  </si>
  <si>
    <t xml:space="preserve">nirbhās</t>
  </si>
  <si>
    <t xml:space="preserve">vyavabhās</t>
  </si>
  <si>
    <t xml:space="preserve">paribhās</t>
  </si>
  <si>
    <t xml:space="preserve">nand</t>
  </si>
  <si>
    <t xml:space="preserve">abhinand</t>
  </si>
  <si>
    <t xml:space="preserve">pratinand</t>
  </si>
  <si>
    <t xml:space="preserve">ānand</t>
  </si>
  <si>
    <t xml:space="preserve">pratyabhinand</t>
  </si>
  <si>
    <t xml:space="preserve">anunand</t>
  </si>
  <si>
    <t xml:space="preserve">parinand</t>
  </si>
  <si>
    <t xml:space="preserve">samabhinand</t>
  </si>
  <si>
    <t xml:space="preserve">sampratinand</t>
  </si>
  <si>
    <t xml:space="preserve">vinand</t>
  </si>
  <si>
    <t xml:space="preserve">sṛp</t>
  </si>
  <si>
    <t xml:space="preserve">upasṛp</t>
  </si>
  <si>
    <t xml:space="preserve">visṛp</t>
  </si>
  <si>
    <t xml:space="preserve">prasṛp</t>
  </si>
  <si>
    <t xml:space="preserve">apasṛp</t>
  </si>
  <si>
    <t xml:space="preserve">parisṛp</t>
  </si>
  <si>
    <t xml:space="preserve">saṁsṛp</t>
  </si>
  <si>
    <t xml:space="preserve">anusṛp</t>
  </si>
  <si>
    <t xml:space="preserve">utsṛp</t>
  </si>
  <si>
    <t xml:space="preserve">abhisṛp</t>
  </si>
  <si>
    <t xml:space="preserve">atisṛp</t>
  </si>
  <si>
    <t xml:space="preserve">samupasṛp</t>
  </si>
  <si>
    <t xml:space="preserve">niḥsṛp</t>
  </si>
  <si>
    <t xml:space="preserve">anuvisṛp</t>
  </si>
  <si>
    <t xml:space="preserve">vyapasṛp</t>
  </si>
  <si>
    <t xml:space="preserve">āsṛp</t>
  </si>
  <si>
    <t xml:space="preserve">avasṛp</t>
  </si>
  <si>
    <t xml:space="preserve">pratisṛp</t>
  </si>
  <si>
    <t xml:space="preserve">upodāsṛp</t>
  </si>
  <si>
    <t xml:space="preserve">pratyavasṛp</t>
  </si>
  <si>
    <t xml:space="preserve">pratyupasṛp</t>
  </si>
  <si>
    <t xml:space="preserve">samabhisṛp</t>
  </si>
  <si>
    <t xml:space="preserve">samadhisṛp</t>
  </si>
  <si>
    <t xml:space="preserve">samutsṛp</t>
  </si>
  <si>
    <t xml:space="preserve">upāvasṛp</t>
  </si>
  <si>
    <t xml:space="preserve">vyavasṛp</t>
  </si>
  <si>
    <t xml:space="preserve">vyutsṛp</t>
  </si>
  <si>
    <t xml:space="preserve">abhiniḥsṛp</t>
  </si>
  <si>
    <t xml:space="preserve">abhiprasṛp</t>
  </si>
  <si>
    <t xml:space="preserve">anuprasṛp</t>
  </si>
  <si>
    <t xml:space="preserve">anusaṁsṛp</t>
  </si>
  <si>
    <t xml:space="preserve">adhisṛp</t>
  </si>
  <si>
    <t xml:space="preserve">paryavasṛp</t>
  </si>
  <si>
    <t xml:space="preserve">pratiprasṛp</t>
  </si>
  <si>
    <t xml:space="preserve">protsṛp</t>
  </si>
  <si>
    <t xml:space="preserve">samanusṛp</t>
  </si>
  <si>
    <t xml:space="preserve">samprasṛp</t>
  </si>
  <si>
    <t xml:space="preserve">upasaṁsṛp</t>
  </si>
  <si>
    <t xml:space="preserve">viprasṛp</t>
  </si>
  <si>
    <t xml:space="preserve">vyatisṛp</t>
  </si>
  <si>
    <t xml:space="preserve">dhṛṣ</t>
  </si>
  <si>
    <t xml:space="preserve">ādhṛṣ</t>
  </si>
  <si>
    <t xml:space="preserve">pradhṛṣ</t>
  </si>
  <si>
    <t xml:space="preserve">pratidhṛṣ</t>
  </si>
  <si>
    <t xml:space="preserve">abhidhṛṣ</t>
  </si>
  <si>
    <t xml:space="preserve">apadhṛṣ</t>
  </si>
  <si>
    <t xml:space="preserve">samādhṛṣ</t>
  </si>
  <si>
    <t xml:space="preserve">saṁpradhṛṣ</t>
  </si>
  <si>
    <t xml:space="preserve">upadhṛṣ</t>
  </si>
  <si>
    <t xml:space="preserve">sāday</t>
  </si>
  <si>
    <t xml:space="preserve">āsāday</t>
  </si>
  <si>
    <t xml:space="preserve">samāsāday</t>
  </si>
  <si>
    <t xml:space="preserve">prasāday</t>
  </si>
  <si>
    <t xml:space="preserve">utsāday</t>
  </si>
  <si>
    <t xml:space="preserve">abhiprasāday</t>
  </si>
  <si>
    <t xml:space="preserve">avasāday</t>
  </si>
  <si>
    <t xml:space="preserve">upasāday</t>
  </si>
  <si>
    <t xml:space="preserve">viṣāday</t>
  </si>
  <si>
    <t xml:space="preserve">saṁsāday</t>
  </si>
  <si>
    <t xml:space="preserve">saṁprasāday</t>
  </si>
  <si>
    <t xml:space="preserve">niṣāday</t>
  </si>
  <si>
    <t xml:space="preserve">atyāsāday</t>
  </si>
  <si>
    <t xml:space="preserve">abhyutsāday</t>
  </si>
  <si>
    <t xml:space="preserve">samutsāday</t>
  </si>
  <si>
    <t xml:space="preserve">upāsāday</t>
  </si>
  <si>
    <t xml:space="preserve">abhisamāsāday</t>
  </si>
  <si>
    <t xml:space="preserve">abhyāsāday</t>
  </si>
  <si>
    <t xml:space="preserve">protsāday</t>
  </si>
  <si>
    <t xml:space="preserve">abhyupasāday</t>
  </si>
  <si>
    <t xml:space="preserve">adhyāsāday</t>
  </si>
  <si>
    <t xml:space="preserve">pyā</t>
  </si>
  <si>
    <t xml:space="preserve">āpyā</t>
  </si>
  <si>
    <t xml:space="preserve">prapyā</t>
  </si>
  <si>
    <t xml:space="preserve">abhipyai</t>
  </si>
  <si>
    <t xml:space="preserve">darpay</t>
  </si>
  <si>
    <t xml:space="preserve">atidarpay</t>
  </si>
  <si>
    <t xml:space="preserve">skhal</t>
  </si>
  <si>
    <t xml:space="preserve">praskhal</t>
  </si>
  <si>
    <t xml:space="preserve">pariskhal</t>
  </si>
  <si>
    <t xml:space="preserve">viskhal</t>
  </si>
  <si>
    <t xml:space="preserve">upaskhal</t>
  </si>
  <si>
    <t xml:space="preserve">spṛdh</t>
  </si>
  <si>
    <t xml:space="preserve">vispṛdh</t>
  </si>
  <si>
    <t xml:space="preserve">adhispṛdh</t>
  </si>
  <si>
    <t xml:space="preserve">praspṛdh</t>
  </si>
  <si>
    <t xml:space="preserve">pratispṛdh</t>
  </si>
  <si>
    <t xml:space="preserve">saṁspṛdh</t>
  </si>
  <si>
    <t xml:space="preserve">veday</t>
  </si>
  <si>
    <t xml:space="preserve">niveday</t>
  </si>
  <si>
    <t xml:space="preserve">āveday</t>
  </si>
  <si>
    <t xml:space="preserve">prativeday</t>
  </si>
  <si>
    <t xml:space="preserve">viniveday</t>
  </si>
  <si>
    <t xml:space="preserve">praveday</t>
  </si>
  <si>
    <t xml:space="preserve">saṁveday</t>
  </si>
  <si>
    <t xml:space="preserve">saṁniveday</t>
  </si>
  <si>
    <t xml:space="preserve">pratisaṁveday</t>
  </si>
  <si>
    <t xml:space="preserve">samāveday</t>
  </si>
  <si>
    <t xml:space="preserve">abhiveday</t>
  </si>
  <si>
    <t xml:space="preserve">abhiniveday</t>
  </si>
  <si>
    <t xml:space="preserve">anuveday</t>
  </si>
  <si>
    <t xml:space="preserve">anusaṁveday</t>
  </si>
  <si>
    <t xml:space="preserve">nirveday</t>
  </si>
  <si>
    <t xml:space="preserve">paryanuveday</t>
  </si>
  <si>
    <t xml:space="preserve">samanuveday</t>
  </si>
  <si>
    <t xml:space="preserve">samprativeday</t>
  </si>
  <si>
    <t xml:space="preserve">melay</t>
  </si>
  <si>
    <t xml:space="preserve">saṁmelay</t>
  </si>
  <si>
    <t xml:space="preserve">parimelay</t>
  </si>
  <si>
    <t xml:space="preserve">vāday</t>
  </si>
  <si>
    <t xml:space="preserve">abhivāday</t>
  </si>
  <si>
    <t xml:space="preserve">saṁvāday</t>
  </si>
  <si>
    <t xml:space="preserve">pravāday</t>
  </si>
  <si>
    <t xml:space="preserve">vivāday</t>
  </si>
  <si>
    <t xml:space="preserve">saṁpravāday</t>
  </si>
  <si>
    <t xml:space="preserve">anuvāday</t>
  </si>
  <si>
    <t xml:space="preserve">apavāday</t>
  </si>
  <si>
    <t xml:space="preserve">samabhivāday</t>
  </si>
  <si>
    <t xml:space="preserve">visaṁvāday</t>
  </si>
  <si>
    <t xml:space="preserve">abhipravāday</t>
  </si>
  <si>
    <t xml:space="preserve">anusaṁvāday</t>
  </si>
  <si>
    <t xml:space="preserve">nirvāday</t>
  </si>
  <si>
    <t xml:space="preserve">parivāday</t>
  </si>
  <si>
    <t xml:space="preserve">udvāday</t>
  </si>
  <si>
    <t xml:space="preserve">nivāday</t>
  </si>
  <si>
    <t xml:space="preserve">pratyudvāday</t>
  </si>
  <si>
    <t xml:space="preserve">arthay</t>
  </si>
  <si>
    <t xml:space="preserve">prārthay</t>
  </si>
  <si>
    <t xml:space="preserve">abhyarthay</t>
  </si>
  <si>
    <t xml:space="preserve">samarthay</t>
  </si>
  <si>
    <t xml:space="preserve">samprārthay</t>
  </si>
  <si>
    <t xml:space="preserve">abhiprārthay</t>
  </si>
  <si>
    <t xml:space="preserve">pratyarthay</t>
  </si>
  <si>
    <t xml:space="preserve">prasamarthay</t>
  </si>
  <si>
    <t xml:space="preserve">samabhyarthay</t>
  </si>
  <si>
    <t xml:space="preserve">granth</t>
  </si>
  <si>
    <t xml:space="preserve">udgranth</t>
  </si>
  <si>
    <t xml:space="preserve">vigranth</t>
  </si>
  <si>
    <t xml:space="preserve">saṁgranth</t>
  </si>
  <si>
    <t xml:space="preserve">pragranth</t>
  </si>
  <si>
    <t xml:space="preserve">samudgranth</t>
  </si>
  <si>
    <t xml:space="preserve">āgranth</t>
  </si>
  <si>
    <t xml:space="preserve">upagranth</t>
  </si>
  <si>
    <t xml:space="preserve">kṣobhay</t>
  </si>
  <si>
    <t xml:space="preserve">vikṣobhay</t>
  </si>
  <si>
    <t xml:space="preserve">saṁkṣobhay</t>
  </si>
  <si>
    <t xml:space="preserve">prakṣobhay</t>
  </si>
  <si>
    <t xml:space="preserve">nard</t>
  </si>
  <si>
    <t xml:space="preserve">vinard</t>
  </si>
  <si>
    <t xml:space="preserve">abhinard</t>
  </si>
  <si>
    <t xml:space="preserve">avanard</t>
  </si>
  <si>
    <t xml:space="preserve">ninard</t>
  </si>
  <si>
    <t xml:space="preserve">pratinard</t>
  </si>
  <si>
    <t xml:space="preserve">saṁnard</t>
  </si>
  <si>
    <t xml:space="preserve">ānard</t>
  </si>
  <si>
    <t xml:space="preserve">anuvinard</t>
  </si>
  <si>
    <t xml:space="preserve">vāsay</t>
  </si>
  <si>
    <t xml:space="preserve">adhivāsay</t>
  </si>
  <si>
    <t xml:space="preserve">anuvāsay</t>
  </si>
  <si>
    <t xml:space="preserve">vivāsay</t>
  </si>
  <si>
    <t xml:space="preserve">nirvāsay</t>
  </si>
  <si>
    <t xml:space="preserve">nivāsay</t>
  </si>
  <si>
    <t xml:space="preserve">udvāsay</t>
  </si>
  <si>
    <t xml:space="preserve">pravāsay</t>
  </si>
  <si>
    <t xml:space="preserve">upavāsay</t>
  </si>
  <si>
    <t xml:space="preserve">prativāsay</t>
  </si>
  <si>
    <t xml:space="preserve">vipravāsay</t>
  </si>
  <si>
    <t xml:space="preserve">parivāsay</t>
  </si>
  <si>
    <t xml:space="preserve">āvāsay</t>
  </si>
  <si>
    <t xml:space="preserve">saṁvāsay</t>
  </si>
  <si>
    <t xml:space="preserve">samāvāsay</t>
  </si>
  <si>
    <t xml:space="preserve">abhinivāsay</t>
  </si>
  <si>
    <t xml:space="preserve">ativāsay</t>
  </si>
  <si>
    <t xml:space="preserve">nirudvāsay</t>
  </si>
  <si>
    <t xml:space="preserve">vinirvāsay</t>
  </si>
  <si>
    <t xml:space="preserve">abhivāsay</t>
  </si>
  <si>
    <t xml:space="preserve">samudvāsay</t>
  </si>
  <si>
    <t xml:space="preserve">lamb</t>
  </si>
  <si>
    <t xml:space="preserve">ālamb</t>
  </si>
  <si>
    <t xml:space="preserve">avalamb</t>
  </si>
  <si>
    <t xml:space="preserve">vilamb</t>
  </si>
  <si>
    <t xml:space="preserve">samālamb</t>
  </si>
  <si>
    <t xml:space="preserve">abhipralamb</t>
  </si>
  <si>
    <t xml:space="preserve">adhyālamb</t>
  </si>
  <si>
    <t xml:space="preserve">pralamb</t>
  </si>
  <si>
    <t xml:space="preserve">pravilamb</t>
  </si>
  <si>
    <t xml:space="preserve">vyālamb</t>
  </si>
  <si>
    <t xml:space="preserve">parilamb</t>
  </si>
  <si>
    <t xml:space="preserve">samavalamb</t>
  </si>
  <si>
    <t xml:space="preserve">pratilamb</t>
  </si>
  <si>
    <t xml:space="preserve">jīvay</t>
  </si>
  <si>
    <t xml:space="preserve">saṁjīvay</t>
  </si>
  <si>
    <t xml:space="preserve">ujjīvay</t>
  </si>
  <si>
    <t xml:space="preserve">ājīvay</t>
  </si>
  <si>
    <t xml:space="preserve">upajīvay</t>
  </si>
  <si>
    <t xml:space="preserve">anujīvay</t>
  </si>
  <si>
    <t xml:space="preserve">klid</t>
  </si>
  <si>
    <t xml:space="preserve">praklid</t>
  </si>
  <si>
    <t xml:space="preserve">pariklid</t>
  </si>
  <si>
    <t xml:space="preserve">upaklid</t>
  </si>
  <si>
    <t xml:space="preserve">saṁklid</t>
  </si>
  <si>
    <t xml:space="preserve">viklid</t>
  </si>
  <si>
    <t xml:space="preserve">āklid</t>
  </si>
  <si>
    <t xml:space="preserve">avaklid</t>
  </si>
  <si>
    <t xml:space="preserve">utklid</t>
  </si>
  <si>
    <t xml:space="preserve">sūcay</t>
  </si>
  <si>
    <t xml:space="preserve">saṁsūcay</t>
  </si>
  <si>
    <t xml:space="preserve">upasūcay</t>
  </si>
  <si>
    <t xml:space="preserve">abhisūcay</t>
  </si>
  <si>
    <t xml:space="preserve">prasūcay</t>
  </si>
  <si>
    <t xml:space="preserve">harṣay</t>
  </si>
  <si>
    <t xml:space="preserve">saṁpraharṣay</t>
  </si>
  <si>
    <t xml:space="preserve">praharṣay</t>
  </si>
  <si>
    <t xml:space="preserve">saṁharṣay</t>
  </si>
  <si>
    <t xml:space="preserve">abhiharṣay</t>
  </si>
  <si>
    <t xml:space="preserve">uddharṣay</t>
  </si>
  <si>
    <t xml:space="preserve">pariharṣay</t>
  </si>
  <si>
    <t xml:space="preserve">sampariharṣay</t>
  </si>
  <si>
    <t xml:space="preserve">samabhiharṣay</t>
  </si>
  <si>
    <t xml:space="preserve">vyāharṣay</t>
  </si>
  <si>
    <t xml:space="preserve">pratiharṣay</t>
  </si>
  <si>
    <t xml:space="preserve">samuddharṣay</t>
  </si>
  <si>
    <t xml:space="preserve">ruj</t>
  </si>
  <si>
    <t xml:space="preserve">āruj</t>
  </si>
  <si>
    <t xml:space="preserve">viruj</t>
  </si>
  <si>
    <t xml:space="preserve">avaruj</t>
  </si>
  <si>
    <t xml:space="preserve">praruj</t>
  </si>
  <si>
    <t xml:space="preserve">pariruj</t>
  </si>
  <si>
    <t xml:space="preserve">saṁruj</t>
  </si>
  <si>
    <t xml:space="preserve">samāruj</t>
  </si>
  <si>
    <t xml:space="preserve">samuparuj</t>
  </si>
  <si>
    <t xml:space="preserve">jalp</t>
  </si>
  <si>
    <t xml:space="preserve">saṁjalp</t>
  </si>
  <si>
    <t xml:space="preserve">prajalp</t>
  </si>
  <si>
    <t xml:space="preserve">abhijalp</t>
  </si>
  <si>
    <t xml:space="preserve">pratijalp</t>
  </si>
  <si>
    <t xml:space="preserve">parijalp</t>
  </si>
  <si>
    <t xml:space="preserve">upajalp</t>
  </si>
  <si>
    <t xml:space="preserve">vijalp</t>
  </si>
  <si>
    <t xml:space="preserve">anujalp</t>
  </si>
  <si>
    <t xml:space="preserve">sraṁs</t>
  </si>
  <si>
    <t xml:space="preserve">visraṁs</t>
  </si>
  <si>
    <t xml:space="preserve">prasraṁs</t>
  </si>
  <si>
    <t xml:space="preserve">avasraṁs</t>
  </si>
  <si>
    <t xml:space="preserve">parisraṁs</t>
  </si>
  <si>
    <t xml:space="preserve">anuvisraṁs</t>
  </si>
  <si>
    <t xml:space="preserve">atisraṁs</t>
  </si>
  <si>
    <t xml:space="preserve">avavisraṁs</t>
  </si>
  <si>
    <t xml:space="preserve">vyavasraṁs</t>
  </si>
  <si>
    <t xml:space="preserve">phal</t>
  </si>
  <si>
    <t xml:space="preserve">pratiphal</t>
  </si>
  <si>
    <t xml:space="preserve">viphal</t>
  </si>
  <si>
    <t xml:space="preserve">utphal</t>
  </si>
  <si>
    <t xml:space="preserve">ramay</t>
  </si>
  <si>
    <t xml:space="preserve">abhiramay</t>
  </si>
  <si>
    <t xml:space="preserve">viramay</t>
  </si>
  <si>
    <t xml:space="preserve">niramay</t>
  </si>
  <si>
    <t xml:space="preserve">praramay</t>
  </si>
  <si>
    <t xml:space="preserve">uparamay</t>
  </si>
  <si>
    <t xml:space="preserve">dīdī</t>
  </si>
  <si>
    <t xml:space="preserve">pradīdī</t>
  </si>
  <si>
    <t xml:space="preserve">cāray</t>
  </si>
  <si>
    <t xml:space="preserve">vicāray</t>
  </si>
  <si>
    <t xml:space="preserve">uccāray</t>
  </si>
  <si>
    <t xml:space="preserve">avacāray</t>
  </si>
  <si>
    <t xml:space="preserve">paricāray</t>
  </si>
  <si>
    <t xml:space="preserve">niścāray</t>
  </si>
  <si>
    <t xml:space="preserve">saṁcāray</t>
  </si>
  <si>
    <t xml:space="preserve">samuccāray</t>
  </si>
  <si>
    <t xml:space="preserve">pracāray</t>
  </si>
  <si>
    <t xml:space="preserve">proccāray</t>
  </si>
  <si>
    <t xml:space="preserve">anucāray</t>
  </si>
  <si>
    <t xml:space="preserve">pravicāray</t>
  </si>
  <si>
    <t xml:space="preserve">upacāray</t>
  </si>
  <si>
    <t xml:space="preserve">abhyavacāray</t>
  </si>
  <si>
    <t xml:space="preserve">anūccāray</t>
  </si>
  <si>
    <t xml:space="preserve">anusaṁcāray</t>
  </si>
  <si>
    <t xml:space="preserve">pratyuccāray</t>
  </si>
  <si>
    <t xml:space="preserve">saṁvicāray</t>
  </si>
  <si>
    <t xml:space="preserve">vyabhicāray</t>
  </si>
  <si>
    <t xml:space="preserve">abhivicāray</t>
  </si>
  <si>
    <t xml:space="preserve">sampravicāray</t>
  </si>
  <si>
    <t xml:space="preserve">dhvaṁs</t>
  </si>
  <si>
    <t xml:space="preserve">vidhvaṁs</t>
  </si>
  <si>
    <t xml:space="preserve">pradhvaṁs</t>
  </si>
  <si>
    <t xml:space="preserve">apadhvaṁs</t>
  </si>
  <si>
    <t xml:space="preserve">paridhvaṁs</t>
  </si>
  <si>
    <t xml:space="preserve">uddhvaṁs</t>
  </si>
  <si>
    <t xml:space="preserve">pratidhvaṁs</t>
  </si>
  <si>
    <t xml:space="preserve">pravidhvaṁs</t>
  </si>
  <si>
    <t xml:space="preserve">ādhvaṁs</t>
  </si>
  <si>
    <t xml:space="preserve">abhidhvaṁs</t>
  </si>
  <si>
    <t xml:space="preserve">anudhvaṁs</t>
  </si>
  <si>
    <t xml:space="preserve">atidhvaṁs</t>
  </si>
  <si>
    <t xml:space="preserve">samuddhvaṁs</t>
  </si>
  <si>
    <t xml:space="preserve">upadhvaṁs</t>
  </si>
  <si>
    <t xml:space="preserve">vinidhvaṁs</t>
  </si>
  <si>
    <t xml:space="preserve">avadhvaṁs</t>
  </si>
  <si>
    <t xml:space="preserve">stambhay</t>
  </si>
  <si>
    <t xml:space="preserve">saṁstambhay</t>
  </si>
  <si>
    <t xml:space="preserve">viṣṭambhay</t>
  </si>
  <si>
    <t xml:space="preserve">uttambhay</t>
  </si>
  <si>
    <t xml:space="preserve">upastambhay</t>
  </si>
  <si>
    <t xml:space="preserve">palāy</t>
  </si>
  <si>
    <t xml:space="preserve">niṣpalāy</t>
  </si>
  <si>
    <t xml:space="preserve">abhipalāy</t>
  </si>
  <si>
    <t xml:space="preserve">prapalāy</t>
  </si>
  <si>
    <t xml:space="preserve">vipalāy</t>
  </si>
  <si>
    <t xml:space="preserve">krand</t>
  </si>
  <si>
    <t xml:space="preserve">ākrand</t>
  </si>
  <si>
    <t xml:space="preserve">abhikrand</t>
  </si>
  <si>
    <t xml:space="preserve">samākrand</t>
  </si>
  <si>
    <t xml:space="preserve">anukrand</t>
  </si>
  <si>
    <t xml:space="preserve">saṁkrand</t>
  </si>
  <si>
    <t xml:space="preserve">abhyavakrand</t>
  </si>
  <si>
    <t xml:space="preserve">avakrand</t>
  </si>
  <si>
    <t xml:space="preserve">nikrand</t>
  </si>
  <si>
    <t xml:space="preserve">prakrand</t>
  </si>
  <si>
    <t xml:space="preserve">snih</t>
  </si>
  <si>
    <t xml:space="preserve">atisnih</t>
  </si>
  <si>
    <t xml:space="preserve">upasnih</t>
  </si>
  <si>
    <t xml:space="preserve">edh</t>
  </si>
  <si>
    <t xml:space="preserve">samedh</t>
  </si>
  <si>
    <t xml:space="preserve">adhyedh</t>
  </si>
  <si>
    <t xml:space="preserve">upaidh</t>
  </si>
  <si>
    <t xml:space="preserve">laṅghay</t>
  </si>
  <si>
    <t xml:space="preserve">ullaṅghay</t>
  </si>
  <si>
    <t xml:space="preserve">abhilaṅghay</t>
  </si>
  <si>
    <t xml:space="preserve">atilaṅghay</t>
  </si>
  <si>
    <t xml:space="preserve">samullaṅghay</t>
  </si>
  <si>
    <t xml:space="preserve">vilaṅghay</t>
  </si>
  <si>
    <t xml:space="preserve">ativilaṅghay</t>
  </si>
  <si>
    <t xml:space="preserve">parilaṅghay</t>
  </si>
  <si>
    <t xml:space="preserve">pratilaṅghay</t>
  </si>
  <si>
    <t xml:space="preserve">prollaṅghay</t>
  </si>
  <si>
    <t xml:space="preserve">saṁvilaṅghay</t>
  </si>
  <si>
    <t xml:space="preserve">khid</t>
  </si>
  <si>
    <t xml:space="preserve">parikhid</t>
  </si>
  <si>
    <t xml:space="preserve">utkhid</t>
  </si>
  <si>
    <t xml:space="preserve">saṁkhid</t>
  </si>
  <si>
    <t xml:space="preserve">ākhid</t>
  </si>
  <si>
    <t xml:space="preserve">niṣkhid</t>
  </si>
  <si>
    <t xml:space="preserve">nikhid</t>
  </si>
  <si>
    <t xml:space="preserve">prakhid</t>
  </si>
  <si>
    <t xml:space="preserve">vikhid</t>
  </si>
  <si>
    <t xml:space="preserve">dṛ</t>
  </si>
  <si>
    <t xml:space="preserve">vidṛ</t>
  </si>
  <si>
    <t xml:space="preserve">avadṛ</t>
  </si>
  <si>
    <t xml:space="preserve">anudṛ</t>
  </si>
  <si>
    <t xml:space="preserve">pradṛ</t>
  </si>
  <si>
    <t xml:space="preserve">ādṛ</t>
  </si>
  <si>
    <t xml:space="preserve">abhipradṛ</t>
  </si>
  <si>
    <t xml:space="preserve">abhividṛ</t>
  </si>
  <si>
    <t xml:space="preserve">pravidṛ</t>
  </si>
  <si>
    <t xml:space="preserve">uddṛ</t>
  </si>
  <si>
    <t xml:space="preserve">vyavadṛ</t>
  </si>
  <si>
    <t xml:space="preserve">atyādṛ</t>
  </si>
  <si>
    <t xml:space="preserve">apadṛ</t>
  </si>
  <si>
    <r>
      <rPr>
        <sz val="10"/>
        <rFont val="Arial"/>
        <family val="2"/>
        <charset val="204"/>
      </rPr>
      <t xml:space="preserve">nird</t>
    </r>
    <r>
      <rPr>
        <sz val="10"/>
        <rFont val="Microsoft YaHei"/>
        <family val="2"/>
        <charset val="204"/>
      </rPr>
      <t xml:space="preserve">￞</t>
    </r>
  </si>
  <si>
    <t xml:space="preserve">paridṛ</t>
  </si>
  <si>
    <t xml:space="preserve">bhrāmay</t>
  </si>
  <si>
    <t xml:space="preserve">vibhrāmay</t>
  </si>
  <si>
    <t xml:space="preserve">ābhrāmay</t>
  </si>
  <si>
    <t xml:space="preserve">anubhrāmay</t>
  </si>
  <si>
    <t xml:space="preserve">prabhrāmay</t>
  </si>
  <si>
    <t xml:space="preserve">saṁbhrāmay</t>
  </si>
  <si>
    <t xml:space="preserve">vinirbhrāmay</t>
  </si>
  <si>
    <t xml:space="preserve">paribhrāmay</t>
  </si>
  <si>
    <t xml:space="preserve">udbhrāmay</t>
  </si>
  <si>
    <t xml:space="preserve">ric</t>
  </si>
  <si>
    <t xml:space="preserve">atiric</t>
  </si>
  <si>
    <t xml:space="preserve">vyatiric</t>
  </si>
  <si>
    <t xml:space="preserve">viric</t>
  </si>
  <si>
    <t xml:space="preserve">udric</t>
  </si>
  <si>
    <t xml:space="preserve">abhyatiric</t>
  </si>
  <si>
    <t xml:space="preserve">āric</t>
  </si>
  <si>
    <t xml:space="preserve">atyudric</t>
  </si>
  <si>
    <t xml:space="preserve">praric</t>
  </si>
  <si>
    <t xml:space="preserve">samatiric</t>
  </si>
  <si>
    <t xml:space="preserve">samudric</t>
  </si>
  <si>
    <t xml:space="preserve">anuric</t>
  </si>
  <si>
    <t xml:space="preserve">atyatiric</t>
  </si>
  <si>
    <t xml:space="preserve">bandhay</t>
  </si>
  <si>
    <t xml:space="preserve">nibandhay</t>
  </si>
  <si>
    <t xml:space="preserve">vibandhay</t>
  </si>
  <si>
    <t xml:space="preserve">prabandhay</t>
  </si>
  <si>
    <t xml:space="preserve">anubandhay</t>
  </si>
  <si>
    <t xml:space="preserve">saṁbandhay</t>
  </si>
  <si>
    <t xml:space="preserve">paribandhay</t>
  </si>
  <si>
    <t xml:space="preserve">san</t>
  </si>
  <si>
    <t xml:space="preserve">abhiṣan</t>
  </si>
  <si>
    <t xml:space="preserve">āsan</t>
  </si>
  <si>
    <t xml:space="preserve">prasan</t>
  </si>
  <si>
    <t xml:space="preserve">saṁsan</t>
  </si>
  <si>
    <t xml:space="preserve">yājay</t>
  </si>
  <si>
    <t xml:space="preserve">saṁyājay</t>
  </si>
  <si>
    <t xml:space="preserve">trāsay</t>
  </si>
  <si>
    <t xml:space="preserve">vitrāsay</t>
  </si>
  <si>
    <t xml:space="preserve">saṁtrāsay</t>
  </si>
  <si>
    <t xml:space="preserve">uttrāsay</t>
  </si>
  <si>
    <t xml:space="preserve">parātrāsay</t>
  </si>
  <si>
    <t xml:space="preserve">pratrāsay</t>
  </si>
  <si>
    <t xml:space="preserve">samuttrāsay</t>
  </si>
  <si>
    <t xml:space="preserve">vyuttrāsay</t>
  </si>
  <si>
    <t xml:space="preserve">ṛṣ</t>
  </si>
  <si>
    <t xml:space="preserve">nyṛṣ</t>
  </si>
  <si>
    <t xml:space="preserve">vyṛṣ</t>
  </si>
  <si>
    <t xml:space="preserve">paryṛṣ</t>
  </si>
  <si>
    <t xml:space="preserve">uparṣ</t>
  </si>
  <si>
    <t xml:space="preserve">abhyṛṣ</t>
  </si>
  <si>
    <t xml:space="preserve">udṛṣ</t>
  </si>
  <si>
    <t xml:space="preserve">sphuṭ</t>
  </si>
  <si>
    <t xml:space="preserve">visphuṭ</t>
  </si>
  <si>
    <t xml:space="preserve">parisphuṭ</t>
  </si>
  <si>
    <t xml:space="preserve">prasphuṭ</t>
  </si>
  <si>
    <t xml:space="preserve">saṁsphuṭ</t>
  </si>
  <si>
    <t xml:space="preserve">jighāṁs</t>
  </si>
  <si>
    <t xml:space="preserve">vijighāṁs</t>
  </si>
  <si>
    <t xml:space="preserve">abhijighāṁs</t>
  </si>
  <si>
    <t xml:space="preserve">atijighāṁs</t>
  </si>
  <si>
    <t xml:space="preserve">parājighāṁs</t>
  </si>
  <si>
    <t xml:space="preserve">śiṣ</t>
  </si>
  <si>
    <t xml:space="preserve">viśiṣ</t>
  </si>
  <si>
    <t xml:space="preserve">avaśiṣ</t>
  </si>
  <si>
    <t xml:space="preserve">ucchiṣ</t>
  </si>
  <si>
    <t xml:space="preserve">pariśiṣ</t>
  </si>
  <si>
    <t xml:space="preserve">prativiśiṣ</t>
  </si>
  <si>
    <t xml:space="preserve">anuśiṣ</t>
  </si>
  <si>
    <t xml:space="preserve">atiśiṣ</t>
  </si>
  <si>
    <t xml:space="preserve">niravaśiṣ</t>
  </si>
  <si>
    <t xml:space="preserve">paryavaśiṣ</t>
  </si>
  <si>
    <t xml:space="preserve">praśiṣ</t>
  </si>
  <si>
    <t xml:space="preserve">apaśiṣ</t>
  </si>
  <si>
    <t xml:space="preserve">praviśiṣ</t>
  </si>
  <si>
    <t xml:space="preserve">yāpay</t>
  </si>
  <si>
    <t xml:space="preserve">niryāpay</t>
  </si>
  <si>
    <t xml:space="preserve">prayāpay</t>
  </si>
  <si>
    <t xml:space="preserve">abhiyāpay</t>
  </si>
  <si>
    <t xml:space="preserve">apayāpay</t>
  </si>
  <si>
    <t xml:space="preserve">takṣ</t>
  </si>
  <si>
    <t xml:space="preserve">nistakṣ</t>
  </si>
  <si>
    <t xml:space="preserve">saṁtakṣ</t>
  </si>
  <si>
    <t xml:space="preserve">vitakṣ</t>
  </si>
  <si>
    <t xml:space="preserve">apatakṣ</t>
  </si>
  <si>
    <t xml:space="preserve">avatakṣ</t>
  </si>
  <si>
    <t xml:space="preserve">paritakṣ</t>
  </si>
  <si>
    <t xml:space="preserve">ātakṣ</t>
  </si>
  <si>
    <t xml:space="preserve">anutakṣ</t>
  </si>
  <si>
    <t xml:space="preserve">pratakṣ</t>
  </si>
  <si>
    <t xml:space="preserve">uttakṣ</t>
  </si>
  <si>
    <t xml:space="preserve">mokṣay</t>
  </si>
  <si>
    <t xml:space="preserve">vimokṣay</t>
  </si>
  <si>
    <t xml:space="preserve">adhimokṣay</t>
  </si>
  <si>
    <t xml:space="preserve">parimokṣay</t>
  </si>
  <si>
    <t xml:space="preserve">pramokṣay</t>
  </si>
  <si>
    <t xml:space="preserve">pratimokṣay</t>
  </si>
  <si>
    <t xml:space="preserve">śvas</t>
  </si>
  <si>
    <t xml:space="preserve">niḥśvas</t>
  </si>
  <si>
    <t xml:space="preserve">viśvas</t>
  </si>
  <si>
    <t xml:space="preserve">āśvas</t>
  </si>
  <si>
    <t xml:space="preserve">samāśvas</t>
  </si>
  <si>
    <t xml:space="preserve">ucchvas</t>
  </si>
  <si>
    <t xml:space="preserve">niśvas</t>
  </si>
  <si>
    <t xml:space="preserve">viniḥśvas</t>
  </si>
  <si>
    <t xml:space="preserve">pratyāśvas</t>
  </si>
  <si>
    <t xml:space="preserve">praśvas</t>
  </si>
  <si>
    <t xml:space="preserve">viniśvas</t>
  </si>
  <si>
    <t xml:space="preserve">parāśvas</t>
  </si>
  <si>
    <t xml:space="preserve">abhiniḥśvas</t>
  </si>
  <si>
    <t xml:space="preserve">pariviśvas</t>
  </si>
  <si>
    <t xml:space="preserve">samucchvas</t>
  </si>
  <si>
    <t xml:space="preserve">abhiviśvas</t>
  </si>
  <si>
    <t xml:space="preserve">paryāśvas</t>
  </si>
  <si>
    <t xml:space="preserve">abhiśvas</t>
  </si>
  <si>
    <t xml:space="preserve">atiniḥśvas</t>
  </si>
  <si>
    <t xml:space="preserve">pratiśvas</t>
  </si>
  <si>
    <t xml:space="preserve">abhipraśvas</t>
  </si>
  <si>
    <t xml:space="preserve">anuśvas</t>
  </si>
  <si>
    <t xml:space="preserve">ativiśvas</t>
  </si>
  <si>
    <t xml:space="preserve">procchvas</t>
  </si>
  <si>
    <t xml:space="preserve">mocay</t>
  </si>
  <si>
    <t xml:space="preserve">vimocay</t>
  </si>
  <si>
    <t xml:space="preserve">pramocay</t>
  </si>
  <si>
    <t xml:space="preserve">parimocay</t>
  </si>
  <si>
    <t xml:space="preserve">unmocay</t>
  </si>
  <si>
    <t xml:space="preserve">saṁmocay</t>
  </si>
  <si>
    <t xml:space="preserve">saṁpramocay</t>
  </si>
  <si>
    <t xml:space="preserve">vinirmocay</t>
  </si>
  <si>
    <t xml:space="preserve">vipramocay</t>
  </si>
  <si>
    <t xml:space="preserve">nirmocay</t>
  </si>
  <si>
    <t xml:space="preserve">pratimocay</t>
  </si>
  <si>
    <t xml:space="preserve">vip</t>
  </si>
  <si>
    <t xml:space="preserve">pravip</t>
  </si>
  <si>
    <t xml:space="preserve">udvip</t>
  </si>
  <si>
    <t xml:space="preserve">saṁvip</t>
  </si>
  <si>
    <t xml:space="preserve">sampravip</t>
  </si>
  <si>
    <t xml:space="preserve">ativip</t>
  </si>
  <si>
    <t xml:space="preserve">abhipravip</t>
  </si>
  <si>
    <t xml:space="preserve">vivip</t>
  </si>
  <si>
    <t xml:space="preserve">riṣ</t>
  </si>
  <si>
    <t xml:space="preserve">viriṣ</t>
  </si>
  <si>
    <t xml:space="preserve">āriṣ</t>
  </si>
  <si>
    <t xml:space="preserve">abhiriṣ</t>
  </si>
  <si>
    <t xml:space="preserve">anuriṣ</t>
  </si>
  <si>
    <t xml:space="preserve">mṛṣ</t>
  </si>
  <si>
    <t xml:space="preserve">vimṛṣ</t>
  </si>
  <si>
    <t xml:space="preserve">pramṛṣ</t>
  </si>
  <si>
    <t xml:space="preserve">parāmṛṣ</t>
  </si>
  <si>
    <t xml:space="preserve">pratimṛṣ</t>
  </si>
  <si>
    <t xml:space="preserve">vyapamṛṣ</t>
  </si>
  <si>
    <t xml:space="preserve">āmṛṣ</t>
  </si>
  <si>
    <t xml:space="preserve">apimṛṣ</t>
  </si>
  <si>
    <t xml:space="preserve">parimṛṣ</t>
  </si>
  <si>
    <t xml:space="preserve">pratyavamṛṣ</t>
  </si>
  <si>
    <t xml:space="preserve">nāday</t>
  </si>
  <si>
    <t xml:space="preserve">nināday</t>
  </si>
  <si>
    <t xml:space="preserve">vināday</t>
  </si>
  <si>
    <t xml:space="preserve">anunāday</t>
  </si>
  <si>
    <t xml:space="preserve">saṁnāday</t>
  </si>
  <si>
    <t xml:space="preserve">abhināday</t>
  </si>
  <si>
    <t xml:space="preserve">pratināday</t>
  </si>
  <si>
    <t xml:space="preserve">nirnāday</t>
  </si>
  <si>
    <t xml:space="preserve">unnāday</t>
  </si>
  <si>
    <t xml:space="preserve">upanāday</t>
  </si>
  <si>
    <t xml:space="preserve">vyanunāday</t>
  </si>
  <si>
    <t xml:space="preserve">anuvināday</t>
  </si>
  <si>
    <t xml:space="preserve">avanāday</t>
  </si>
  <si>
    <t xml:space="preserve">saṁpraṇāday</t>
  </si>
  <si>
    <t xml:space="preserve">ānāday</t>
  </si>
  <si>
    <t xml:space="preserve">kampay</t>
  </si>
  <si>
    <t xml:space="preserve">prakampay</t>
  </si>
  <si>
    <t xml:space="preserve">vikampay</t>
  </si>
  <si>
    <t xml:space="preserve">ākampay</t>
  </si>
  <si>
    <t xml:space="preserve">saṁkampay</t>
  </si>
  <si>
    <t xml:space="preserve">anukampay</t>
  </si>
  <si>
    <t xml:space="preserve">abhikampay</t>
  </si>
  <si>
    <t xml:space="preserve">parikamp</t>
  </si>
  <si>
    <t xml:space="preserve">pravikampay</t>
  </si>
  <si>
    <t xml:space="preserve">abhiprakampay</t>
  </si>
  <si>
    <t xml:space="preserve">anuprakampay</t>
  </si>
  <si>
    <t xml:space="preserve">pratikampay</t>
  </si>
  <si>
    <t xml:space="preserve">samparikampay</t>
  </si>
  <si>
    <t xml:space="preserve">utkampay</t>
  </si>
  <si>
    <t xml:space="preserve">muṣ</t>
  </si>
  <si>
    <t xml:space="preserve">parimuṣ</t>
  </si>
  <si>
    <t xml:space="preserve">āmuṣ</t>
  </si>
  <si>
    <t xml:space="preserve">pramuṣ</t>
  </si>
  <si>
    <t xml:space="preserve">vimuṣ</t>
  </si>
  <si>
    <t xml:space="preserve">avamuṣ</t>
  </si>
  <si>
    <t xml:space="preserve">nirmuṣ</t>
  </si>
  <si>
    <t xml:space="preserve">sammuṣ</t>
  </si>
  <si>
    <t xml:space="preserve">jvālay</t>
  </si>
  <si>
    <t xml:space="preserve">prajvālay</t>
  </si>
  <si>
    <t xml:space="preserve">ujjvālay</t>
  </si>
  <si>
    <t xml:space="preserve">saṁjvālay</t>
  </si>
  <si>
    <t xml:space="preserve">saṁprajvālay</t>
  </si>
  <si>
    <t xml:space="preserve">ājvālay</t>
  </si>
  <si>
    <t xml:space="preserve">upajvālay</t>
  </si>
  <si>
    <t xml:space="preserve">bhakṣ</t>
  </si>
  <si>
    <t xml:space="preserve">sambhakṣ</t>
  </si>
  <si>
    <t xml:space="preserve">prabhakṣ</t>
  </si>
  <si>
    <t xml:space="preserve">upabhakṣ</t>
  </si>
  <si>
    <t xml:space="preserve">dāray</t>
  </si>
  <si>
    <t xml:space="preserve">vidāray</t>
  </si>
  <si>
    <t xml:space="preserve">avadāray</t>
  </si>
  <si>
    <t xml:space="preserve">nirdāray</t>
  </si>
  <si>
    <t xml:space="preserve">pradāray</t>
  </si>
  <si>
    <t xml:space="preserve">pravidāray</t>
  </si>
  <si>
    <t xml:space="preserve">abhidāray</t>
  </si>
  <si>
    <t xml:space="preserve">saṁdāray</t>
  </si>
  <si>
    <t xml:space="preserve">udvidāray</t>
  </si>
  <si>
    <t xml:space="preserve">sṛ</t>
  </si>
  <si>
    <t xml:space="preserve">niḥsṛ</t>
  </si>
  <si>
    <t xml:space="preserve">prasṛ</t>
  </si>
  <si>
    <t xml:space="preserve">anusṛ</t>
  </si>
  <si>
    <t xml:space="preserve">viniḥsṛ</t>
  </si>
  <si>
    <t xml:space="preserve">saṁsṛ</t>
  </si>
  <si>
    <t xml:space="preserve">upasṛ</t>
  </si>
  <si>
    <t xml:space="preserve">apasṛ</t>
  </si>
  <si>
    <t xml:space="preserve">abhisṛ</t>
  </si>
  <si>
    <t xml:space="preserve">visṛ</t>
  </si>
  <si>
    <t xml:space="preserve">abhiniḥsṛ</t>
  </si>
  <si>
    <t xml:space="preserve">apāsṛ</t>
  </si>
  <si>
    <t xml:space="preserve">pravisṛ</t>
  </si>
  <si>
    <t xml:space="preserve">nisṛ</t>
  </si>
  <si>
    <t xml:space="preserve">parisṛ</t>
  </si>
  <si>
    <t xml:space="preserve">viprasṛ</t>
  </si>
  <si>
    <t xml:space="preserve">samavasṛ</t>
  </si>
  <si>
    <t xml:space="preserve">āsṛ</t>
  </si>
  <si>
    <t xml:space="preserve">utsṛ</t>
  </si>
  <si>
    <t xml:space="preserve">vyanusṛ</t>
  </si>
  <si>
    <t xml:space="preserve">pratisṛ</t>
  </si>
  <si>
    <t xml:space="preserve">samabhisṛ</t>
  </si>
  <si>
    <t xml:space="preserve">samanusṛ</t>
  </si>
  <si>
    <t xml:space="preserve">abhinisṛ</t>
  </si>
  <si>
    <t xml:space="preserve">abhiviniḥsṛ</t>
  </si>
  <si>
    <t xml:space="preserve">abhyavasṛ</t>
  </si>
  <si>
    <t xml:space="preserve">anusaṁsṛ</t>
  </si>
  <si>
    <t xml:space="preserve">atyabhisṛ</t>
  </si>
  <si>
    <t xml:space="preserve">pratyāsṛ</t>
  </si>
  <si>
    <t xml:space="preserve">pratyavasṛ</t>
  </si>
  <si>
    <t xml:space="preserve">pratyupasṛ</t>
  </si>
  <si>
    <t xml:space="preserve">samupasṛ</t>
  </si>
  <si>
    <t xml:space="preserve">vyapasṛ</t>
  </si>
  <si>
    <t xml:space="preserve">vyapasaṁsṛ</t>
  </si>
  <si>
    <t xml:space="preserve">abhisaṁsṛ</t>
  </si>
  <si>
    <t xml:space="preserve">abhyanusṛ</t>
  </si>
  <si>
    <t xml:space="preserve">abhyupasṛ</t>
  </si>
  <si>
    <t xml:space="preserve">anuvisṛ</t>
  </si>
  <si>
    <t xml:space="preserve">anuviniḥsṛ</t>
  </si>
  <si>
    <t xml:space="preserve">apisṛ</t>
  </si>
  <si>
    <t xml:space="preserve">atisṛ</t>
  </si>
  <si>
    <t xml:space="preserve">atiprasṛ</t>
  </si>
  <si>
    <t xml:space="preserve">atyāsṛ</t>
  </si>
  <si>
    <t xml:space="preserve">atyanusṛ</t>
  </si>
  <si>
    <t xml:space="preserve">parāsṛ</t>
  </si>
  <si>
    <t xml:space="preserve">protsṛ</t>
  </si>
  <si>
    <t xml:space="preserve">upaprasṛ</t>
  </si>
  <si>
    <t xml:space="preserve">vyāsṛ</t>
  </si>
  <si>
    <t xml:space="preserve">secay</t>
  </si>
  <si>
    <t xml:space="preserve">niṣecay</t>
  </si>
  <si>
    <t xml:space="preserve">abhiṣecay</t>
  </si>
  <si>
    <t xml:space="preserve">pariṣecay</t>
  </si>
  <si>
    <t xml:space="preserve">avasecay</t>
  </si>
  <si>
    <t xml:space="preserve">āsecay</t>
  </si>
  <si>
    <t xml:space="preserve">prasecay</t>
  </si>
  <si>
    <t xml:space="preserve">anusecay</t>
  </si>
  <si>
    <t xml:space="preserve">pariniṣecay</t>
  </si>
  <si>
    <t xml:space="preserve">saṁsecay</t>
  </si>
  <si>
    <t xml:space="preserve">samabhiṣecay</t>
  </si>
  <si>
    <t xml:space="preserve">śuṣ</t>
  </si>
  <si>
    <t xml:space="preserve">pariśuṣ</t>
  </si>
  <si>
    <t xml:space="preserve">viśuṣ</t>
  </si>
  <si>
    <t xml:space="preserve">upaśuṣ</t>
  </si>
  <si>
    <t xml:space="preserve">āśuṣ</t>
  </si>
  <si>
    <t xml:space="preserve">saṁśuṣ</t>
  </si>
  <si>
    <t xml:space="preserve">anuśuṣ</t>
  </si>
  <si>
    <t xml:space="preserve">apaśuṣ</t>
  </si>
  <si>
    <t xml:space="preserve">praśuṣ</t>
  </si>
  <si>
    <t xml:space="preserve">ucchuṣ</t>
  </si>
  <si>
    <t xml:space="preserve">avaśuṣ</t>
  </si>
  <si>
    <t xml:space="preserve">pratiśuṣ</t>
  </si>
  <si>
    <t xml:space="preserve">samucchuṣ</t>
  </si>
  <si>
    <t xml:space="preserve">kṣālay</t>
  </si>
  <si>
    <t xml:space="preserve">prakṣālay</t>
  </si>
  <si>
    <t xml:space="preserve">saṁkṣālay</t>
  </si>
  <si>
    <t xml:space="preserve">ākṣālay</t>
  </si>
  <si>
    <t xml:space="preserve">abhiprakṣālay</t>
  </si>
  <si>
    <t xml:space="preserve">parikṣālay</t>
  </si>
  <si>
    <t xml:space="preserve">ṛdh</t>
  </si>
  <si>
    <t xml:space="preserve">samṛdh</t>
  </si>
  <si>
    <t xml:space="preserve">vyṛdh</t>
  </si>
  <si>
    <t xml:space="preserve">adhyṛdh</t>
  </si>
  <si>
    <t xml:space="preserve">ārdh</t>
  </si>
  <si>
    <t xml:space="preserve">anvṛdh</t>
  </si>
  <si>
    <t xml:space="preserve">kalay</t>
  </si>
  <si>
    <t xml:space="preserve">ākalay</t>
  </si>
  <si>
    <t xml:space="preserve">saṁkalay</t>
  </si>
  <si>
    <t xml:space="preserve">ākal</t>
  </si>
  <si>
    <t xml:space="preserve">parikalay</t>
  </si>
  <si>
    <t xml:space="preserve">utkalay</t>
  </si>
  <si>
    <t xml:space="preserve">vikalay</t>
  </si>
  <si>
    <t xml:space="preserve">diś</t>
  </si>
  <si>
    <t xml:space="preserve">upadiś</t>
  </si>
  <si>
    <t xml:space="preserve">uddiś</t>
  </si>
  <si>
    <t xml:space="preserve">ādiś</t>
  </si>
  <si>
    <t xml:space="preserve">nirdiś</t>
  </si>
  <si>
    <t xml:space="preserve">samādis</t>
  </si>
  <si>
    <t xml:space="preserve">vinirdiś</t>
  </si>
  <si>
    <t xml:space="preserve">samuddiś</t>
  </si>
  <si>
    <t xml:space="preserve">pradiś</t>
  </si>
  <si>
    <t xml:space="preserve">saṁdiś</t>
  </si>
  <si>
    <t xml:space="preserve">vyādiś</t>
  </si>
  <si>
    <t xml:space="preserve">vyapadiś</t>
  </si>
  <si>
    <t xml:space="preserve">apadiś</t>
  </si>
  <si>
    <t xml:space="preserve">abhinirdiś</t>
  </si>
  <si>
    <t xml:space="preserve">pratisamādiś</t>
  </si>
  <si>
    <t xml:space="preserve">pratyādiś</t>
  </si>
  <si>
    <t xml:space="preserve">sampradiś</t>
  </si>
  <si>
    <t xml:space="preserve">samupadiś</t>
  </si>
  <si>
    <t xml:space="preserve">atidiś</t>
  </si>
  <si>
    <t xml:space="preserve">upādiś</t>
  </si>
  <si>
    <t xml:space="preserve">pratisaṁdiś</t>
  </si>
  <si>
    <t xml:space="preserve">abhyādiś</t>
  </si>
  <si>
    <t xml:space="preserve">anudiś</t>
  </si>
  <si>
    <t xml:space="preserve">nidiś</t>
  </si>
  <si>
    <t xml:space="preserve">nirādiś</t>
  </si>
  <si>
    <t xml:space="preserve">pratidiś</t>
  </si>
  <si>
    <t xml:space="preserve">abhidiś</t>
  </si>
  <si>
    <t xml:space="preserve">abhyupadiś</t>
  </si>
  <si>
    <t xml:space="preserve">anusaṁdiś</t>
  </si>
  <si>
    <t xml:space="preserve">anvādiś</t>
  </si>
  <si>
    <t xml:space="preserve">pratinirdiś</t>
  </si>
  <si>
    <t xml:space="preserve">pratyupadiś</t>
  </si>
  <si>
    <t xml:space="preserve">samanudiś</t>
  </si>
  <si>
    <t xml:space="preserve">upanirdiś</t>
  </si>
  <si>
    <t xml:space="preserve">vyuddiś</t>
  </si>
  <si>
    <t xml:space="preserve">abhyuddiś</t>
  </si>
  <si>
    <t xml:space="preserve">adhidiś</t>
  </si>
  <si>
    <t xml:space="preserve">avadiś</t>
  </si>
  <si>
    <t xml:space="preserve">parādiś</t>
  </si>
  <si>
    <t xml:space="preserve">paridiś</t>
  </si>
  <si>
    <t xml:space="preserve">samavadiś</t>
  </si>
  <si>
    <t xml:space="preserve">khan</t>
  </si>
  <si>
    <t xml:space="preserve">nikhan</t>
  </si>
  <si>
    <t xml:space="preserve">utkhan</t>
  </si>
  <si>
    <t xml:space="preserve">abhikhan</t>
  </si>
  <si>
    <t xml:space="preserve">parikhan</t>
  </si>
  <si>
    <t xml:space="preserve">protkhan</t>
  </si>
  <si>
    <t xml:space="preserve">saṁkhan</t>
  </si>
  <si>
    <t xml:space="preserve">samutkhan</t>
  </si>
  <si>
    <t xml:space="preserve">vikhan</t>
  </si>
  <si>
    <t xml:space="preserve">niṣkhan</t>
  </si>
  <si>
    <t xml:space="preserve">prakhan</t>
  </si>
  <si>
    <t xml:space="preserve">cālay</t>
  </si>
  <si>
    <t xml:space="preserve">vicālay</t>
  </si>
  <si>
    <t xml:space="preserve">pracālay</t>
  </si>
  <si>
    <t xml:space="preserve">saṁcālay</t>
  </si>
  <si>
    <t xml:space="preserve">ācālay</t>
  </si>
  <si>
    <t xml:space="preserve">paricālay</t>
  </si>
  <si>
    <t xml:space="preserve">avacālay</t>
  </si>
  <si>
    <t xml:space="preserve">pravicālay</t>
  </si>
  <si>
    <t xml:space="preserve">saṁpracālay</t>
  </si>
  <si>
    <t xml:space="preserve">uccālay</t>
  </si>
  <si>
    <t xml:space="preserve">gaṇay</t>
  </si>
  <si>
    <t xml:space="preserve">vigaṇay</t>
  </si>
  <si>
    <t xml:space="preserve">parigaṇay</t>
  </si>
  <si>
    <t xml:space="preserve">pragaṇay</t>
  </si>
  <si>
    <t xml:space="preserve">adhigaṇay</t>
  </si>
  <si>
    <t xml:space="preserve">avagaṇay</t>
  </si>
  <si>
    <t xml:space="preserve">saṁgaṇay</t>
  </si>
  <si>
    <t xml:space="preserve">upagaṇay</t>
  </si>
  <si>
    <t xml:space="preserve">anugaṇay</t>
  </si>
  <si>
    <t xml:space="preserve">vap</t>
  </si>
  <si>
    <t xml:space="preserve">nirvap</t>
  </si>
  <si>
    <t xml:space="preserve">āvap</t>
  </si>
  <si>
    <t xml:space="preserve">nivap</t>
  </si>
  <si>
    <t xml:space="preserve">pravap</t>
  </si>
  <si>
    <t xml:space="preserve">prativap</t>
  </si>
  <si>
    <t xml:space="preserve">samāvap</t>
  </si>
  <si>
    <t xml:space="preserve">udvap</t>
  </si>
  <si>
    <t xml:space="preserve">anunirvap</t>
  </si>
  <si>
    <t xml:space="preserve">apavap</t>
  </si>
  <si>
    <t xml:space="preserve">saṁnirvap</t>
  </si>
  <si>
    <t xml:space="preserve">abhivap</t>
  </si>
  <si>
    <t xml:space="preserve">abhinirvap</t>
  </si>
  <si>
    <t xml:space="preserve">parāvap</t>
  </si>
  <si>
    <t xml:space="preserve">pratinirvap</t>
  </si>
  <si>
    <t xml:space="preserve">saṁvap</t>
  </si>
  <si>
    <t xml:space="preserve">vivap</t>
  </si>
  <si>
    <t xml:space="preserve">anuvap</t>
  </si>
  <si>
    <t xml:space="preserve">anupravap</t>
  </si>
  <si>
    <t xml:space="preserve">pratyāvap</t>
  </si>
  <si>
    <t xml:space="preserve">saṁnivap</t>
  </si>
  <si>
    <t xml:space="preserve">upavap</t>
  </si>
  <si>
    <t xml:space="preserve">anvāvap</t>
  </si>
  <si>
    <t xml:space="preserve">apivap</t>
  </si>
  <si>
    <t xml:space="preserve">adhivap</t>
  </si>
  <si>
    <t xml:space="preserve">adhyāvap</t>
  </si>
  <si>
    <t xml:space="preserve">parivap</t>
  </si>
  <si>
    <t xml:space="preserve">paryāvap</t>
  </si>
  <si>
    <t xml:space="preserve">upanivap</t>
  </si>
  <si>
    <t xml:space="preserve">carv</t>
  </si>
  <si>
    <t xml:space="preserve">saṁcarv</t>
  </si>
  <si>
    <t xml:space="preserve">avacarv</t>
  </si>
  <si>
    <t xml:space="preserve">paricarv</t>
  </si>
  <si>
    <t xml:space="preserve">rocay</t>
  </si>
  <si>
    <t xml:space="preserve">ārocay</t>
  </si>
  <si>
    <t xml:space="preserve">abhirocay</t>
  </si>
  <si>
    <t xml:space="preserve">prarocay</t>
  </si>
  <si>
    <t xml:space="preserve">saṁrocay</t>
  </si>
  <si>
    <t xml:space="preserve">virocay</t>
  </si>
  <si>
    <t xml:space="preserve">anurocay</t>
  </si>
  <si>
    <t xml:space="preserve">atirocay</t>
  </si>
  <si>
    <t xml:space="preserve">pratirocay</t>
  </si>
  <si>
    <t xml:space="preserve">guṇay</t>
  </si>
  <si>
    <t xml:space="preserve">anuguṇay</t>
  </si>
  <si>
    <t xml:space="preserve">saṁguṇay</t>
  </si>
  <si>
    <t xml:space="preserve">ghṛṣ</t>
  </si>
  <si>
    <t xml:space="preserve">nighṛṣ</t>
  </si>
  <si>
    <t xml:space="preserve">saṁghṛṣ</t>
  </si>
  <si>
    <t xml:space="preserve">avaghṛṣ</t>
  </si>
  <si>
    <t xml:space="preserve">vighṛṣ</t>
  </si>
  <si>
    <t xml:space="preserve">praghṛṣ</t>
  </si>
  <si>
    <t xml:space="preserve">nirghṛṣ</t>
  </si>
  <si>
    <t xml:space="preserve">parighṛṣ</t>
  </si>
  <si>
    <t xml:space="preserve">udghṛṣ</t>
  </si>
  <si>
    <t xml:space="preserve">sampraghṛṣ</t>
  </si>
  <si>
    <t xml:space="preserve">saṁnighṛṣ</t>
  </si>
  <si>
    <t xml:space="preserve">samudghṛṣ</t>
  </si>
  <si>
    <t xml:space="preserve">vṛj</t>
  </si>
  <si>
    <t xml:space="preserve">āvṛj</t>
  </si>
  <si>
    <t xml:space="preserve">saṁvṛj</t>
  </si>
  <si>
    <t xml:space="preserve">parivṛj</t>
  </si>
  <si>
    <t xml:space="preserve">apavṛj</t>
  </si>
  <si>
    <t xml:space="preserve">pravṛj</t>
  </si>
  <si>
    <t xml:space="preserve">vyāvṛj</t>
  </si>
  <si>
    <t xml:space="preserve">apāvṛj</t>
  </si>
  <si>
    <t xml:space="preserve">nivṛj</t>
  </si>
  <si>
    <t xml:space="preserve">parāvṛj</t>
  </si>
  <si>
    <t xml:space="preserve">prāvṛj</t>
  </si>
  <si>
    <t xml:space="preserve">udvṛj</t>
  </si>
  <si>
    <t xml:space="preserve">anuvṛj</t>
  </si>
  <si>
    <t xml:space="preserve">anunivṛj</t>
  </si>
  <si>
    <t xml:space="preserve">anupravṛj</t>
  </si>
  <si>
    <t xml:space="preserve">apivṛj</t>
  </si>
  <si>
    <t xml:space="preserve">adhivṛj</t>
  </si>
  <si>
    <t xml:space="preserve">avavṛj</t>
  </si>
  <si>
    <t xml:space="preserve">parivyāvṛj</t>
  </si>
  <si>
    <t xml:space="preserve">prativṛj</t>
  </si>
  <si>
    <t xml:space="preserve">samāvṛj</t>
  </si>
  <si>
    <t xml:space="preserve">tāpay</t>
  </si>
  <si>
    <t xml:space="preserve">saṁtāpay</t>
  </si>
  <si>
    <t xml:space="preserve">pratāpay</t>
  </si>
  <si>
    <t xml:space="preserve">paritāpay</t>
  </si>
  <si>
    <t xml:space="preserve">abhitāpay</t>
  </si>
  <si>
    <t xml:space="preserve">upatāpay</t>
  </si>
  <si>
    <t xml:space="preserve">atitāpay</t>
  </si>
  <si>
    <t xml:space="preserve">sampratāpay</t>
  </si>
  <si>
    <t xml:space="preserve">ātāpay</t>
  </si>
  <si>
    <t xml:space="preserve">anutāpay</t>
  </si>
  <si>
    <t xml:space="preserve">avatāpay</t>
  </si>
  <si>
    <t xml:space="preserve">pratitāpay</t>
  </si>
  <si>
    <t xml:space="preserve">uttāpay</t>
  </si>
  <si>
    <t xml:space="preserve">vāñch</t>
  </si>
  <si>
    <t xml:space="preserve">abhivāñch</t>
  </si>
  <si>
    <t xml:space="preserve">prativāñch</t>
  </si>
  <si>
    <t xml:space="preserve">samabhivāñch</t>
  </si>
  <si>
    <t xml:space="preserve">abhisaṁvāñch</t>
  </si>
  <si>
    <t xml:space="preserve">saṁvāñch</t>
  </si>
  <si>
    <t xml:space="preserve">kṣapay</t>
  </si>
  <si>
    <t xml:space="preserve">prakṣapay</t>
  </si>
  <si>
    <t xml:space="preserve">saṁkṣapay</t>
  </si>
  <si>
    <t xml:space="preserve">utkṣapay</t>
  </si>
  <si>
    <t xml:space="preserve">garh</t>
  </si>
  <si>
    <t xml:space="preserve">vigarh</t>
  </si>
  <si>
    <t xml:space="preserve">parigarh</t>
  </si>
  <si>
    <t xml:space="preserve">saṁgarh</t>
  </si>
  <si>
    <t xml:space="preserve">nigarh</t>
  </si>
  <si>
    <t xml:space="preserve">grāhay</t>
  </si>
  <si>
    <t xml:space="preserve">saṁgrāhay</t>
  </si>
  <si>
    <t xml:space="preserve">pratigrāhay</t>
  </si>
  <si>
    <t xml:space="preserve">vigrāhay</t>
  </si>
  <si>
    <t xml:space="preserve">udgrāhay</t>
  </si>
  <si>
    <t xml:space="preserve">abhigrāhay</t>
  </si>
  <si>
    <t xml:space="preserve">nigrāhay</t>
  </si>
  <si>
    <t xml:space="preserve">avagrāhay</t>
  </si>
  <si>
    <t xml:space="preserve">pragrāhay</t>
  </si>
  <si>
    <t xml:space="preserve">upagrāhay</t>
  </si>
  <si>
    <t xml:space="preserve">vañcay</t>
  </si>
  <si>
    <t xml:space="preserve">parivañcay</t>
  </si>
  <si>
    <t xml:space="preserve">gālay</t>
  </si>
  <si>
    <t xml:space="preserve">parigālay</t>
  </si>
  <si>
    <t xml:space="preserve">pragālay</t>
  </si>
  <si>
    <t xml:space="preserve">pratigālay</t>
  </si>
  <si>
    <t xml:space="preserve">nigālay</t>
  </si>
  <si>
    <t xml:space="preserve">saṁgālay</t>
  </si>
  <si>
    <t xml:space="preserve">vigālay</t>
  </si>
  <si>
    <t xml:space="preserve">bhrāj</t>
  </si>
  <si>
    <t xml:space="preserve">vibhrāj</t>
  </si>
  <si>
    <t xml:space="preserve">paribhrāj</t>
  </si>
  <si>
    <t xml:space="preserve">prabhrāj</t>
  </si>
  <si>
    <t xml:space="preserve">ābhrāj</t>
  </si>
  <si>
    <t xml:space="preserve">anubhrāj</t>
  </si>
  <si>
    <t xml:space="preserve">sambhrāj</t>
  </si>
  <si>
    <t xml:space="preserve">ukṣ</t>
  </si>
  <si>
    <t xml:space="preserve">prokṣ</t>
  </si>
  <si>
    <t xml:space="preserve">abhyukṣ</t>
  </si>
  <si>
    <t xml:space="preserve">samukṣ</t>
  </si>
  <si>
    <t xml:space="preserve">paryukṣ</t>
  </si>
  <si>
    <t xml:space="preserve">samprokṣ</t>
  </si>
  <si>
    <t xml:space="preserve">avokṣ</t>
  </si>
  <si>
    <t xml:space="preserve">samabhyukṣ</t>
  </si>
  <si>
    <t xml:space="preserve">anuparyukṣ</t>
  </si>
  <si>
    <t xml:space="preserve">vyukṣ</t>
  </si>
  <si>
    <t xml:space="preserve">abhiparyukṣ</t>
  </si>
  <si>
    <t xml:space="preserve">viprokṣ</t>
  </si>
  <si>
    <t xml:space="preserve">okṣ</t>
  </si>
  <si>
    <t xml:space="preserve">abhivyukṣ</t>
  </si>
  <si>
    <t xml:space="preserve">anūkṣ</t>
  </si>
  <si>
    <t xml:space="preserve">atyukṣ</t>
  </si>
  <si>
    <t xml:space="preserve">nirukṣ</t>
  </si>
  <si>
    <t xml:space="preserve">pratyukṣ</t>
  </si>
  <si>
    <t xml:space="preserve">saṁprokṣ</t>
  </si>
  <si>
    <t xml:space="preserve">upokṣ</t>
  </si>
  <si>
    <t xml:space="preserve">udukṣ</t>
  </si>
  <si>
    <t xml:space="preserve">dih</t>
  </si>
  <si>
    <t xml:space="preserve">saṁdih</t>
  </si>
  <si>
    <t xml:space="preserve">pradih</t>
  </si>
  <si>
    <t xml:space="preserve">ādih</t>
  </si>
  <si>
    <t xml:space="preserve">upadih</t>
  </si>
  <si>
    <t xml:space="preserve">samādih</t>
  </si>
  <si>
    <t xml:space="preserve">abhidih</t>
  </si>
  <si>
    <t xml:space="preserve">abhisaṁdih</t>
  </si>
  <si>
    <t xml:space="preserve">anusaṁdih</t>
  </si>
  <si>
    <t xml:space="preserve">nidih</t>
  </si>
  <si>
    <t xml:space="preserve">nirdih</t>
  </si>
  <si>
    <t xml:space="preserve">uddih</t>
  </si>
  <si>
    <t xml:space="preserve">avadih</t>
  </si>
  <si>
    <t xml:space="preserve">paridih</t>
  </si>
  <si>
    <t xml:space="preserve">ślāgh</t>
  </si>
  <si>
    <t xml:space="preserve">saṁślāgh</t>
  </si>
  <si>
    <t xml:space="preserve">krī</t>
  </si>
  <si>
    <t xml:space="preserve">vikrī</t>
  </si>
  <si>
    <t xml:space="preserve">parikrī</t>
  </si>
  <si>
    <t xml:space="preserve">niṣkrī</t>
  </si>
  <si>
    <t xml:space="preserve">upakrī</t>
  </si>
  <si>
    <t xml:space="preserve">avakrī</t>
  </si>
  <si>
    <t xml:space="preserve">abhikrī</t>
  </si>
  <si>
    <t xml:space="preserve">apakrī</t>
  </si>
  <si>
    <t xml:space="preserve">prativikrī</t>
  </si>
  <si>
    <t xml:space="preserve">saṁkrī</t>
  </si>
  <si>
    <t xml:space="preserve">ākrī</t>
  </si>
  <si>
    <t xml:space="preserve">mūrch</t>
  </si>
  <si>
    <t xml:space="preserve">sammūrch</t>
  </si>
  <si>
    <t xml:space="preserve">abhimūrch</t>
  </si>
  <si>
    <t xml:space="preserve">vimūrch</t>
  </si>
  <si>
    <t xml:space="preserve">abhisammūrch</t>
  </si>
  <si>
    <t xml:space="preserve">avamūrch</t>
  </si>
  <si>
    <t xml:space="preserve">pramūrch</t>
  </si>
  <si>
    <t xml:space="preserve">unmūrch</t>
  </si>
  <si>
    <t xml:space="preserve">garj</t>
  </si>
  <si>
    <t xml:space="preserve">abhigarj</t>
  </si>
  <si>
    <t xml:space="preserve">pratigarj</t>
  </si>
  <si>
    <t xml:space="preserve">pragarj</t>
  </si>
  <si>
    <t xml:space="preserve">vigarj</t>
  </si>
  <si>
    <t xml:space="preserve">anugarj</t>
  </si>
  <si>
    <t xml:space="preserve">avagarj</t>
  </si>
  <si>
    <t xml:space="preserve">saṁpragarj</t>
  </si>
  <si>
    <t xml:space="preserve">udgarj</t>
  </si>
  <si>
    <t xml:space="preserve">atigarj</t>
  </si>
  <si>
    <t xml:space="preserve">parigarj</t>
  </si>
  <si>
    <t xml:space="preserve">saṁgarj</t>
  </si>
  <si>
    <t xml:space="preserve">samabhigarj</t>
  </si>
  <si>
    <t xml:space="preserve">cikīrṣ</t>
  </si>
  <si>
    <t xml:space="preserve">praticikīrṣ</t>
  </si>
  <si>
    <t xml:space="preserve">ācikīrṣ</t>
  </si>
  <si>
    <t xml:space="preserve">nicikīrṣ</t>
  </si>
  <si>
    <t xml:space="preserve">paricikīrṣ</t>
  </si>
  <si>
    <t xml:space="preserve">saṁcikīrṣ</t>
  </si>
  <si>
    <t xml:space="preserve">svīcikīrṣ</t>
  </si>
  <si>
    <t xml:space="preserve">vicikīrṣ</t>
  </si>
  <si>
    <t xml:space="preserve">maṇḍay</t>
  </si>
  <si>
    <t xml:space="preserve">parimaṇḍay</t>
  </si>
  <si>
    <t xml:space="preserve">pratimaṇḍay</t>
  </si>
  <si>
    <t xml:space="preserve">bodhay</t>
  </si>
  <si>
    <t xml:space="preserve">prabodhay</t>
  </si>
  <si>
    <t xml:space="preserve">pratibodhay</t>
  </si>
  <si>
    <t xml:space="preserve">vibodhay</t>
  </si>
  <si>
    <t xml:space="preserve">sambodhay</t>
  </si>
  <si>
    <t xml:space="preserve">avabodhay</t>
  </si>
  <si>
    <t xml:space="preserve">udbodhay</t>
  </si>
  <si>
    <t xml:space="preserve">nibodhay</t>
  </si>
  <si>
    <t xml:space="preserve">anubodhay</t>
  </si>
  <si>
    <t xml:space="preserve">ābodhay</t>
  </si>
  <si>
    <t xml:space="preserve">pratisaṁbodhay</t>
  </si>
  <si>
    <t xml:space="preserve">sampratibodhay</t>
  </si>
  <si>
    <t xml:space="preserve">samudbodhay</t>
  </si>
  <si>
    <t xml:space="preserve">saṁprabodhay</t>
  </si>
  <si>
    <t xml:space="preserve">kṣubh</t>
  </si>
  <si>
    <t xml:space="preserve">saṁkṣubh</t>
  </si>
  <si>
    <t xml:space="preserve">prakṣubh</t>
  </si>
  <si>
    <t xml:space="preserve">samprakṣubh</t>
  </si>
  <si>
    <t xml:space="preserve">vikṣubh</t>
  </si>
  <si>
    <t xml:space="preserve">utkṣubh</t>
  </si>
  <si>
    <t xml:space="preserve">van</t>
  </si>
  <si>
    <t xml:space="preserve">abhivan</t>
  </si>
  <si>
    <t xml:space="preserve">pravan</t>
  </si>
  <si>
    <t xml:space="preserve">āvan</t>
  </si>
  <si>
    <t xml:space="preserve">ceṣṭ</t>
  </si>
  <si>
    <t xml:space="preserve">viceṣṭ</t>
  </si>
  <si>
    <t xml:space="preserve">āceṣṭ</t>
  </si>
  <si>
    <t xml:space="preserve">pariceṣṭ</t>
  </si>
  <si>
    <t xml:space="preserve">saṁceṣṭ</t>
  </si>
  <si>
    <t xml:space="preserve">aticeṣṭ</t>
  </si>
  <si>
    <t xml:space="preserve">avaceṣṭ</t>
  </si>
  <si>
    <t xml:space="preserve">praviceṣṭ</t>
  </si>
  <si>
    <t xml:space="preserve">saṁviceṣṭ</t>
  </si>
  <si>
    <t xml:space="preserve">vyaticeṣṭ</t>
  </si>
  <si>
    <t xml:space="preserve">sāntvay</t>
  </si>
  <si>
    <t xml:space="preserve">parisāntvay</t>
  </si>
  <si>
    <t xml:space="preserve">abhisāntvay</t>
  </si>
  <si>
    <t xml:space="preserve">upasāntvay</t>
  </si>
  <si>
    <t xml:space="preserve">saṁsāntvay</t>
  </si>
  <si>
    <t xml:space="preserve">snāpay</t>
  </si>
  <si>
    <t xml:space="preserve">saṁsnāpay</t>
  </si>
  <si>
    <t xml:space="preserve">prasnāpay</t>
  </si>
  <si>
    <t xml:space="preserve">avasnāpay</t>
  </si>
  <si>
    <t xml:space="preserve">kṣar</t>
  </si>
  <si>
    <t xml:space="preserve">vikṣar</t>
  </si>
  <si>
    <t xml:space="preserve">abhikṣar</t>
  </si>
  <si>
    <t xml:space="preserve">atikṣar</t>
  </si>
  <si>
    <t xml:space="preserve">parikṣar</t>
  </si>
  <si>
    <t xml:space="preserve">prakṣar</t>
  </si>
  <si>
    <t xml:space="preserve">upakṣar</t>
  </si>
  <si>
    <t xml:space="preserve">anukṣar</t>
  </si>
  <si>
    <t xml:space="preserve">abhiprakṣar</t>
  </si>
  <si>
    <t xml:space="preserve">abhyatikṣar</t>
  </si>
  <si>
    <t xml:space="preserve">saṁkṣar</t>
  </si>
  <si>
    <t xml:space="preserve">rañj</t>
  </si>
  <si>
    <t xml:space="preserve">anurañj</t>
  </si>
  <si>
    <t xml:space="preserve">virañj</t>
  </si>
  <si>
    <t xml:space="preserve">saṁrañj</t>
  </si>
  <si>
    <t xml:space="preserve">uparañj</t>
  </si>
  <si>
    <t xml:space="preserve">abhirañj</t>
  </si>
  <si>
    <t xml:space="preserve">ārañj</t>
  </si>
  <si>
    <t xml:space="preserve">aparañj</t>
  </si>
  <si>
    <t xml:space="preserve">abhisaṁrañj</t>
  </si>
  <si>
    <t xml:space="preserve">niranurañj</t>
  </si>
  <si>
    <t xml:space="preserve">pravirañj</t>
  </si>
  <si>
    <t xml:space="preserve">antarañj</t>
  </si>
  <si>
    <t xml:space="preserve">samabhirañj</t>
  </si>
  <si>
    <t xml:space="preserve">udrañj</t>
  </si>
  <si>
    <t xml:space="preserve">hi</t>
  </si>
  <si>
    <t xml:space="preserve">prahi</t>
  </si>
  <si>
    <t xml:space="preserve">anuprahi</t>
  </si>
  <si>
    <t xml:space="preserve">abhiprahi</t>
  </si>
  <si>
    <t xml:space="preserve">parihi</t>
  </si>
  <si>
    <t xml:space="preserve">prāhi</t>
  </si>
  <si>
    <t xml:space="preserve">pratiprahi</t>
  </si>
  <si>
    <t xml:space="preserve">āhi</t>
  </si>
  <si>
    <t xml:space="preserve">apahi</t>
  </si>
  <si>
    <t xml:space="preserve">pratihi</t>
  </si>
  <si>
    <t xml:space="preserve">saṁhi</t>
  </si>
  <si>
    <t xml:space="preserve">upaprahi</t>
  </si>
  <si>
    <t xml:space="preserve">miśray</t>
  </si>
  <si>
    <t xml:space="preserve">vimiśray</t>
  </si>
  <si>
    <t xml:space="preserve">saṁmiśray</t>
  </si>
  <si>
    <t xml:space="preserve">unmiśray</t>
  </si>
  <si>
    <t xml:space="preserve">parimiśray</t>
  </si>
  <si>
    <t xml:space="preserve">vyāmiśray</t>
  </si>
  <si>
    <t xml:space="preserve">pratisaṁmiśray</t>
  </si>
  <si>
    <t xml:space="preserve">vyatimiśray</t>
  </si>
  <si>
    <t xml:space="preserve">indh</t>
  </si>
  <si>
    <t xml:space="preserve">samindh</t>
  </si>
  <si>
    <t xml:space="preserve">abhīndh</t>
  </si>
  <si>
    <t xml:space="preserve">prendh</t>
  </si>
  <si>
    <t xml:space="preserve">abhisamindh</t>
  </si>
  <si>
    <t xml:space="preserve">endh</t>
  </si>
  <si>
    <t xml:space="preserve">saṁprendh</t>
  </si>
  <si>
    <t xml:space="preserve">anvindh</t>
  </si>
  <si>
    <t xml:space="preserve">pratisamindh</t>
  </si>
  <si>
    <t xml:space="preserve">upasamindh</t>
  </si>
  <si>
    <t xml:space="preserve">dhū</t>
  </si>
  <si>
    <t xml:space="preserve">vidhū</t>
  </si>
  <si>
    <t xml:space="preserve">uddhū</t>
  </si>
  <si>
    <t xml:space="preserve">avadhū</t>
  </si>
  <si>
    <t xml:space="preserve">nirdhū</t>
  </si>
  <si>
    <t xml:space="preserve">ādhū</t>
  </si>
  <si>
    <t xml:space="preserve">samuddhū</t>
  </si>
  <si>
    <t xml:space="preserve">vinirdhū</t>
  </si>
  <si>
    <t xml:space="preserve">samādhū</t>
  </si>
  <si>
    <t xml:space="preserve">pradhū</t>
  </si>
  <si>
    <t xml:space="preserve">vyavadhū</t>
  </si>
  <si>
    <t xml:space="preserve">nidhū</t>
  </si>
  <si>
    <t xml:space="preserve">vyādhū</t>
  </si>
  <si>
    <t xml:space="preserve">proddhū</t>
  </si>
  <si>
    <t xml:space="preserve">paridhū</t>
  </si>
  <si>
    <t xml:space="preserve">pravidhū</t>
  </si>
  <si>
    <t xml:space="preserve">pravinirdhū</t>
  </si>
  <si>
    <t xml:space="preserve">upadhū</t>
  </si>
  <si>
    <t xml:space="preserve">abhidhū</t>
  </si>
  <si>
    <t xml:space="preserve">apadhū</t>
  </si>
  <si>
    <t xml:space="preserve">saṁdhū</t>
  </si>
  <si>
    <t xml:space="preserve">kṣan</t>
  </si>
  <si>
    <t xml:space="preserve">vikṣan</t>
  </si>
  <si>
    <t xml:space="preserve">parikṣan</t>
  </si>
  <si>
    <t xml:space="preserve">parivikṣan</t>
  </si>
  <si>
    <t xml:space="preserve">ākṣan</t>
  </si>
  <si>
    <t xml:space="preserve">abhikṣan</t>
  </si>
  <si>
    <t xml:space="preserve">vinikṣan</t>
  </si>
  <si>
    <t xml:space="preserve">vāhay</t>
  </si>
  <si>
    <t xml:space="preserve">āvāhay</t>
  </si>
  <si>
    <t xml:space="preserve">nirvāhay</t>
  </si>
  <si>
    <t xml:space="preserve">saṁvāhay</t>
  </si>
  <si>
    <t xml:space="preserve">ativāhay</t>
  </si>
  <si>
    <t xml:space="preserve">apavāhay</t>
  </si>
  <si>
    <t xml:space="preserve">vivāhay</t>
  </si>
  <si>
    <t xml:space="preserve">udvāhay</t>
  </si>
  <si>
    <t xml:space="preserve">pravāhay</t>
  </si>
  <si>
    <t xml:space="preserve">parivāhay</t>
  </si>
  <si>
    <t xml:space="preserve">anuvāhay</t>
  </si>
  <si>
    <t xml:space="preserve">adhivāhay</t>
  </si>
  <si>
    <t xml:space="preserve">prativāhay</t>
  </si>
  <si>
    <t xml:space="preserve">samāvāhay</t>
  </si>
  <si>
    <t xml:space="preserve">samabhivāhay</t>
  </si>
  <si>
    <t xml:space="preserve">upavāhay</t>
  </si>
  <si>
    <t xml:space="preserve">nivāhay</t>
  </si>
  <si>
    <t xml:space="preserve">samativāhay</t>
  </si>
  <si>
    <t xml:space="preserve">kāṅkṣ</t>
  </si>
  <si>
    <t xml:space="preserve">ākāṅkṣ</t>
  </si>
  <si>
    <t xml:space="preserve">abhikāṅkṣ</t>
  </si>
  <si>
    <t xml:space="preserve">pratikāṅkṣ</t>
  </si>
  <si>
    <t xml:space="preserve">anukāṅkṣ</t>
  </si>
  <si>
    <t xml:space="preserve">prakāṅkṣ</t>
  </si>
  <si>
    <t xml:space="preserve">vikāṅkṣ</t>
  </si>
  <si>
    <t xml:space="preserve">pratyākāṅkṣ</t>
  </si>
  <si>
    <t xml:space="preserve">samabhikāṇkṣ</t>
  </si>
  <si>
    <t xml:space="preserve">avakāṅkṣ</t>
  </si>
  <si>
    <t xml:space="preserve">samākāṅkṣ</t>
  </si>
  <si>
    <t xml:space="preserve">gal</t>
  </si>
  <si>
    <t xml:space="preserve">vigal</t>
  </si>
  <si>
    <t xml:space="preserve">āgal</t>
  </si>
  <si>
    <t xml:space="preserve">pragal</t>
  </si>
  <si>
    <t xml:space="preserve">pravigal</t>
  </si>
  <si>
    <t xml:space="preserve">udgal</t>
  </si>
  <si>
    <t xml:space="preserve">parigal</t>
  </si>
  <si>
    <t xml:space="preserve">avagal</t>
  </si>
  <si>
    <t xml:space="preserve">nirgal</t>
  </si>
  <si>
    <t xml:space="preserve">saṁgal</t>
  </si>
  <si>
    <t xml:space="preserve">samāgal</t>
  </si>
  <si>
    <t xml:space="preserve">nigal</t>
  </si>
  <si>
    <t xml:space="preserve">paryāgal</t>
  </si>
  <si>
    <t xml:space="preserve">kṛ</t>
  </si>
  <si>
    <t xml:space="preserve">alaṁkṛ</t>
  </si>
  <si>
    <t xml:space="preserve">prakṛ</t>
  </si>
  <si>
    <t xml:space="preserve">namaskṛ</t>
  </si>
  <si>
    <t xml:space="preserve">puraskṛ</t>
  </si>
  <si>
    <t xml:space="preserve">saṁskṛ</t>
  </si>
  <si>
    <t xml:space="preserve">satkṛ</t>
  </si>
  <si>
    <t xml:space="preserve">avakṛ</t>
  </si>
  <si>
    <t xml:space="preserve">adhikṛ</t>
  </si>
  <si>
    <t xml:space="preserve">vikṛ</t>
  </si>
  <si>
    <t xml:space="preserve">samalaṁkṛ</t>
  </si>
  <si>
    <t xml:space="preserve">pariṣkṛ</t>
  </si>
  <si>
    <t xml:space="preserve">ekīkṛ</t>
  </si>
  <si>
    <t xml:space="preserve">pratikṛ</t>
  </si>
  <si>
    <t xml:space="preserve">vyākṛ</t>
  </si>
  <si>
    <r>
      <rPr>
        <sz val="10"/>
        <rFont val="Arial"/>
        <family val="2"/>
        <charset val="204"/>
      </rPr>
      <t xml:space="preserve">prak</t>
    </r>
    <r>
      <rPr>
        <sz val="10"/>
        <rFont val="Microsoft YaHei"/>
        <family val="2"/>
        <charset val="204"/>
      </rPr>
      <t xml:space="preserve">￞</t>
    </r>
  </si>
  <si>
    <t xml:space="preserve">gurukṛ</t>
  </si>
  <si>
    <t xml:space="preserve">pradakṣiṇīkṛ</t>
  </si>
  <si>
    <t xml:space="preserve">sākṣātkṛ</t>
  </si>
  <si>
    <t xml:space="preserve">svīkṛ</t>
  </si>
  <si>
    <t xml:space="preserve">cūrṇīkṛ</t>
  </si>
  <si>
    <t xml:space="preserve">nirākṛ</t>
  </si>
  <si>
    <t xml:space="preserve">bahiṣkṛ</t>
  </si>
  <si>
    <t xml:space="preserve">upakṛ</t>
  </si>
  <si>
    <t xml:space="preserve">upākṛ</t>
  </si>
  <si>
    <t xml:space="preserve">vaśīkṛ</t>
  </si>
  <si>
    <t xml:space="preserve">bhasmīkṛ</t>
  </si>
  <si>
    <t xml:space="preserve">prāduṣkṛ</t>
  </si>
  <si>
    <t xml:space="preserve">aṅgīkṛ</t>
  </si>
  <si>
    <t xml:space="preserve">apakṛ</t>
  </si>
  <si>
    <t xml:space="preserve">anukṛ</t>
  </si>
  <si>
    <t xml:space="preserve">prāviṣkṛ</t>
  </si>
  <si>
    <t xml:space="preserve">vaṣaṭkṛ</t>
  </si>
  <si>
    <t xml:space="preserve">nikṛ</t>
  </si>
  <si>
    <t xml:space="preserve">tiraskṛ</t>
  </si>
  <si>
    <t xml:space="preserve">āviṣkṛ</t>
  </si>
  <si>
    <t xml:space="preserve">samīkṛ</t>
  </si>
  <si>
    <t xml:space="preserve">apākṛ</t>
  </si>
  <si>
    <t xml:space="preserve">viprakṛ</t>
  </si>
  <si>
    <t xml:space="preserve">kalkīkṛ</t>
  </si>
  <si>
    <t xml:space="preserve">samavakṛ</t>
  </si>
  <si>
    <t xml:space="preserve">jarjarīkṛ</t>
  </si>
  <si>
    <t xml:space="preserve">sajjīkṛ</t>
  </si>
  <si>
    <t xml:space="preserve">abhisaṁskṛ</t>
  </si>
  <si>
    <t xml:space="preserve">prakaṭīkṛ</t>
  </si>
  <si>
    <t xml:space="preserve">vimukhīkṛ</t>
  </si>
  <si>
    <t xml:space="preserve">dūrīkṛ</t>
  </si>
  <si>
    <t xml:space="preserve">pratisaṁskṛ</t>
  </si>
  <si>
    <t xml:space="preserve">upasaṁskṛ</t>
  </si>
  <si>
    <t xml:space="preserve">abhyavakṛ</t>
  </si>
  <si>
    <t xml:space="preserve">ākṛ</t>
  </si>
  <si>
    <t xml:space="preserve">anuvaṣaṭkṛ</t>
  </si>
  <si>
    <t xml:space="preserve">asatkṛ</t>
  </si>
  <si>
    <t xml:space="preserve">mukhīkṛ</t>
  </si>
  <si>
    <t xml:space="preserve">guṇīkṛ</t>
  </si>
  <si>
    <t xml:space="preserve">upaskṛ</t>
  </si>
  <si>
    <t xml:space="preserve">kaluṣīkṛ</t>
  </si>
  <si>
    <t xml:space="preserve">maṇḍalīkṛ</t>
  </si>
  <si>
    <t xml:space="preserve">vaṭakīkṛ</t>
  </si>
  <si>
    <t xml:space="preserve">vinikṛ</t>
  </si>
  <si>
    <t xml:space="preserve">śakalīkṛ</t>
  </si>
  <si>
    <t xml:space="preserve">ākulīkṛ</t>
  </si>
  <si>
    <t xml:space="preserve">kadarthīkṛ</t>
  </si>
  <si>
    <t xml:space="preserve">pratyakṣīkṛ</t>
  </si>
  <si>
    <t xml:space="preserve">piṇḍīkṛ</t>
  </si>
  <si>
    <t xml:space="preserve">sthirīkṛ</t>
  </si>
  <si>
    <t xml:space="preserve">dravīkṛ</t>
  </si>
  <si>
    <t xml:space="preserve">nimittīkṛ</t>
  </si>
  <si>
    <t xml:space="preserve">pramāṇīkṛ</t>
  </si>
  <si>
    <t xml:space="preserve">utkṛ</t>
  </si>
  <si>
    <t xml:space="preserve">vyākulīkṛ</t>
  </si>
  <si>
    <t xml:space="preserve">śithilīkṛ</t>
  </si>
  <si>
    <t xml:space="preserve">bhasmasātkṛ</t>
  </si>
  <si>
    <t xml:space="preserve">abhisatkṛ</t>
  </si>
  <si>
    <t xml:space="preserve">bahulīkṛ</t>
  </si>
  <si>
    <t xml:space="preserve">phūtkṛ</t>
  </si>
  <si>
    <t xml:space="preserve">dṛḍhīkṛ</t>
  </si>
  <si>
    <t xml:space="preserve">hiṁkṛ</t>
  </si>
  <si>
    <t xml:space="preserve">huṁkṛ</t>
  </si>
  <si>
    <t xml:space="preserve">piṣṭīkṛ</t>
  </si>
  <si>
    <t xml:space="preserve">pṛthakkṛ</t>
  </si>
  <si>
    <t xml:space="preserve">surabhīkṛ</t>
  </si>
  <si>
    <t xml:space="preserve">saphalīkṛ</t>
  </si>
  <si>
    <t xml:space="preserve">saṁpuṭīkṛ</t>
  </si>
  <si>
    <t xml:space="preserve">vaṭīkṛ</t>
  </si>
  <si>
    <t xml:space="preserve">malinīkṛ</t>
  </si>
  <si>
    <t xml:space="preserve">nirmalīkṛ</t>
  </si>
  <si>
    <t xml:space="preserve">pattrīkṛ</t>
  </si>
  <si>
    <t xml:space="preserve">khalīkṛ</t>
  </si>
  <si>
    <t xml:space="preserve">ekārṇavīkṛ</t>
  </si>
  <si>
    <t xml:space="preserve">kavalīkṛ</t>
  </si>
  <si>
    <t xml:space="preserve">parākṛ</t>
  </si>
  <si>
    <t xml:space="preserve">saṁkṛ</t>
  </si>
  <si>
    <t xml:space="preserve">tṛṇīkṛ</t>
  </si>
  <si>
    <t xml:space="preserve">viśakalīkṛ</t>
  </si>
  <si>
    <t xml:space="preserve">viphalīkṛ</t>
  </si>
  <si>
    <t xml:space="preserve">virathīkṛ</t>
  </si>
  <si>
    <t xml:space="preserve">śītkṛ</t>
  </si>
  <si>
    <t xml:space="preserve">śītalīkṛ</t>
  </si>
  <si>
    <t xml:space="preserve">āmukhīkṛ</t>
  </si>
  <si>
    <t xml:space="preserve">ārdrīkṛ</t>
  </si>
  <si>
    <t xml:space="preserve">ātmīkṛ</t>
  </si>
  <si>
    <t xml:space="preserve">adharīkṛ</t>
  </si>
  <si>
    <t xml:space="preserve">badhirīkṛ</t>
  </si>
  <si>
    <t xml:space="preserve">dāsīkṛ</t>
  </si>
  <si>
    <t xml:space="preserve">grāsīkṛ</t>
  </si>
  <si>
    <t xml:space="preserve">jaḍīkṛ</t>
  </si>
  <si>
    <t xml:space="preserve">mandīkṛ</t>
  </si>
  <si>
    <t xml:space="preserve">masṛṇīkṛ</t>
  </si>
  <si>
    <t xml:space="preserve">miśrīkṛ</t>
  </si>
  <si>
    <t xml:space="preserve">niṣkṛ</t>
  </si>
  <si>
    <t xml:space="preserve">paripraśnīkṛ</t>
  </si>
  <si>
    <t xml:space="preserve">spaṣṭīkṛ</t>
  </si>
  <si>
    <t xml:space="preserve">avākṛ</t>
  </si>
  <si>
    <t xml:space="preserve">golakīkṛ</t>
  </si>
  <si>
    <t xml:space="preserve">iṣkṛ</t>
  </si>
  <si>
    <t xml:space="preserve">kajjalīkṛ</t>
  </si>
  <si>
    <t xml:space="preserve">koṣṭhakīkṛ</t>
  </si>
  <si>
    <t xml:space="preserve">mṛdūkṛ</t>
  </si>
  <si>
    <t xml:space="preserve">sākṣīkṛ</t>
  </si>
  <si>
    <t xml:space="preserve">samākṛ</t>
  </si>
  <si>
    <t xml:space="preserve">sphuṭīkṛ</t>
  </si>
  <si>
    <t xml:space="preserve">pravikṛ</t>
  </si>
  <si>
    <t xml:space="preserve">abhihiṅkṛ</t>
  </si>
  <si>
    <t xml:space="preserve">dīrghīkṛ</t>
  </si>
  <si>
    <t xml:space="preserve">kṣetrīkṛ</t>
  </si>
  <si>
    <t xml:space="preserve">kaṭhinīkṛ</t>
  </si>
  <si>
    <t xml:space="preserve">moghīkṛ</t>
  </si>
  <si>
    <t xml:space="preserve">nyakkṛ</t>
  </si>
  <si>
    <t xml:space="preserve">paryagnikṛ</t>
  </si>
  <si>
    <t xml:space="preserve">pattalīkṛ</t>
  </si>
  <si>
    <t xml:space="preserve">pavitrīkṛ</t>
  </si>
  <si>
    <t xml:space="preserve">puṭīkṛ</t>
  </si>
  <si>
    <t xml:space="preserve">triguṇīkṛ</t>
  </si>
  <si>
    <t xml:space="preserve">vakrīkṛ</t>
  </si>
  <si>
    <t xml:space="preserve">vitathīkṛ</t>
  </si>
  <si>
    <t xml:space="preserve">vyayīkṛ</t>
  </si>
  <si>
    <t xml:space="preserve">niṣkṝ</t>
  </si>
  <si>
    <t xml:space="preserve">saṁprakṛ</t>
  </si>
  <si>
    <t xml:space="preserve">alpīkṛ</t>
  </si>
  <si>
    <t xml:space="preserve">amarīkṛ</t>
  </si>
  <si>
    <t xml:space="preserve">amṛtīkṛ</t>
  </si>
  <si>
    <t xml:space="preserve">antarīkṛ</t>
  </si>
  <si>
    <t xml:space="preserve">andhīkṛ</t>
  </si>
  <si>
    <t xml:space="preserve">dvidhākṛ</t>
  </si>
  <si>
    <t xml:space="preserve">guṭikīkṛ</t>
  </si>
  <si>
    <t xml:space="preserve">kāñcanīkṛ</t>
  </si>
  <si>
    <t xml:space="preserve">navīkṛ</t>
  </si>
  <si>
    <t xml:space="preserve">nyāsīkṛ</t>
  </si>
  <si>
    <t xml:space="preserve">parāpṛṣṭhīkṛ</t>
  </si>
  <si>
    <t xml:space="preserve">pratanūkṛ</t>
  </si>
  <si>
    <t xml:space="preserve">raktīkṛ</t>
  </si>
  <si>
    <t xml:space="preserve">samprakṛ</t>
  </si>
  <si>
    <t xml:space="preserve">urarīkṛ</t>
  </si>
  <si>
    <t xml:space="preserve">abhiprakṛ</t>
  </si>
  <si>
    <t xml:space="preserve">samutkṛ</t>
  </si>
  <si>
    <t xml:space="preserve">vyākṝ</t>
  </si>
  <si>
    <t xml:space="preserve">vyavakṛ</t>
  </si>
  <si>
    <t xml:space="preserve">śikhīkṛ</t>
  </si>
  <si>
    <t xml:space="preserve">ślathīkṛ</t>
  </si>
  <si>
    <t xml:space="preserve">ślakṣṇīkṛ</t>
  </si>
  <si>
    <t xml:space="preserve">bhagnapṛṣṭhīkṛ</t>
  </si>
  <si>
    <t xml:space="preserve">bhājanīkṛ</t>
  </si>
  <si>
    <t xml:space="preserve">bhasmarāśīkṛ</t>
  </si>
  <si>
    <t xml:space="preserve">abhyantarīkṛ</t>
  </si>
  <si>
    <t xml:space="preserve">bījīkṛ</t>
  </si>
  <si>
    <t xml:space="preserve">dakṣiṇīkṛ</t>
  </si>
  <si>
    <t xml:space="preserve">drutīkṛ</t>
  </si>
  <si>
    <t xml:space="preserve">dvaidhīkṛ</t>
  </si>
  <si>
    <t xml:space="preserve">jihmīkṛ</t>
  </si>
  <si>
    <t xml:space="preserve">kroḍīkṛ</t>
  </si>
  <si>
    <t xml:space="preserve">kṛtārthīkṛ</t>
  </si>
  <si>
    <t xml:space="preserve">lakṣyīkṛ</t>
  </si>
  <si>
    <t xml:space="preserve">mahatkṛ</t>
  </si>
  <si>
    <t xml:space="preserve">naṣṭapiṣṭīkṛ</t>
  </si>
  <si>
    <t xml:space="preserve">nistuṣīkṛ</t>
  </si>
  <si>
    <t xml:space="preserve">parikṛ</t>
  </si>
  <si>
    <t xml:space="preserve">piñjarīkṛ</t>
  </si>
  <si>
    <t xml:space="preserve">prasādīkṛ</t>
  </si>
  <si>
    <t xml:space="preserve">sakalīkṛ</t>
  </si>
  <si>
    <t xml:space="preserve">tīrthīkṛ</t>
  </si>
  <si>
    <t xml:space="preserve">uttānīkṛ</t>
  </si>
  <si>
    <t xml:space="preserve">vājīkṛ</t>
  </si>
  <si>
    <t xml:space="preserve">viṣayīkṛ</t>
  </si>
  <si>
    <t xml:space="preserve">vikalīkṛ</t>
  </si>
  <si>
    <t xml:space="preserve">vipṛṣṭhīkṛ</t>
  </si>
  <si>
    <t xml:space="preserve">vitānīkṛ</t>
  </si>
  <si>
    <t xml:space="preserve">vituṣīkṛ</t>
  </si>
  <si>
    <t xml:space="preserve">vyaktīkṛ</t>
  </si>
  <si>
    <t xml:space="preserve">paryavakṛ</t>
  </si>
  <si>
    <t xml:space="preserve">śailīkṛ</t>
  </si>
  <si>
    <t xml:space="preserve">śūlākṛ</t>
  </si>
  <si>
    <t xml:space="preserve">śeṣīkṛ</t>
  </si>
  <si>
    <t xml:space="preserve">śītīkṛ</t>
  </si>
  <si>
    <t xml:space="preserve">śuṣkīkṛ</t>
  </si>
  <si>
    <t xml:space="preserve">khaṇḍīkṛ</t>
  </si>
  <si>
    <t xml:space="preserve">ghanīkṛ</t>
  </si>
  <si>
    <t xml:space="preserve">bhāgīkṛ</t>
  </si>
  <si>
    <t xml:space="preserve">abhyalaṁkṛ</t>
  </si>
  <si>
    <t xml:space="preserve">āgaskṛ</t>
  </si>
  <si>
    <t xml:space="preserve">ahaṁkṛ</t>
  </si>
  <si>
    <t xml:space="preserve">āhutīkṛ</t>
  </si>
  <si>
    <t xml:space="preserve">antaḥkṛ</t>
  </si>
  <si>
    <t xml:space="preserve">andhakārīkṛ</t>
  </si>
  <si>
    <t xml:space="preserve">ārambaṇīkṛ</t>
  </si>
  <si>
    <t xml:space="preserve">ādhīkṛ</t>
  </si>
  <si>
    <t xml:space="preserve">adhikīkṛ</t>
  </si>
  <si>
    <t xml:space="preserve">dvaṁdvīkṛ</t>
  </si>
  <si>
    <t xml:space="preserve">dviguṇīkṛ</t>
  </si>
  <si>
    <t xml:space="preserve">dṛṣṭāntīkṛ</t>
  </si>
  <si>
    <t xml:space="preserve">dṛḍhatarīkṛ</t>
  </si>
  <si>
    <t xml:space="preserve">ekatrīkṛ</t>
  </si>
  <si>
    <t xml:space="preserve">ekāyanīkṛ</t>
  </si>
  <si>
    <t xml:space="preserve">kapilīkṛ</t>
  </si>
  <si>
    <t xml:space="preserve">koṣṭakīkṛ</t>
  </si>
  <si>
    <t xml:space="preserve">lakṣīkṛ</t>
  </si>
  <si>
    <t xml:space="preserve">lavaṇīkṛ</t>
  </si>
  <si>
    <t xml:space="preserve">mukharīkṛ</t>
  </si>
  <si>
    <t xml:space="preserve">muktīkṛ</t>
  </si>
  <si>
    <t xml:space="preserve">nagnīkṛ</t>
  </si>
  <si>
    <t xml:space="preserve">niścalīkṛ</t>
  </si>
  <si>
    <t xml:space="preserve">nīcīkṛ</t>
  </si>
  <si>
    <t xml:space="preserve">nirviṣayīkṛ</t>
  </si>
  <si>
    <t xml:space="preserve">paśūkṛ</t>
  </si>
  <si>
    <t xml:space="preserve">paṇīkṛ</t>
  </si>
  <si>
    <t xml:space="preserve">pakṣīkṛ</t>
  </si>
  <si>
    <t xml:space="preserve">parāṅmukhīkṛ</t>
  </si>
  <si>
    <t xml:space="preserve">paruṣīkṛ</t>
  </si>
  <si>
    <t xml:space="preserve">paryantīkṛ</t>
  </si>
  <si>
    <t xml:space="preserve">peśīkṛ</t>
  </si>
  <si>
    <t xml:space="preserve">prakāśīkṛ</t>
  </si>
  <si>
    <t xml:space="preserve">prasannīkṛ</t>
  </si>
  <si>
    <t xml:space="preserve">pratisatkṛ</t>
  </si>
  <si>
    <t xml:space="preserve">pravaṇīkṛ</t>
  </si>
  <si>
    <t xml:space="preserve">rajīkṛ</t>
  </si>
  <si>
    <t xml:space="preserve">rasīkṛ</t>
  </si>
  <si>
    <t xml:space="preserve">riktīkṛ</t>
  </si>
  <si>
    <t xml:space="preserve">samarasīkṛ</t>
  </si>
  <si>
    <t xml:space="preserve">sanāthīkṛ</t>
  </si>
  <si>
    <t xml:space="preserve">sātmyīkṛ</t>
  </si>
  <si>
    <t xml:space="preserve">sādhāraṇīkṛ</t>
  </si>
  <si>
    <t xml:space="preserve">sindūrīkṛ</t>
  </si>
  <si>
    <t xml:space="preserve">siṁhīkṛ</t>
  </si>
  <si>
    <t xml:space="preserve">supattrīkṛ</t>
  </si>
  <si>
    <t xml:space="preserve">svasthīkṛ</t>
  </si>
  <si>
    <t xml:space="preserve">tucchīkṛ</t>
  </si>
  <si>
    <t xml:space="preserve">dhavalīkṛ</t>
  </si>
  <si>
    <t xml:space="preserve">uddhārīkṛ</t>
  </si>
  <si>
    <t xml:space="preserve">dhikkṛ</t>
  </si>
  <si>
    <t xml:space="preserve">upahārīkṛ</t>
  </si>
  <si>
    <t xml:space="preserve">vāhanīkṛ</t>
  </si>
  <si>
    <t xml:space="preserve">viṣamīkṛ</t>
  </si>
  <si>
    <t xml:space="preserve">viguṇīkṛ</t>
  </si>
  <si>
    <t xml:space="preserve">viralīkṛ</t>
  </si>
  <si>
    <t xml:space="preserve">vivaśīkṛ</t>
  </si>
  <si>
    <t xml:space="preserve">vyarthīkṛ</t>
  </si>
  <si>
    <t xml:space="preserve">yogīkṛ</t>
  </si>
  <si>
    <t xml:space="preserve">yugalīkṛ</t>
  </si>
  <si>
    <t xml:space="preserve">abhyākṛ</t>
  </si>
  <si>
    <t xml:space="preserve">śūnyīkṛ</t>
  </si>
  <si>
    <t xml:space="preserve">śakulīkṛ</t>
  </si>
  <si>
    <t xml:space="preserve">śekharīkṛ</t>
  </si>
  <si>
    <t xml:space="preserve">śiśirīkṛ</t>
  </si>
  <si>
    <t xml:space="preserve">śiṣyīkṛ</t>
  </si>
  <si>
    <t xml:space="preserve">śivamayīkṛ</t>
  </si>
  <si>
    <t xml:space="preserve">śivīkṛ</t>
  </si>
  <si>
    <t xml:space="preserve">śuddhīkṛ</t>
  </si>
  <si>
    <t xml:space="preserve">śyāmīkṛ</t>
  </si>
  <si>
    <t xml:space="preserve">chidrīkṛ</t>
  </si>
  <si>
    <t xml:space="preserve">ūrīkṛ</t>
  </si>
  <si>
    <t xml:space="preserve">khilīkṛ</t>
  </si>
  <si>
    <t xml:space="preserve">ghaṭīkṛ</t>
  </si>
  <si>
    <t xml:space="preserve">akhkhalīkṛ</t>
  </si>
  <si>
    <t xml:space="preserve">akhilīkṛ</t>
  </si>
  <si>
    <t xml:space="preserve">aṇūkṛ</t>
  </si>
  <si>
    <t xml:space="preserve">bhadrākṛ</t>
  </si>
  <si>
    <t xml:space="preserve">abhikṛ</t>
  </si>
  <si>
    <t xml:space="preserve">abhikīrṇīkṛ</t>
  </si>
  <si>
    <t xml:space="preserve">abhimukhīkṛ</t>
  </si>
  <si>
    <t xml:space="preserve">abhiniṣkṛ</t>
  </si>
  <si>
    <t xml:space="preserve">abhipariṣkṛ</t>
  </si>
  <si>
    <t xml:space="preserve">abhidheyīkṛ</t>
  </si>
  <si>
    <t xml:space="preserve">bhāskṛ</t>
  </si>
  <si>
    <t xml:space="preserve">abhyāsīkṛ</t>
  </si>
  <si>
    <t xml:space="preserve">abhyupākṛ</t>
  </si>
  <si>
    <t xml:space="preserve">acchīkṛ</t>
  </si>
  <si>
    <t xml:space="preserve">ādanīkṛ</t>
  </si>
  <si>
    <t xml:space="preserve">ādikṛ</t>
  </si>
  <si>
    <t xml:space="preserve">ajarīkṛ</t>
  </si>
  <si>
    <t xml:space="preserve">ālambanīkṛ</t>
  </si>
  <si>
    <t xml:space="preserve">alavaṇīkṛ</t>
  </si>
  <si>
    <t xml:space="preserve">amalīkṛ</t>
  </si>
  <si>
    <t xml:space="preserve">anaikāntikīkṛ</t>
  </si>
  <si>
    <t xml:space="preserve">andhamūṣīkṛ</t>
  </si>
  <si>
    <t xml:space="preserve">anuhuṁkṛ</t>
  </si>
  <si>
    <t xml:space="preserve">anvākṛ</t>
  </si>
  <si>
    <t xml:space="preserve">anvavakṛ</t>
  </si>
  <si>
    <t xml:space="preserve">anṛṇākṛ</t>
  </si>
  <si>
    <t xml:space="preserve">arthisātkṛ</t>
  </si>
  <si>
    <t xml:space="preserve">araṁkṛ</t>
  </si>
  <si>
    <t xml:space="preserve">arūkṛ</t>
  </si>
  <si>
    <t xml:space="preserve">āsanīkṛ</t>
  </si>
  <si>
    <t xml:space="preserve">āspadīkṛ</t>
  </si>
  <si>
    <t xml:space="preserve">ādhārīkṛ</t>
  </si>
  <si>
    <t xml:space="preserve">balīkṛ</t>
  </si>
  <si>
    <t xml:space="preserve">brahmasātkṛ</t>
  </si>
  <si>
    <t xml:space="preserve">brāhmīkṛ</t>
  </si>
  <si>
    <t xml:space="preserve">cakrīkṛ</t>
  </si>
  <si>
    <t xml:space="preserve">camatkṛ</t>
  </si>
  <si>
    <t xml:space="preserve">cetanīkṛ</t>
  </si>
  <si>
    <t xml:space="preserve">dadhīkṛ</t>
  </si>
  <si>
    <t xml:space="preserve">dinīkṛ</t>
  </si>
  <si>
    <t xml:space="preserve">duḥkhākṛ</t>
  </si>
  <si>
    <t xml:space="preserve">durbhagīkṛ</t>
  </si>
  <si>
    <t xml:space="preserve">durbalīkṛ</t>
  </si>
  <si>
    <t xml:space="preserve">durjanīkṛ</t>
  </si>
  <si>
    <t xml:space="preserve">dvividhīkṛ</t>
  </si>
  <si>
    <t xml:space="preserve">ekāgrīkṛ</t>
  </si>
  <si>
    <t xml:space="preserve">ekākīkṛ</t>
  </si>
  <si>
    <t xml:space="preserve">gambhīrīkṛ</t>
  </si>
  <si>
    <t xml:space="preserve">gocarīkṛ</t>
  </si>
  <si>
    <t xml:space="preserve">gurūkṛ</t>
  </si>
  <si>
    <t xml:space="preserve">haimīkṛ</t>
  </si>
  <si>
    <t xml:space="preserve">hārīkṛ</t>
  </si>
  <si>
    <t xml:space="preserve">jyotiṣkṛ</t>
  </si>
  <si>
    <t xml:space="preserve">kṣayīkṛ</t>
  </si>
  <si>
    <t xml:space="preserve">kabalīkṛ</t>
  </si>
  <si>
    <t xml:space="preserve">kadambakīkṛ</t>
  </si>
  <si>
    <t xml:space="preserve">kalāpīkṛ</t>
  </si>
  <si>
    <t xml:space="preserve">karṇapūrīkṛ</t>
  </si>
  <si>
    <t xml:space="preserve">karaṇīkṛ</t>
  </si>
  <si>
    <t xml:space="preserve">karīkṛ</t>
  </si>
  <si>
    <t xml:space="preserve">kiṁpuruṣīkṛ</t>
  </si>
  <si>
    <t xml:space="preserve">krīḍanakīkṛ</t>
  </si>
  <si>
    <t xml:space="preserve">kuṭṭīkṛ</t>
  </si>
  <si>
    <t xml:space="preserve">kuḍmalīkṛ</t>
  </si>
  <si>
    <t xml:space="preserve">kṛṣṇāṅgārīkṛ</t>
  </si>
  <si>
    <t xml:space="preserve">lavalavīkṛ</t>
  </si>
  <si>
    <t xml:space="preserve">lohitīkṛ</t>
  </si>
  <si>
    <t xml:space="preserve">mauktikīkṛ</t>
  </si>
  <si>
    <t xml:space="preserve">mūlīkṛ</t>
  </si>
  <si>
    <t xml:space="preserve">mañjarīkṛ</t>
  </si>
  <si>
    <t xml:space="preserve">mārdavīkṛ</t>
  </si>
  <si>
    <t xml:space="preserve">mārīkṛ</t>
  </si>
  <si>
    <t xml:space="preserve">maryādīkṛ</t>
  </si>
  <si>
    <t xml:space="preserve">meghīkṛ</t>
  </si>
  <si>
    <t xml:space="preserve">mithunīkṛ</t>
  </si>
  <si>
    <t xml:space="preserve">mitrīkṛ</t>
  </si>
  <si>
    <t xml:space="preserve">mlānīkṛ</t>
  </si>
  <si>
    <t xml:space="preserve">mukulīkṛ</t>
  </si>
  <si>
    <t xml:space="preserve">mṛjīkṛ</t>
  </si>
  <si>
    <t xml:space="preserve">niśchidrīkṛ</t>
  </si>
  <si>
    <t xml:space="preserve">niścayīkṛ</t>
  </si>
  <si>
    <t xml:space="preserve">niḥsnehīkṛ</t>
  </si>
  <si>
    <t xml:space="preserve">niṣkulākṛ</t>
  </si>
  <si>
    <t xml:space="preserve">niṣkulīkṛ</t>
  </si>
  <si>
    <t xml:space="preserve">niṣpatrākṛ</t>
  </si>
  <si>
    <t xml:space="preserve">niṣprabhīkṛ</t>
  </si>
  <si>
    <t xml:space="preserve">nicayīkṛ</t>
  </si>
  <si>
    <t xml:space="preserve">nirālambanīkṛ</t>
  </si>
  <si>
    <t xml:space="preserve">nirargalīkṛ</t>
  </si>
  <si>
    <t xml:space="preserve">nirguṇīkṛ</t>
  </si>
  <si>
    <t xml:space="preserve">nirdhanīkṛ</t>
  </si>
  <si>
    <t xml:space="preserve">niruttarīkṛ</t>
  </si>
  <si>
    <t xml:space="preserve">nirviṣīkṛ</t>
  </si>
  <si>
    <t xml:space="preserve">nirvyādhīkṛ</t>
  </si>
  <si>
    <t xml:space="preserve">nyubjīkṛ</t>
  </si>
  <si>
    <t xml:space="preserve">ūrdhvīkṛ</t>
  </si>
  <si>
    <t xml:space="preserve">pūrṇīkṛ</t>
  </si>
  <si>
    <t xml:space="preserve">pāṇḍūkṛ</t>
  </si>
  <si>
    <t xml:space="preserve">pāṇḍarīkṛ</t>
  </si>
  <si>
    <t xml:space="preserve">pathīkṛ</t>
  </si>
  <si>
    <t xml:space="preserve">pakvīkṛ</t>
  </si>
  <si>
    <t xml:space="preserve">pallavīkṛ</t>
  </si>
  <si>
    <t xml:space="preserve">pañcaśikhīkṛ</t>
  </si>
  <si>
    <t xml:space="preserve">parameśvarīkṛ</t>
  </si>
  <si>
    <t xml:space="preserve">paratantrīkṛ</t>
  </si>
  <si>
    <t xml:space="preserve">parikarmīkṛ</t>
  </si>
  <si>
    <t xml:space="preserve">parivārīkṛ</t>
  </si>
  <si>
    <t xml:space="preserve">parvatīkṛ</t>
  </si>
  <si>
    <t xml:space="preserve">paryākṛ</t>
  </si>
  <si>
    <t xml:space="preserve">paryaṅkīkṛ</t>
  </si>
  <si>
    <t xml:space="preserve">paryākulīkṛ</t>
  </si>
  <si>
    <t xml:space="preserve">pātrīkṛ</t>
  </si>
  <si>
    <t xml:space="preserve">pāvanīkṛ</t>
  </si>
  <si>
    <t xml:space="preserve">pāyasīkṛ</t>
  </si>
  <si>
    <t xml:space="preserve">piṅgīkṛ</t>
  </si>
  <si>
    <t xml:space="preserve">prākṛ</t>
  </si>
  <si>
    <t xml:space="preserve">prakhalīkṛ</t>
  </si>
  <si>
    <t xml:space="preserve">prābhṛtīkṛ</t>
  </si>
  <si>
    <t xml:space="preserve">prahvīkṛ</t>
  </si>
  <si>
    <t xml:space="preserve">pralambīkṛ</t>
  </si>
  <si>
    <t xml:space="preserve">prasṛtīkṛ</t>
  </si>
  <si>
    <t xml:space="preserve">pratīkṛ</t>
  </si>
  <si>
    <t xml:space="preserve">pratibimbīkṛ</t>
  </si>
  <si>
    <t xml:space="preserve">pratyapakṛ</t>
  </si>
  <si>
    <t xml:space="preserve">pratyupakṛ</t>
  </si>
  <si>
    <t xml:space="preserve">prayogīkṛ</t>
  </si>
  <si>
    <t xml:space="preserve">puṁskṛ</t>
  </si>
  <si>
    <t xml:space="preserve">pṛthūkṛ</t>
  </si>
  <si>
    <t xml:space="preserve">rāśīkṛ</t>
  </si>
  <si>
    <t xml:space="preserve">sūkṣmīkṛ</t>
  </si>
  <si>
    <t xml:space="preserve">samaskṛ</t>
  </si>
  <si>
    <t xml:space="preserve">samavāyīkṛ</t>
  </si>
  <si>
    <t xml:space="preserve">samayīkṛ</t>
  </si>
  <si>
    <t xml:space="preserve">samṛddhīkṛ</t>
  </si>
  <si>
    <t xml:space="preserve">saṁkalīkṛ</t>
  </si>
  <si>
    <t xml:space="preserve">saṁketīkṛ</t>
  </si>
  <si>
    <t xml:space="preserve">saṁkramīkṛ</t>
  </si>
  <si>
    <t xml:space="preserve">saṁmukhīkṛ</t>
  </si>
  <si>
    <t xml:space="preserve">saṁpratikṛ</t>
  </si>
  <si>
    <t xml:space="preserve">sapatrākṛ</t>
  </si>
  <si>
    <t xml:space="preserve">sayujīkṛ</t>
  </si>
  <si>
    <t xml:space="preserve">stabdhīkṛ</t>
  </si>
  <si>
    <t xml:space="preserve">sukhākṛ</t>
  </si>
  <si>
    <t xml:space="preserve">sukhīkṛ</t>
  </si>
  <si>
    <t xml:space="preserve">suṣirīkṛ</t>
  </si>
  <si>
    <t xml:space="preserve">suprabuddhīkṛ</t>
  </si>
  <si>
    <t xml:space="preserve">svāṅgaśītīkṛ</t>
  </si>
  <si>
    <t xml:space="preserve">svāgatīkṛ</t>
  </si>
  <si>
    <t xml:space="preserve">svāmīkṛ</t>
  </si>
  <si>
    <t xml:space="preserve">svāṁśīkṛ</t>
  </si>
  <si>
    <t xml:space="preserve">svarasīkṛ</t>
  </si>
  <si>
    <t xml:space="preserve">tāmrīkṛ</t>
  </si>
  <si>
    <t xml:space="preserve">tanmayīkṛ</t>
  </si>
  <si>
    <t xml:space="preserve">timirīkṛ</t>
  </si>
  <si>
    <t xml:space="preserve">tvaṁkṛ</t>
  </si>
  <si>
    <t xml:space="preserve">tṛptīkṛ</t>
  </si>
  <si>
    <t xml:space="preserve">uṣṇīkṛ</t>
  </si>
  <si>
    <t xml:space="preserve">dhanvīkṛ</t>
  </si>
  <si>
    <t xml:space="preserve">dharmīkṛ</t>
  </si>
  <si>
    <t xml:space="preserve">uccheṣaṇīkṛ</t>
  </si>
  <si>
    <t xml:space="preserve">uccakṣūkṛ</t>
  </si>
  <si>
    <t xml:space="preserve">udākṛ</t>
  </si>
  <si>
    <t xml:space="preserve">udāharaṇīkṛ</t>
  </si>
  <si>
    <t xml:space="preserve">udarīkṛ</t>
  </si>
  <si>
    <t xml:space="preserve">ujjvalīkṛ</t>
  </si>
  <si>
    <t xml:space="preserve">unmanīkṛ</t>
  </si>
  <si>
    <t xml:space="preserve">unmattīkṛ</t>
  </si>
  <si>
    <t xml:space="preserve">unmukhīkṛ</t>
  </si>
  <si>
    <t xml:space="preserve">unnatīkṛ</t>
  </si>
  <si>
    <t xml:space="preserve">upakaraṇīkṛ</t>
  </si>
  <si>
    <t xml:space="preserve">upasamākṛ</t>
  </si>
  <si>
    <t xml:space="preserve">upadhānīkṛ</t>
  </si>
  <si>
    <t xml:space="preserve">upāyanīkṛ</t>
  </si>
  <si>
    <t xml:space="preserve">dhvajīkṛ</t>
  </si>
  <si>
    <t xml:space="preserve">vāṭīkṛ</t>
  </si>
  <si>
    <t xml:space="preserve">valayīkṛ</t>
  </si>
  <si>
    <t xml:space="preserve">vāmanīkṛ</t>
  </si>
  <si>
    <t xml:space="preserve">vānarīkṛ</t>
  </si>
  <si>
    <t xml:space="preserve">varīkṛ</t>
  </si>
  <si>
    <t xml:space="preserve">veṣavārīkṛ</t>
  </si>
  <si>
    <t xml:space="preserve">viśalīkṛ</t>
  </si>
  <si>
    <t xml:space="preserve">viśāradīkṛ</t>
  </si>
  <si>
    <t xml:space="preserve">vicārīkṛ</t>
  </si>
  <si>
    <t xml:space="preserve">vicetākṛ</t>
  </si>
  <si>
    <t xml:space="preserve">vicitrīkṛ</t>
  </si>
  <si>
    <t xml:space="preserve">vidalīkṛ</t>
  </si>
  <si>
    <t xml:space="preserve">vijanīkṛ</t>
  </si>
  <si>
    <t xml:space="preserve">vijarjarīkṛ</t>
  </si>
  <si>
    <t xml:space="preserve">vikacīkṛ</t>
  </si>
  <si>
    <t xml:space="preserve">vilakṣīkṛ</t>
  </si>
  <si>
    <t xml:space="preserve">vimadīkṛ</t>
  </si>
  <si>
    <t xml:space="preserve">vimalīkṛ</t>
  </si>
  <si>
    <t xml:space="preserve">vinigaḍīkṛ</t>
  </si>
  <si>
    <t xml:space="preserve">viprasātkṛ</t>
  </si>
  <si>
    <t xml:space="preserve">vipulīkṛ</t>
  </si>
  <si>
    <t xml:space="preserve">virahīkṛ</t>
  </si>
  <si>
    <t xml:space="preserve">viraktīkṛ</t>
  </si>
  <si>
    <t xml:space="preserve">virasīkṛ</t>
  </si>
  <si>
    <t xml:space="preserve">vidhanīkṛ</t>
  </si>
  <si>
    <t xml:space="preserve">vyūhīkṛ</t>
  </si>
  <si>
    <t xml:space="preserve">vyaṅgīkṛ</t>
  </si>
  <si>
    <t xml:space="preserve">vyalaṁkṛ</t>
  </si>
  <si>
    <t xml:space="preserve">vyasanīkṛ</t>
  </si>
  <si>
    <t xml:space="preserve">vyatikṛ</t>
  </si>
  <si>
    <t xml:space="preserve">vṛddhīkṛ</t>
  </si>
  <si>
    <t xml:space="preserve">ṛjūkṛ</t>
  </si>
  <si>
    <t xml:space="preserve">yugmīkṛ</t>
  </si>
  <si>
    <t xml:space="preserve">abhisaṁkṛ</t>
  </si>
  <si>
    <t xml:space="preserve">anuprakṝ</t>
  </si>
  <si>
    <t xml:space="preserve">saṁvikṛ</t>
  </si>
  <si>
    <t xml:space="preserve">upavikṝ</t>
  </si>
  <si>
    <t xml:space="preserve">śvetīkṛ</t>
  </si>
  <si>
    <t xml:space="preserve">abhyupakṛ</t>
  </si>
  <si>
    <t xml:space="preserve">agrataḥkṛ</t>
  </si>
  <si>
    <t xml:space="preserve">amākṛ</t>
  </si>
  <si>
    <t xml:space="preserve">anuvikṛ</t>
  </si>
  <si>
    <t xml:space="preserve">anyatkṛ</t>
  </si>
  <si>
    <t xml:space="preserve">anyathākṛ</t>
  </si>
  <si>
    <t xml:space="preserve">arjay</t>
  </si>
  <si>
    <t xml:space="preserve">upārjay</t>
  </si>
  <si>
    <t xml:space="preserve">samupārjay</t>
  </si>
  <si>
    <t xml:space="preserve">samarjay</t>
  </si>
  <si>
    <t xml:space="preserve">samārjay</t>
  </si>
  <si>
    <t xml:space="preserve">prārjay</t>
  </si>
  <si>
    <t xml:space="preserve">racay</t>
  </si>
  <si>
    <t xml:space="preserve">viracay</t>
  </si>
  <si>
    <t xml:space="preserve">uparacay</t>
  </si>
  <si>
    <t xml:space="preserve">āracay</t>
  </si>
  <si>
    <t xml:space="preserve">lag</t>
  </si>
  <si>
    <t xml:space="preserve">vilag</t>
  </si>
  <si>
    <t xml:space="preserve">saṁlag</t>
  </si>
  <si>
    <t xml:space="preserve">ālag</t>
  </si>
  <si>
    <t xml:space="preserve">avalag</t>
  </si>
  <si>
    <t xml:space="preserve">samālag</t>
  </si>
  <si>
    <t xml:space="preserve">vyālag</t>
  </si>
  <si>
    <t xml:space="preserve">kliś</t>
  </si>
  <si>
    <t xml:space="preserve">parikliś</t>
  </si>
  <si>
    <t xml:space="preserve">saṁkliś</t>
  </si>
  <si>
    <t xml:space="preserve">utkliś</t>
  </si>
  <si>
    <t xml:space="preserve">samutkliś</t>
  </si>
  <si>
    <t xml:space="preserve">upakliś</t>
  </si>
  <si>
    <t xml:space="preserve">vikliś</t>
  </si>
  <si>
    <t xml:space="preserve">samprakliś</t>
  </si>
  <si>
    <t xml:space="preserve">sac</t>
  </si>
  <si>
    <t xml:space="preserve">anuṣac</t>
  </si>
  <si>
    <t xml:space="preserve">upasac</t>
  </si>
  <si>
    <t xml:space="preserve">āsac</t>
  </si>
  <si>
    <t xml:space="preserve">abhiṣac</t>
  </si>
  <si>
    <t xml:space="preserve">apasac</t>
  </si>
  <si>
    <t xml:space="preserve">niṣac</t>
  </si>
  <si>
    <t xml:space="preserve">prasac</t>
  </si>
  <si>
    <t xml:space="preserve">pratisac</t>
  </si>
  <si>
    <t xml:space="preserve">saṁsac</t>
  </si>
  <si>
    <t xml:space="preserve">varay</t>
  </si>
  <si>
    <t xml:space="preserve">āvaray</t>
  </si>
  <si>
    <t xml:space="preserve">pravaray</t>
  </si>
  <si>
    <t xml:space="preserve">nud</t>
  </si>
  <si>
    <t xml:space="preserve">praṇud</t>
  </si>
  <si>
    <t xml:space="preserve">apanud</t>
  </si>
  <si>
    <t xml:space="preserve">nirṇud</t>
  </si>
  <si>
    <t xml:space="preserve">pratinud</t>
  </si>
  <si>
    <t xml:space="preserve">apānud</t>
  </si>
  <si>
    <t xml:space="preserve">parāṇud</t>
  </si>
  <si>
    <t xml:space="preserve">sampraṇud</t>
  </si>
  <si>
    <t xml:space="preserve">vinud</t>
  </si>
  <si>
    <t xml:space="preserve">vyapanud</t>
  </si>
  <si>
    <t xml:space="preserve">atinud</t>
  </si>
  <si>
    <t xml:space="preserve">vyapānud</t>
  </si>
  <si>
    <t xml:space="preserve">abhinud</t>
  </si>
  <si>
    <t xml:space="preserve">abhinirṇud</t>
  </si>
  <si>
    <t xml:space="preserve">abhipraṇud</t>
  </si>
  <si>
    <t xml:space="preserve">atipraṇud</t>
  </si>
  <si>
    <t xml:space="preserve">avanud</t>
  </si>
  <si>
    <t xml:space="preserve">pariṇud</t>
  </si>
  <si>
    <t xml:space="preserve">samapanud</t>
  </si>
  <si>
    <t xml:space="preserve">upanud</t>
  </si>
  <si>
    <t xml:space="preserve">anupraṇud</t>
  </si>
  <si>
    <t xml:space="preserve">paryavanud</t>
  </si>
  <si>
    <t xml:space="preserve">prativinud</t>
  </si>
  <si>
    <t xml:space="preserve">saṁnud</t>
  </si>
  <si>
    <t xml:space="preserve">samunnud</t>
  </si>
  <si>
    <t xml:space="preserve">upasaṁnud</t>
  </si>
  <si>
    <t xml:space="preserve">vam</t>
  </si>
  <si>
    <t xml:space="preserve">udvam</t>
  </si>
  <si>
    <t xml:space="preserve">nirvam</t>
  </si>
  <si>
    <t xml:space="preserve">ativam</t>
  </si>
  <si>
    <t xml:space="preserve">samudvam</t>
  </si>
  <si>
    <t xml:space="preserve">abhivam</t>
  </si>
  <si>
    <t xml:space="preserve">parāvam</t>
  </si>
  <si>
    <t xml:space="preserve">vinirvam</t>
  </si>
  <si>
    <t xml:space="preserve">smi</t>
  </si>
  <si>
    <t xml:space="preserve">vismi</t>
  </si>
  <si>
    <t xml:space="preserve">utsmi</t>
  </si>
  <si>
    <t xml:space="preserve">abhyutsmi</t>
  </si>
  <si>
    <t xml:space="preserve">saṁsmi</t>
  </si>
  <si>
    <t xml:space="preserve">abhismi</t>
  </si>
  <si>
    <t xml:space="preserve">prasmi</t>
  </si>
  <si>
    <t xml:space="preserve">upasmi</t>
  </si>
  <si>
    <t xml:space="preserve">avasmi</t>
  </si>
  <si>
    <t xml:space="preserve">cit</t>
  </si>
  <si>
    <t xml:space="preserve">saṁcit</t>
  </si>
  <si>
    <t xml:space="preserve">ācit</t>
  </si>
  <si>
    <t xml:space="preserve">pracit</t>
  </si>
  <si>
    <t xml:space="preserve">apacit</t>
  </si>
  <si>
    <t xml:space="preserve">atipracit</t>
  </si>
  <si>
    <t xml:space="preserve">vicit</t>
  </si>
  <si>
    <t xml:space="preserve">chad</t>
  </si>
  <si>
    <t xml:space="preserve">pracchad</t>
  </si>
  <si>
    <t xml:space="preserve">saṁchad</t>
  </si>
  <si>
    <t xml:space="preserve">praticchad</t>
  </si>
  <si>
    <t xml:space="preserve">ācchad</t>
  </si>
  <si>
    <t xml:space="preserve">avacchad</t>
  </si>
  <si>
    <t xml:space="preserve">paricchad</t>
  </si>
  <si>
    <t xml:space="preserve">samāchad</t>
  </si>
  <si>
    <t xml:space="preserve">samavacchad</t>
  </si>
  <si>
    <t xml:space="preserve">upacchad</t>
  </si>
  <si>
    <t xml:space="preserve">abhisaṁchad</t>
  </si>
  <si>
    <t xml:space="preserve">pratisaṁchad</t>
  </si>
  <si>
    <t xml:space="preserve">samucchad</t>
  </si>
  <si>
    <t xml:space="preserve">saṁprachad</t>
  </si>
  <si>
    <t xml:space="preserve">saṁpraticchad</t>
  </si>
  <si>
    <t xml:space="preserve">vipracchad</t>
  </si>
  <si>
    <t xml:space="preserve">abhicchad</t>
  </si>
  <si>
    <t xml:space="preserve">apocchad</t>
  </si>
  <si>
    <t xml:space="preserve">as</t>
  </si>
  <si>
    <t xml:space="preserve">ās</t>
  </si>
  <si>
    <t xml:space="preserve">upās</t>
  </si>
  <si>
    <t xml:space="preserve">nyas</t>
  </si>
  <si>
    <t xml:space="preserve">vinyas</t>
  </si>
  <si>
    <t xml:space="preserve">niras</t>
  </si>
  <si>
    <t xml:space="preserve">prāduras</t>
  </si>
  <si>
    <t xml:space="preserve">apās</t>
  </si>
  <si>
    <t xml:space="preserve">saṁnyas</t>
  </si>
  <si>
    <t xml:space="preserve">paryas</t>
  </si>
  <si>
    <t xml:space="preserve">vyas</t>
  </si>
  <si>
    <t xml:space="preserve">samabhyas</t>
  </si>
  <si>
    <t xml:space="preserve">upanyas</t>
  </si>
  <si>
    <t xml:space="preserve">prās</t>
  </si>
  <si>
    <t xml:space="preserve">udas</t>
  </si>
  <si>
    <t xml:space="preserve">vyudas</t>
  </si>
  <si>
    <t xml:space="preserve">viparyas</t>
  </si>
  <si>
    <t xml:space="preserve">pratyas</t>
  </si>
  <si>
    <t xml:space="preserve">vyatyas</t>
  </si>
  <si>
    <t xml:space="preserve">āviras</t>
  </si>
  <si>
    <t xml:space="preserve">pravinyas</t>
  </si>
  <si>
    <t xml:space="preserve">adhyas</t>
  </si>
  <si>
    <t xml:space="preserve">parās</t>
  </si>
  <si>
    <t xml:space="preserve">vyapās</t>
  </si>
  <si>
    <t xml:space="preserve">anvas</t>
  </si>
  <si>
    <t xml:space="preserve">apyas</t>
  </si>
  <si>
    <t xml:space="preserve">atyas</t>
  </si>
  <si>
    <t xml:space="preserve">abhinyas</t>
  </si>
  <si>
    <t xml:space="preserve">abhisamas</t>
  </si>
  <si>
    <t xml:space="preserve">paryudas</t>
  </si>
  <si>
    <t xml:space="preserve">saṁniras</t>
  </si>
  <si>
    <t xml:space="preserve">abhyas</t>
  </si>
  <si>
    <t xml:space="preserve">samadhyas</t>
  </si>
  <si>
    <t xml:space="preserve">saṁmukhyas</t>
  </si>
  <si>
    <t xml:space="preserve">abhiniras</t>
  </si>
  <si>
    <t xml:space="preserve">abhivinyas</t>
  </si>
  <si>
    <t xml:space="preserve">parinyas</t>
  </si>
  <si>
    <t xml:space="preserve">pratinyas</t>
  </si>
  <si>
    <t xml:space="preserve">pratisamas</t>
  </si>
  <si>
    <t xml:space="preserve">udvyudas</t>
  </si>
  <si>
    <t xml:space="preserve">vyavās</t>
  </si>
  <si>
    <t xml:space="preserve">abhiprās</t>
  </si>
  <si>
    <t xml:space="preserve">abhivyudas</t>
  </si>
  <si>
    <t xml:space="preserve">abhyavās</t>
  </si>
  <si>
    <t xml:space="preserve">anūdas</t>
  </si>
  <si>
    <t xml:space="preserve">anuprās</t>
  </si>
  <si>
    <t xml:space="preserve">anusamas</t>
  </si>
  <si>
    <t xml:space="preserve">anvadhyas</t>
  </si>
  <si>
    <t xml:space="preserve">anvavās</t>
  </si>
  <si>
    <t xml:space="preserve">adhinyas</t>
  </si>
  <si>
    <t xml:space="preserve">avās</t>
  </si>
  <si>
    <t xml:space="preserve">pratiniras</t>
  </si>
  <si>
    <t xml:space="preserve">pratiprās</t>
  </si>
  <si>
    <t xml:space="preserve">pravyas</t>
  </si>
  <si>
    <t xml:space="preserve">samupanyas</t>
  </si>
  <si>
    <t xml:space="preserve">udapās</t>
  </si>
  <si>
    <t xml:space="preserve">upasamas</t>
  </si>
  <si>
    <t xml:space="preserve">vyupās</t>
  </si>
  <si>
    <t xml:space="preserve">tāray</t>
  </si>
  <si>
    <t xml:space="preserve">avatāray</t>
  </si>
  <si>
    <t xml:space="preserve">uttāray</t>
  </si>
  <si>
    <t xml:space="preserve">saṁtāray</t>
  </si>
  <si>
    <t xml:space="preserve">samuttāray</t>
  </si>
  <si>
    <t xml:space="preserve">pratāray</t>
  </si>
  <si>
    <t xml:space="preserve">samavatāray</t>
  </si>
  <si>
    <t xml:space="preserve">nistāray</t>
  </si>
  <si>
    <t xml:space="preserve">vitāray</t>
  </si>
  <si>
    <t xml:space="preserve">saṁpratāray</t>
  </si>
  <si>
    <t xml:space="preserve">upapratāray</t>
  </si>
  <si>
    <t xml:space="preserve">vyuttāray</t>
  </si>
  <si>
    <t xml:space="preserve">stambh</t>
  </si>
  <si>
    <t xml:space="preserve">viṣṭambh</t>
  </si>
  <si>
    <t xml:space="preserve">avaṣṭambh</t>
  </si>
  <si>
    <t xml:space="preserve">saṁstambh</t>
  </si>
  <si>
    <t xml:space="preserve">upastambh</t>
  </si>
  <si>
    <t xml:space="preserve">pratistambh</t>
  </si>
  <si>
    <t xml:space="preserve">uttambh</t>
  </si>
  <si>
    <t xml:space="preserve">nistambh</t>
  </si>
  <si>
    <t xml:space="preserve">prastambh</t>
  </si>
  <si>
    <t xml:space="preserve">pratyuttambh</t>
  </si>
  <si>
    <t xml:space="preserve">samavaṣṭambh</t>
  </si>
  <si>
    <t xml:space="preserve">abhisaṁstambh</t>
  </si>
  <si>
    <t xml:space="preserve">pratisaṁstambh</t>
  </si>
  <si>
    <t xml:space="preserve">abhiṣṭambh</t>
  </si>
  <si>
    <t xml:space="preserve">parāstambh</t>
  </si>
  <si>
    <t xml:space="preserve">parisaṁstambh</t>
  </si>
  <si>
    <t xml:space="preserve">paryavaṣṭambh</t>
  </si>
  <si>
    <t xml:space="preserve">vā</t>
  </si>
  <si>
    <t xml:space="preserve">pravā</t>
  </si>
  <si>
    <t xml:space="preserve">parinirvā</t>
  </si>
  <si>
    <t xml:space="preserve">nirvā</t>
  </si>
  <si>
    <t xml:space="preserve">abhivā</t>
  </si>
  <si>
    <t xml:space="preserve">saṁvā</t>
  </si>
  <si>
    <t xml:space="preserve">anuvā</t>
  </si>
  <si>
    <t xml:space="preserve">vivā</t>
  </si>
  <si>
    <t xml:space="preserve">upavā</t>
  </si>
  <si>
    <t xml:space="preserve">āvā</t>
  </si>
  <si>
    <t xml:space="preserve">apavā</t>
  </si>
  <si>
    <t xml:space="preserve">saṁnirvā</t>
  </si>
  <si>
    <t xml:space="preserve">udvā</t>
  </si>
  <si>
    <t xml:space="preserve">anūdvā</t>
  </si>
  <si>
    <t xml:space="preserve">anunirvā</t>
  </si>
  <si>
    <t xml:space="preserve">anusaṁvā</t>
  </si>
  <si>
    <t xml:space="preserve">anuvivā</t>
  </si>
  <si>
    <t xml:space="preserve">ativā</t>
  </si>
  <si>
    <t xml:space="preserve">atipravā</t>
  </si>
  <si>
    <t xml:space="preserve">avavā</t>
  </si>
  <si>
    <t xml:space="preserve">parāvā</t>
  </si>
  <si>
    <t xml:space="preserve">karśay</t>
  </si>
  <si>
    <t xml:space="preserve">anukarśay</t>
  </si>
  <si>
    <t xml:space="preserve">parikarśay</t>
  </si>
  <si>
    <t xml:space="preserve">abhikarśay</t>
  </si>
  <si>
    <t xml:space="preserve">avakarśay</t>
  </si>
  <si>
    <t xml:space="preserve">vikarśay</t>
  </si>
  <si>
    <t xml:space="preserve">gamay</t>
  </si>
  <si>
    <t xml:space="preserve">āgamay</t>
  </si>
  <si>
    <t xml:space="preserve">avagamay</t>
  </si>
  <si>
    <t xml:space="preserve">saṁgamay</t>
  </si>
  <si>
    <t xml:space="preserve">abhigamay</t>
  </si>
  <si>
    <t xml:space="preserve">nirgamay</t>
  </si>
  <si>
    <t xml:space="preserve">parigamay</t>
  </si>
  <si>
    <t xml:space="preserve">abhyupagamay</t>
  </si>
  <si>
    <t xml:space="preserve">anugamay</t>
  </si>
  <si>
    <t xml:space="preserve">nigamay</t>
  </si>
  <si>
    <t xml:space="preserve">apagamay</t>
  </si>
  <si>
    <t xml:space="preserve">astaṁgamay</t>
  </si>
  <si>
    <t xml:space="preserve">pratyāgamay</t>
  </si>
  <si>
    <t xml:space="preserve">samāgamay</t>
  </si>
  <si>
    <t xml:space="preserve">upagamay</t>
  </si>
  <si>
    <t xml:space="preserve">udgamay</t>
  </si>
  <si>
    <t xml:space="preserve">vigamay</t>
  </si>
  <si>
    <t xml:space="preserve">īḍ</t>
  </si>
  <si>
    <t xml:space="preserve">samīḍ</t>
  </si>
  <si>
    <t xml:space="preserve">preḍ</t>
  </si>
  <si>
    <t xml:space="preserve">prasamīḍ</t>
  </si>
  <si>
    <t xml:space="preserve">pratīḍ</t>
  </si>
  <si>
    <t xml:space="preserve">vaś</t>
  </si>
  <si>
    <t xml:space="preserve">abhivaś</t>
  </si>
  <si>
    <t xml:space="preserve">kamp</t>
  </si>
  <si>
    <t xml:space="preserve">prakamp</t>
  </si>
  <si>
    <t xml:space="preserve">anukamp</t>
  </si>
  <si>
    <t xml:space="preserve">saṁkamp</t>
  </si>
  <si>
    <t xml:space="preserve">vikamp</t>
  </si>
  <si>
    <t xml:space="preserve">utkamp</t>
  </si>
  <si>
    <t xml:space="preserve">ākamp</t>
  </si>
  <si>
    <t xml:space="preserve">abhikamp</t>
  </si>
  <si>
    <t xml:space="preserve">samprakamp</t>
  </si>
  <si>
    <t xml:space="preserve">abhiprakamp</t>
  </si>
  <si>
    <t xml:space="preserve">prākamp</t>
  </si>
  <si>
    <t xml:space="preserve">anuprakamp</t>
  </si>
  <si>
    <t xml:space="preserve">samanukamp</t>
  </si>
  <si>
    <t xml:space="preserve">śṛ</t>
  </si>
  <si>
    <t xml:space="preserve">viśṛ</t>
  </si>
  <si>
    <t xml:space="preserve">avaśṛ</t>
  </si>
  <si>
    <t xml:space="preserve">saṁśṛ</t>
  </si>
  <si>
    <t xml:space="preserve">praśṛ</t>
  </si>
  <si>
    <t xml:space="preserve">āśṛ</t>
  </si>
  <si>
    <t xml:space="preserve">parāśṛ</t>
  </si>
  <si>
    <t xml:space="preserve">pariśṛ</t>
  </si>
  <si>
    <t xml:space="preserve">praviśṛ</t>
  </si>
  <si>
    <t xml:space="preserve">abhiviśṛ</t>
  </si>
  <si>
    <t xml:space="preserve">anuviśṛ</t>
  </si>
  <si>
    <t xml:space="preserve">apiśṛ</t>
  </si>
  <si>
    <t xml:space="preserve">niśṛ</t>
  </si>
  <si>
    <t xml:space="preserve">vyatiśṛ</t>
  </si>
  <si>
    <t xml:space="preserve">vyavaśṛ</t>
  </si>
  <si>
    <t xml:space="preserve">adhiśṛ</t>
  </si>
  <si>
    <r>
      <rPr>
        <sz val="10"/>
        <rFont val="Arial"/>
        <family val="2"/>
        <charset val="204"/>
      </rPr>
      <t xml:space="preserve">niḥś</t>
    </r>
    <r>
      <rPr>
        <sz val="10"/>
        <rFont val="Microsoft YaHei"/>
        <family val="2"/>
        <charset val="204"/>
      </rPr>
      <t xml:space="preserve">￞</t>
    </r>
  </si>
  <si>
    <t xml:space="preserve">nirviśṛ</t>
  </si>
  <si>
    <t xml:space="preserve">pratiśṛ</t>
  </si>
  <si>
    <t xml:space="preserve">jāgṛ</t>
  </si>
  <si>
    <t xml:space="preserve">anujāgṛ</t>
  </si>
  <si>
    <t xml:space="preserve">prajāgṛ</t>
  </si>
  <si>
    <t xml:space="preserve">pratijāgṛ</t>
  </si>
  <si>
    <t xml:space="preserve">ujjāgṛ</t>
  </si>
  <si>
    <t xml:space="preserve">deśay</t>
  </si>
  <si>
    <t xml:space="preserve">ādeśay</t>
  </si>
  <si>
    <t xml:space="preserve">pratideśay</t>
  </si>
  <si>
    <t xml:space="preserve">upadeśay</t>
  </si>
  <si>
    <t xml:space="preserve">samādeśay</t>
  </si>
  <si>
    <t xml:space="preserve">uddeśay</t>
  </si>
  <si>
    <t xml:space="preserve">vyapadeśay</t>
  </si>
  <si>
    <t xml:space="preserve">abhipradeśay</t>
  </si>
  <si>
    <t xml:space="preserve">avadeśay</t>
  </si>
  <si>
    <t xml:space="preserve">sāray</t>
  </si>
  <si>
    <t xml:space="preserve">prasāray</t>
  </si>
  <si>
    <t xml:space="preserve">pratisāray</t>
  </si>
  <si>
    <t xml:space="preserve">utsāray</t>
  </si>
  <si>
    <t xml:space="preserve">anusāray</t>
  </si>
  <si>
    <t xml:space="preserve">atisāray</t>
  </si>
  <si>
    <t xml:space="preserve">apasāray</t>
  </si>
  <si>
    <t xml:space="preserve">saṁsāray</t>
  </si>
  <si>
    <t xml:space="preserve">niḥsāray</t>
  </si>
  <si>
    <t xml:space="preserve">protsāray</t>
  </si>
  <si>
    <t xml:space="preserve">abhiprasāray</t>
  </si>
  <si>
    <t xml:space="preserve">samprasāray</t>
  </si>
  <si>
    <t xml:space="preserve">samutsāray</t>
  </si>
  <si>
    <t xml:space="preserve">abhisāray</t>
  </si>
  <si>
    <t xml:space="preserve">anusaṁsāray</t>
  </si>
  <si>
    <t xml:space="preserve">vyatisāray</t>
  </si>
  <si>
    <t xml:space="preserve">atyanusāray</t>
  </si>
  <si>
    <t xml:space="preserve">pravisāray</t>
  </si>
  <si>
    <t xml:space="preserve">āsāray</t>
  </si>
  <si>
    <t xml:space="preserve">visāray</t>
  </si>
  <si>
    <t xml:space="preserve">viniḥsāray</t>
  </si>
  <si>
    <t xml:space="preserve">anuprasāray</t>
  </si>
  <si>
    <t xml:space="preserve">avasāray</t>
  </si>
  <si>
    <t xml:space="preserve">kruś</t>
  </si>
  <si>
    <t xml:space="preserve">vikruś</t>
  </si>
  <si>
    <t xml:space="preserve">ākruś</t>
  </si>
  <si>
    <t xml:space="preserve">utkruś</t>
  </si>
  <si>
    <t xml:space="preserve">prakruś</t>
  </si>
  <si>
    <t xml:space="preserve">parikruś</t>
  </si>
  <si>
    <t xml:space="preserve">abhikruś</t>
  </si>
  <si>
    <t xml:space="preserve">prākruś</t>
  </si>
  <si>
    <t xml:space="preserve">saṁkruś</t>
  </si>
  <si>
    <t xml:space="preserve">pratikruś</t>
  </si>
  <si>
    <t xml:space="preserve">vyākruś</t>
  </si>
  <si>
    <t xml:space="preserve">upakruś</t>
  </si>
  <si>
    <t xml:space="preserve">upākruś</t>
  </si>
  <si>
    <t xml:space="preserve">pratyākruś</t>
  </si>
  <si>
    <t xml:space="preserve">samākruś</t>
  </si>
  <si>
    <t xml:space="preserve">saṁprākruś</t>
  </si>
  <si>
    <t xml:space="preserve">abhisaṁkruś</t>
  </si>
  <si>
    <t xml:space="preserve">atikruś</t>
  </si>
  <si>
    <t xml:space="preserve">parākruś</t>
  </si>
  <si>
    <t xml:space="preserve">samutkruś</t>
  </si>
  <si>
    <t xml:space="preserve">saṁprakruś</t>
  </si>
  <si>
    <t xml:space="preserve">abhyākruś</t>
  </si>
  <si>
    <t xml:space="preserve">abhyutkruś</t>
  </si>
  <si>
    <t xml:space="preserve">anukruś</t>
  </si>
  <si>
    <t xml:space="preserve">apakruś</t>
  </si>
  <si>
    <t xml:space="preserve">mṛj</t>
  </si>
  <si>
    <t xml:space="preserve">pramṛj</t>
  </si>
  <si>
    <t xml:space="preserve">parimṛj</t>
  </si>
  <si>
    <t xml:space="preserve">sammṛj</t>
  </si>
  <si>
    <t xml:space="preserve">vimṛj</t>
  </si>
  <si>
    <t xml:space="preserve">unmṛj</t>
  </si>
  <si>
    <t xml:space="preserve">anumṛj</t>
  </si>
  <si>
    <t xml:space="preserve">nirmṛj</t>
  </si>
  <si>
    <t xml:space="preserve">avamṛj</t>
  </si>
  <si>
    <t xml:space="preserve">nimṛj</t>
  </si>
  <si>
    <t xml:space="preserve">apamṛj</t>
  </si>
  <si>
    <t xml:space="preserve">āmṛj</t>
  </si>
  <si>
    <t xml:space="preserve">anuvimṛj</t>
  </si>
  <si>
    <t xml:space="preserve">parāmṛj</t>
  </si>
  <si>
    <t xml:space="preserve">vipramṛj</t>
  </si>
  <si>
    <t xml:space="preserve">vyāmṛj</t>
  </si>
  <si>
    <t xml:space="preserve">pravimṛj</t>
  </si>
  <si>
    <t xml:space="preserve">pronmṛj</t>
  </si>
  <si>
    <t xml:space="preserve">samanumṛj</t>
  </si>
  <si>
    <t xml:space="preserve">sampramṛj</t>
  </si>
  <si>
    <t xml:space="preserve">upamṛj</t>
  </si>
  <si>
    <t xml:space="preserve">upasaṁmṛj</t>
  </si>
  <si>
    <t xml:space="preserve">vyapamṛj</t>
  </si>
  <si>
    <t xml:space="preserve">abhimṛj</t>
  </si>
  <si>
    <t xml:space="preserve">abhivimṛj</t>
  </si>
  <si>
    <t xml:space="preserve">samunmṛj</t>
  </si>
  <si>
    <t xml:space="preserve">śamay</t>
  </si>
  <si>
    <t xml:space="preserve">praśamay</t>
  </si>
  <si>
    <t xml:space="preserve">saṁśamay</t>
  </si>
  <si>
    <t xml:space="preserve">upaśamay</t>
  </si>
  <si>
    <t xml:space="preserve">niśamay</t>
  </si>
  <si>
    <t xml:space="preserve">pariśamay</t>
  </si>
  <si>
    <t xml:space="preserve">ghātay</t>
  </si>
  <si>
    <t xml:space="preserve">praghātay</t>
  </si>
  <si>
    <t xml:space="preserve">abhighātay</t>
  </si>
  <si>
    <t xml:space="preserve">vighātay</t>
  </si>
  <si>
    <t xml:space="preserve">upaghātay</t>
  </si>
  <si>
    <t xml:space="preserve">nirghātay</t>
  </si>
  <si>
    <t xml:space="preserve">āghātay</t>
  </si>
  <si>
    <t xml:space="preserve">saṁghātay</t>
  </si>
  <si>
    <t xml:space="preserve">avaghātay</t>
  </si>
  <si>
    <t xml:space="preserve">vyāghātay</t>
  </si>
  <si>
    <t xml:space="preserve">pratighātay</t>
  </si>
  <si>
    <t xml:space="preserve">upodghātay</t>
  </si>
  <si>
    <t xml:space="preserve">dāś</t>
  </si>
  <si>
    <t xml:space="preserve">atidāś</t>
  </si>
  <si>
    <t xml:space="preserve">śaṅk</t>
  </si>
  <si>
    <t xml:space="preserve">āśaṅk</t>
  </si>
  <si>
    <t xml:space="preserve">viśaṅk</t>
  </si>
  <si>
    <t xml:space="preserve">pariśaṅk</t>
  </si>
  <si>
    <t xml:space="preserve">atiśaṅk</t>
  </si>
  <si>
    <t xml:space="preserve">abhiśaṅk</t>
  </si>
  <si>
    <t xml:space="preserve">nirāśaṅk</t>
  </si>
  <si>
    <t xml:space="preserve">praśaṅk</t>
  </si>
  <si>
    <t xml:space="preserve">pratiśaṅk</t>
  </si>
  <si>
    <t xml:space="preserve">saṁśaṅk</t>
  </si>
  <si>
    <t xml:space="preserve">upaśaṅk</t>
  </si>
  <si>
    <t xml:space="preserve">upāśaṅk</t>
  </si>
  <si>
    <t xml:space="preserve">īś</t>
  </si>
  <si>
    <t xml:space="preserve">parīś</t>
  </si>
  <si>
    <t xml:space="preserve">tras</t>
  </si>
  <si>
    <t xml:space="preserve">vitras</t>
  </si>
  <si>
    <t xml:space="preserve">saṁtras</t>
  </si>
  <si>
    <t xml:space="preserve">paritras</t>
  </si>
  <si>
    <t xml:space="preserve">uttras</t>
  </si>
  <si>
    <t xml:space="preserve">apatras</t>
  </si>
  <si>
    <t xml:space="preserve">abhisaṁtras</t>
  </si>
  <si>
    <t xml:space="preserve">anutras</t>
  </si>
  <si>
    <t xml:space="preserve">samuttras</t>
  </si>
  <si>
    <t xml:space="preserve">nistras</t>
  </si>
  <si>
    <t xml:space="preserve">pratras</t>
  </si>
  <si>
    <t xml:space="preserve">toṣay</t>
  </si>
  <si>
    <t xml:space="preserve">paritoṣay</t>
  </si>
  <si>
    <t xml:space="preserve">saṁtoṣay</t>
  </si>
  <si>
    <t xml:space="preserve">abhitoṣay</t>
  </si>
  <si>
    <t xml:space="preserve">saṁparitoṣay</t>
  </si>
  <si>
    <t xml:space="preserve">upatoṣay</t>
  </si>
  <si>
    <t xml:space="preserve">pratoṣay</t>
  </si>
  <si>
    <t xml:space="preserve">math</t>
  </si>
  <si>
    <t xml:space="preserve">pramath</t>
  </si>
  <si>
    <t xml:space="preserve">unmath</t>
  </si>
  <si>
    <t xml:space="preserve">nirmath</t>
  </si>
  <si>
    <t xml:space="preserve">vimath</t>
  </si>
  <si>
    <t xml:space="preserve">abhimanth</t>
  </si>
  <si>
    <t xml:space="preserve">sampramath</t>
  </si>
  <si>
    <t xml:space="preserve">upamath</t>
  </si>
  <si>
    <t xml:space="preserve">āmath</t>
  </si>
  <si>
    <t xml:space="preserve">sammath</t>
  </si>
  <si>
    <t xml:space="preserve">samunmath</t>
  </si>
  <si>
    <t xml:space="preserve">adhimath</t>
  </si>
  <si>
    <t xml:space="preserve">avamath</t>
  </si>
  <si>
    <t xml:space="preserve">vyāmath</t>
  </si>
  <si>
    <t xml:space="preserve">abhivimanth</t>
  </si>
  <si>
    <t xml:space="preserve">nimath</t>
  </si>
  <si>
    <t xml:space="preserve">parimath</t>
  </si>
  <si>
    <t xml:space="preserve">pronmath</t>
  </si>
  <si>
    <t xml:space="preserve">saṁnirmath</t>
  </si>
  <si>
    <t xml:space="preserve">vinirmath</t>
  </si>
  <si>
    <t xml:space="preserve">vedhay</t>
  </si>
  <si>
    <t xml:space="preserve">pravedhay</t>
  </si>
  <si>
    <t xml:space="preserve">saṁpravedhay</t>
  </si>
  <si>
    <t xml:space="preserve">mantray</t>
  </si>
  <si>
    <t xml:space="preserve">āmantray</t>
  </si>
  <si>
    <t xml:space="preserve">abhimantray</t>
  </si>
  <si>
    <t xml:space="preserve">nimantray</t>
  </si>
  <si>
    <t xml:space="preserve">sammantray</t>
  </si>
  <si>
    <t xml:space="preserve">anumantray</t>
  </si>
  <si>
    <t xml:space="preserve">upanimantray</t>
  </si>
  <si>
    <t xml:space="preserve">upamantray</t>
  </si>
  <si>
    <t xml:space="preserve">samāmantray</t>
  </si>
  <si>
    <t xml:space="preserve">upāmantray</t>
  </si>
  <si>
    <t xml:space="preserve">abhinimantray</t>
  </si>
  <si>
    <t xml:space="preserve">pratimantray</t>
  </si>
  <si>
    <t xml:space="preserve">saṁnimantray</t>
  </si>
  <si>
    <t xml:space="preserve">parimantray</t>
  </si>
  <si>
    <t xml:space="preserve">apamantray</t>
  </si>
  <si>
    <t xml:space="preserve">samabhimantray</t>
  </si>
  <si>
    <t xml:space="preserve">abhyupamantray</t>
  </si>
  <si>
    <t xml:space="preserve">peṣay</t>
  </si>
  <si>
    <t xml:space="preserve">saṁpeṣay</t>
  </si>
  <si>
    <t xml:space="preserve">prapeṣay</t>
  </si>
  <si>
    <t xml:space="preserve">paripeṣay</t>
  </si>
  <si>
    <t xml:space="preserve">supeṣay</t>
  </si>
  <si>
    <t xml:space="preserve">vipeṣay</t>
  </si>
  <si>
    <t xml:space="preserve">saṁprapeṣay</t>
  </si>
  <si>
    <t xml:space="preserve">yodhay</t>
  </si>
  <si>
    <t xml:space="preserve">saṁyodhay</t>
  </si>
  <si>
    <t xml:space="preserve">pratiyodhay</t>
  </si>
  <si>
    <t xml:space="preserve">āyodhay</t>
  </si>
  <si>
    <t xml:space="preserve">anuyodhay</t>
  </si>
  <si>
    <t xml:space="preserve">niyodhay</t>
  </si>
  <si>
    <t xml:space="preserve">prayodhay</t>
  </si>
  <si>
    <t xml:space="preserve">chāday</t>
  </si>
  <si>
    <t xml:space="preserve">ācchāday</t>
  </si>
  <si>
    <t xml:space="preserve">pracchāday</t>
  </si>
  <si>
    <t xml:space="preserve">saṁchāday</t>
  </si>
  <si>
    <t xml:space="preserve">avacchāday</t>
  </si>
  <si>
    <t xml:space="preserve">samācchāday</t>
  </si>
  <si>
    <t xml:space="preserve">praticchāday</t>
  </si>
  <si>
    <t xml:space="preserve">abhicchāday</t>
  </si>
  <si>
    <t xml:space="preserve">samavacchāday</t>
  </si>
  <si>
    <t xml:space="preserve">ucchāday</t>
  </si>
  <si>
    <t xml:space="preserve">vicchāday</t>
  </si>
  <si>
    <t xml:space="preserve">nicchāday</t>
  </si>
  <si>
    <t xml:space="preserve">pratisaṁchāday</t>
  </si>
  <si>
    <t xml:space="preserve">saṁpracchāday</t>
  </si>
  <si>
    <t xml:space="preserve">apacchāday</t>
  </si>
  <si>
    <t xml:space="preserve">paricchāday</t>
  </si>
  <si>
    <t xml:space="preserve">samucchāday</t>
  </si>
  <si>
    <t xml:space="preserve">lī</t>
  </si>
  <si>
    <t xml:space="preserve">pralī</t>
  </si>
  <si>
    <t xml:space="preserve">vilī</t>
  </si>
  <si>
    <t xml:space="preserve">nilī</t>
  </si>
  <si>
    <t xml:space="preserve">saṁlī</t>
  </si>
  <si>
    <t xml:space="preserve">pravilī</t>
  </si>
  <si>
    <t xml:space="preserve">avalī</t>
  </si>
  <si>
    <t xml:space="preserve">ālī</t>
  </si>
  <si>
    <t xml:space="preserve">sampralī</t>
  </si>
  <si>
    <t xml:space="preserve">abhilī</t>
  </si>
  <si>
    <t xml:space="preserve">pratisaṁlī</t>
  </si>
  <si>
    <t xml:space="preserve">saṁnilī</t>
  </si>
  <si>
    <t xml:space="preserve">upalī</t>
  </si>
  <si>
    <t xml:space="preserve">parilī</t>
  </si>
  <si>
    <t xml:space="preserve">anulī</t>
  </si>
  <si>
    <t xml:space="preserve">anuvilī</t>
  </si>
  <si>
    <t xml:space="preserve">apalī</t>
  </si>
  <si>
    <t xml:space="preserve">pratilī</t>
  </si>
  <si>
    <t xml:space="preserve">upanilī</t>
  </si>
  <si>
    <t xml:space="preserve">vyavalī</t>
  </si>
  <si>
    <t xml:space="preserve">abhivlī</t>
  </si>
  <si>
    <t xml:space="preserve">apanilī</t>
  </si>
  <si>
    <t xml:space="preserve">pratyālī</t>
  </si>
  <si>
    <t xml:space="preserve">samavalī</t>
  </si>
  <si>
    <t xml:space="preserve">kṛṣ</t>
  </si>
  <si>
    <t xml:space="preserve">ākṛṣ</t>
  </si>
  <si>
    <t xml:space="preserve">vikṛṣ</t>
  </si>
  <si>
    <t xml:space="preserve">apakṛṣ</t>
  </si>
  <si>
    <t xml:space="preserve">prakṛṣ</t>
  </si>
  <si>
    <t xml:space="preserve">niṣkṛṣ</t>
  </si>
  <si>
    <t xml:space="preserve">samākṛṣ</t>
  </si>
  <si>
    <t xml:space="preserve">utkṛṣ</t>
  </si>
  <si>
    <t xml:space="preserve">parikṛṣ</t>
  </si>
  <si>
    <t xml:space="preserve">vyapakṛṣ</t>
  </si>
  <si>
    <t xml:space="preserve">avakṛṣ</t>
  </si>
  <si>
    <t xml:space="preserve">saṁnikṛṣ</t>
  </si>
  <si>
    <t xml:space="preserve">nikṛṣ</t>
  </si>
  <si>
    <t xml:space="preserve">saṁkṛṣ</t>
  </si>
  <si>
    <t xml:space="preserve">samutkṛṣ</t>
  </si>
  <si>
    <t xml:space="preserve">anukṛṣ</t>
  </si>
  <si>
    <t xml:space="preserve">apākṛṣ</t>
  </si>
  <si>
    <t xml:space="preserve">viprakṛṣ</t>
  </si>
  <si>
    <t xml:space="preserve">parākṛṣ</t>
  </si>
  <si>
    <t xml:space="preserve">pratikṛṣ</t>
  </si>
  <si>
    <t xml:space="preserve">pratyākṛṣ</t>
  </si>
  <si>
    <t xml:space="preserve">samprakṛṣ</t>
  </si>
  <si>
    <t xml:space="preserve">viniṣkṛṣ</t>
  </si>
  <si>
    <t xml:space="preserve">abhikṛṣ</t>
  </si>
  <si>
    <t xml:space="preserve">upakṛṣ</t>
  </si>
  <si>
    <t xml:space="preserve">viparikṛṣ</t>
  </si>
  <si>
    <t xml:space="preserve">atikṛṣ</t>
  </si>
  <si>
    <t xml:space="preserve">samanukṛṣ</t>
  </si>
  <si>
    <t xml:space="preserve">vyākṛṣ</t>
  </si>
  <si>
    <t xml:space="preserve">vyatikṛṣ</t>
  </si>
  <si>
    <t xml:space="preserve">abhyupākṛṣ</t>
  </si>
  <si>
    <t xml:space="preserve">apotkṛṣ</t>
  </si>
  <si>
    <t xml:space="preserve">samupakṛṣ</t>
  </si>
  <si>
    <t xml:space="preserve">vyapākṛṣ</t>
  </si>
  <si>
    <t xml:space="preserve">vyavakṛṣ</t>
  </si>
  <si>
    <t xml:space="preserve">plu</t>
  </si>
  <si>
    <t xml:space="preserve">āplu</t>
  </si>
  <si>
    <t xml:space="preserve">pariplu</t>
  </si>
  <si>
    <t xml:space="preserve">avaplu</t>
  </si>
  <si>
    <t xml:space="preserve">viplu</t>
  </si>
  <si>
    <t xml:space="preserve">utplu</t>
  </si>
  <si>
    <t xml:space="preserve">abhiplu</t>
  </si>
  <si>
    <t xml:space="preserve">samplu</t>
  </si>
  <si>
    <t xml:space="preserve">upaplu</t>
  </si>
  <si>
    <t xml:space="preserve">abhipariplu</t>
  </si>
  <si>
    <t xml:space="preserve">samabhiplu</t>
  </si>
  <si>
    <t xml:space="preserve">samāplu</t>
  </si>
  <si>
    <t xml:space="preserve">anuplu</t>
  </si>
  <si>
    <t xml:space="preserve">samutplu</t>
  </si>
  <si>
    <t xml:space="preserve">abhisamplu</t>
  </si>
  <si>
    <t xml:space="preserve">praplu</t>
  </si>
  <si>
    <t xml:space="preserve">sampariplu</t>
  </si>
  <si>
    <t xml:space="preserve">parisaṁplu</t>
  </si>
  <si>
    <t xml:space="preserve">udāplu</t>
  </si>
  <si>
    <t xml:space="preserve">upaniplu</t>
  </si>
  <si>
    <t xml:space="preserve">anvavaplu</t>
  </si>
  <si>
    <t xml:space="preserve">apaplu</t>
  </si>
  <si>
    <t xml:space="preserve">upanyāplu</t>
  </si>
  <si>
    <t xml:space="preserve">śrāvay</t>
  </si>
  <si>
    <t xml:space="preserve">viśrāvay</t>
  </si>
  <si>
    <t xml:space="preserve">anuśrāvay</t>
  </si>
  <si>
    <t xml:space="preserve">āśrāvay</t>
  </si>
  <si>
    <t xml:space="preserve">saṁśrāvay</t>
  </si>
  <si>
    <t xml:space="preserve">pratyāśrāvay</t>
  </si>
  <si>
    <t xml:space="preserve">abhiśrāvay</t>
  </si>
  <si>
    <t xml:space="preserve">abhyāśrāvay</t>
  </si>
  <si>
    <t xml:space="preserve">praśrāvay</t>
  </si>
  <si>
    <t xml:space="preserve">pratiśrāvay</t>
  </si>
  <si>
    <t xml:space="preserve">samāśrāvay</t>
  </si>
  <si>
    <t xml:space="preserve">saṁpratiśrāvay</t>
  </si>
  <si>
    <t xml:space="preserve">vācay</t>
  </si>
  <si>
    <t xml:space="preserve">anuvācay</t>
  </si>
  <si>
    <t xml:space="preserve">nirvācay</t>
  </si>
  <si>
    <t xml:space="preserve">parivācay</t>
  </si>
  <si>
    <t xml:space="preserve">pravācay</t>
  </si>
  <si>
    <t xml:space="preserve">saṁvācay</t>
  </si>
  <si>
    <t xml:space="preserve">lubh</t>
  </si>
  <si>
    <t xml:space="preserve">pralubh</t>
  </si>
  <si>
    <t xml:space="preserve">ālubh</t>
  </si>
  <si>
    <t xml:space="preserve">abhilubh</t>
  </si>
  <si>
    <t xml:space="preserve">parilubh</t>
  </si>
  <si>
    <t xml:space="preserve">saṁlubh</t>
  </si>
  <si>
    <t xml:space="preserve">kram</t>
  </si>
  <si>
    <t xml:space="preserve">atikram</t>
  </si>
  <si>
    <t xml:space="preserve">upasaṁkram</t>
  </si>
  <si>
    <t xml:space="preserve">ākram</t>
  </si>
  <si>
    <t xml:space="preserve">vikram</t>
  </si>
  <si>
    <t xml:space="preserve">niṣkram</t>
  </si>
  <si>
    <t xml:space="preserve">upakram</t>
  </si>
  <si>
    <t xml:space="preserve">prakram</t>
  </si>
  <si>
    <t xml:space="preserve">apakram</t>
  </si>
  <si>
    <t xml:space="preserve">utkram</t>
  </si>
  <si>
    <t xml:space="preserve">parikram</t>
  </si>
  <si>
    <t xml:space="preserve">parākram</t>
  </si>
  <si>
    <t xml:space="preserve">samatikram</t>
  </si>
  <si>
    <t xml:space="preserve">saṁkram</t>
  </si>
  <si>
    <t xml:space="preserve">vyatikram</t>
  </si>
  <si>
    <t xml:space="preserve">abhikram</t>
  </si>
  <si>
    <t xml:space="preserve">abhiniṣkram</t>
  </si>
  <si>
    <t xml:space="preserve">avakram</t>
  </si>
  <si>
    <t xml:space="preserve">viniṣkram</t>
  </si>
  <si>
    <t xml:space="preserve">samākram</t>
  </si>
  <si>
    <t xml:space="preserve">samupakram</t>
  </si>
  <si>
    <t xml:space="preserve">anukram</t>
  </si>
  <si>
    <t xml:space="preserve">abhyatikram</t>
  </si>
  <si>
    <t xml:space="preserve">vyutkram</t>
  </si>
  <si>
    <t xml:space="preserve">pratikram</t>
  </si>
  <si>
    <t xml:space="preserve">upaniṣkram</t>
  </si>
  <si>
    <t xml:space="preserve">samabhikram</t>
  </si>
  <si>
    <t xml:space="preserve">samutkram</t>
  </si>
  <si>
    <t xml:space="preserve">abhisaṁkram</t>
  </si>
  <si>
    <t xml:space="preserve">upākram</t>
  </si>
  <si>
    <t xml:space="preserve">apākram</t>
  </si>
  <si>
    <t xml:space="preserve">nirākram</t>
  </si>
  <si>
    <t xml:space="preserve">samparikram</t>
  </si>
  <si>
    <t xml:space="preserve">anuparikram</t>
  </si>
  <si>
    <t xml:space="preserve">samprakram</t>
  </si>
  <si>
    <t xml:space="preserve">abhiprakram</t>
  </si>
  <si>
    <t xml:space="preserve">anūtkram</t>
  </si>
  <si>
    <t xml:space="preserve">adhyākram</t>
  </si>
  <si>
    <t xml:space="preserve">paryākram</t>
  </si>
  <si>
    <t xml:space="preserve">pratiniṣkram</t>
  </si>
  <si>
    <t xml:space="preserve">viparikram</t>
  </si>
  <si>
    <t xml:space="preserve">anvavakram</t>
  </si>
  <si>
    <t xml:space="preserve">atyākram</t>
  </si>
  <si>
    <t xml:space="preserve">adhikram</t>
  </si>
  <si>
    <t xml:space="preserve">nirvikram</t>
  </si>
  <si>
    <t xml:space="preserve">pratisaṁkram</t>
  </si>
  <si>
    <t xml:space="preserve">vyapakram</t>
  </si>
  <si>
    <t xml:space="preserve">abhyapakram</t>
  </si>
  <si>
    <t xml:space="preserve">anuniṣkram</t>
  </si>
  <si>
    <t xml:space="preserve">anusaṁkram</t>
  </si>
  <si>
    <t xml:space="preserve">anuvikram</t>
  </si>
  <si>
    <t xml:space="preserve">anvākram</t>
  </si>
  <si>
    <t xml:space="preserve">samabhyatikram</t>
  </si>
  <si>
    <t xml:space="preserve">samanukram</t>
  </si>
  <si>
    <t xml:space="preserve">samupasaṁkram</t>
  </si>
  <si>
    <t xml:space="preserve">saṁparākram</t>
  </si>
  <si>
    <t xml:space="preserve">vyākram</t>
  </si>
  <si>
    <t xml:space="preserve">abhinikram</t>
  </si>
  <si>
    <t xml:space="preserve">abhyutkram</t>
  </si>
  <si>
    <t xml:space="preserve">anunikram</t>
  </si>
  <si>
    <t xml:space="preserve">anuprakram</t>
  </si>
  <si>
    <t xml:space="preserve">anvapakram</t>
  </si>
  <si>
    <t xml:space="preserve">atyatikram</t>
  </si>
  <si>
    <t xml:space="preserve">atyutkram</t>
  </si>
  <si>
    <t xml:space="preserve">adhivikram</t>
  </si>
  <si>
    <t xml:space="preserve">nikram</t>
  </si>
  <si>
    <t xml:space="preserve">pratyākram</t>
  </si>
  <si>
    <t xml:space="preserve">pratyupakram</t>
  </si>
  <si>
    <t xml:space="preserve">upotkram</t>
  </si>
  <si>
    <t xml:space="preserve">prath</t>
  </si>
  <si>
    <t xml:space="preserve">saṁprath</t>
  </si>
  <si>
    <t xml:space="preserve">viprath</t>
  </si>
  <si>
    <t xml:space="preserve">abhiprath</t>
  </si>
  <si>
    <t xml:space="preserve">anuprath</t>
  </si>
  <si>
    <t xml:space="preserve">pariprath</t>
  </si>
  <si>
    <t xml:space="preserve">daṁś</t>
  </si>
  <si>
    <t xml:space="preserve">saṁdaṁś</t>
  </si>
  <si>
    <t xml:space="preserve">vidaṁś</t>
  </si>
  <si>
    <t xml:space="preserve">abhidaṁś</t>
  </si>
  <si>
    <t xml:space="preserve">ādaṁś</t>
  </si>
  <si>
    <t xml:space="preserve">nirdaṁś</t>
  </si>
  <si>
    <t xml:space="preserve">paridaṁś</t>
  </si>
  <si>
    <t xml:space="preserve">īpsay</t>
  </si>
  <si>
    <t xml:space="preserve">parīps</t>
  </si>
  <si>
    <t xml:space="preserve">hiṁs</t>
  </si>
  <si>
    <t xml:space="preserve">vihiṁs</t>
  </si>
  <si>
    <t xml:space="preserve">upahiṁs</t>
  </si>
  <si>
    <t xml:space="preserve">abhihiṁs</t>
  </si>
  <si>
    <t xml:space="preserve">prahiṁs</t>
  </si>
  <si>
    <t xml:space="preserve">āhiṁs</t>
  </si>
  <si>
    <t xml:space="preserve">vyatihiṁs</t>
  </si>
  <si>
    <t xml:space="preserve">śobhay</t>
  </si>
  <si>
    <t xml:space="preserve">upaśobhay</t>
  </si>
  <si>
    <t xml:space="preserve">abhiśobhay</t>
  </si>
  <si>
    <t xml:space="preserve">pariśobhay</t>
  </si>
  <si>
    <t xml:space="preserve">praśobhay</t>
  </si>
  <si>
    <t xml:space="preserve">saṁśobhay</t>
  </si>
  <si>
    <t xml:space="preserve">samanuśobhay</t>
  </si>
  <si>
    <t xml:space="preserve">atiśobhay</t>
  </si>
  <si>
    <t xml:space="preserve">mānay</t>
  </si>
  <si>
    <t xml:space="preserve">anumānay</t>
  </si>
  <si>
    <t xml:space="preserve">saṁmānay</t>
  </si>
  <si>
    <t xml:space="preserve">vimānay</t>
  </si>
  <si>
    <t xml:space="preserve">avamānay</t>
  </si>
  <si>
    <t xml:space="preserve">apamānay</t>
  </si>
  <si>
    <t xml:space="preserve">pratimānay</t>
  </si>
  <si>
    <t xml:space="preserve">abhimānay</t>
  </si>
  <si>
    <t xml:space="preserve">unmānay</t>
  </si>
  <si>
    <t xml:space="preserve">varṇay</t>
  </si>
  <si>
    <t xml:space="preserve">anuvarṇay</t>
  </si>
  <si>
    <t xml:space="preserve">upavarṇay</t>
  </si>
  <si>
    <t xml:space="preserve">nirvarṇay</t>
  </si>
  <si>
    <t xml:space="preserve">saṁvarṇay</t>
  </si>
  <si>
    <t xml:space="preserve">samanuvarṇay</t>
  </si>
  <si>
    <t xml:space="preserve">abhivarṇay</t>
  </si>
  <si>
    <t xml:space="preserve">anusaṁvarṇay</t>
  </si>
  <si>
    <t xml:space="preserve">parivarṇay</t>
  </si>
  <si>
    <t xml:space="preserve">pravarṇay</t>
  </si>
  <si>
    <t xml:space="preserve">samupavarṇay</t>
  </si>
  <si>
    <t xml:space="preserve">vivarṇay</t>
  </si>
  <si>
    <t xml:space="preserve">vyāvarṇay</t>
  </si>
  <si>
    <t xml:space="preserve">vinirvarṇay</t>
  </si>
  <si>
    <t xml:space="preserve">śram</t>
  </si>
  <si>
    <t xml:space="preserve">viśram</t>
  </si>
  <si>
    <t xml:space="preserve">pariśram</t>
  </si>
  <si>
    <t xml:space="preserve">abhiśram</t>
  </si>
  <si>
    <t xml:space="preserve">pariviśram</t>
  </si>
  <si>
    <t xml:space="preserve">abhiviśram</t>
  </si>
  <si>
    <t xml:space="preserve">saṁśram</t>
  </si>
  <si>
    <t xml:space="preserve">āśram</t>
  </si>
  <si>
    <t xml:space="preserve">niśram</t>
  </si>
  <si>
    <t xml:space="preserve">vipariśram</t>
  </si>
  <si>
    <t xml:space="preserve">upaśram</t>
  </si>
  <si>
    <t xml:space="preserve">rañjay</t>
  </si>
  <si>
    <t xml:space="preserve">anurañjay</t>
  </si>
  <si>
    <t xml:space="preserve">saṁrañjay</t>
  </si>
  <si>
    <t xml:space="preserve">uparañjay</t>
  </si>
  <si>
    <t xml:space="preserve">abhirañjay</t>
  </si>
  <si>
    <t xml:space="preserve">pratirañjay</t>
  </si>
  <si>
    <t xml:space="preserve">virañjay</t>
  </si>
  <si>
    <t xml:space="preserve">aparañjay</t>
  </si>
  <si>
    <t xml:space="preserve">drāvay</t>
  </si>
  <si>
    <t xml:space="preserve">vidrāvay</t>
  </si>
  <si>
    <t xml:space="preserve">pradrāvay</t>
  </si>
  <si>
    <t xml:space="preserve">paridrāvay</t>
  </si>
  <si>
    <t xml:space="preserve">saṁdrāvay</t>
  </si>
  <si>
    <t xml:space="preserve">abhidrāvay</t>
  </si>
  <si>
    <t xml:space="preserve">ruh</t>
  </si>
  <si>
    <t xml:space="preserve">āruh</t>
  </si>
  <si>
    <t xml:space="preserve">samāruh</t>
  </si>
  <si>
    <t xml:space="preserve">adhiruh</t>
  </si>
  <si>
    <t xml:space="preserve">avaruh</t>
  </si>
  <si>
    <t xml:space="preserve">praruh</t>
  </si>
  <si>
    <t xml:space="preserve">abhiruh</t>
  </si>
  <si>
    <t xml:space="preserve">viruh</t>
  </si>
  <si>
    <t xml:space="preserve">upāruh</t>
  </si>
  <si>
    <t xml:space="preserve">saṁruh</t>
  </si>
  <si>
    <t xml:space="preserve">adhyāruh</t>
  </si>
  <si>
    <t xml:space="preserve">anvāruh</t>
  </si>
  <si>
    <t xml:space="preserve">abhyāruh</t>
  </si>
  <si>
    <t xml:space="preserve">uparuh</t>
  </si>
  <si>
    <t xml:space="preserve">upāvaruh</t>
  </si>
  <si>
    <t xml:space="preserve">prativiruh</t>
  </si>
  <si>
    <t xml:space="preserve">pratyavaruh</t>
  </si>
  <si>
    <t xml:space="preserve">atiruh</t>
  </si>
  <si>
    <t xml:space="preserve">samadhiruh</t>
  </si>
  <si>
    <t xml:space="preserve">niruh</t>
  </si>
  <si>
    <t xml:space="preserve">anuruh</t>
  </si>
  <si>
    <t xml:space="preserve">pratiruh</t>
  </si>
  <si>
    <t xml:space="preserve">vyatiruh</t>
  </si>
  <si>
    <t xml:space="preserve">abhipraruh</t>
  </si>
  <si>
    <t xml:space="preserve">anvavaruh</t>
  </si>
  <si>
    <t xml:space="preserve">apiruh</t>
  </si>
  <si>
    <t xml:space="preserve">pariruh</t>
  </si>
  <si>
    <t xml:space="preserve">samabhiruh</t>
  </si>
  <si>
    <t xml:space="preserve">samabhyāruh</t>
  </si>
  <si>
    <t xml:space="preserve">samupāruh</t>
  </si>
  <si>
    <t xml:space="preserve">upānvāruh</t>
  </si>
  <si>
    <t xml:space="preserve">upasaṁruh</t>
  </si>
  <si>
    <t xml:space="preserve">abhipratyavaruh</t>
  </si>
  <si>
    <t xml:space="preserve">abhisamāruh</t>
  </si>
  <si>
    <t xml:space="preserve">abhyavaruh</t>
  </si>
  <si>
    <t xml:space="preserve">anupraruh</t>
  </si>
  <si>
    <t xml:space="preserve">anusamāruh</t>
  </si>
  <si>
    <t xml:space="preserve">anvadhiruh</t>
  </si>
  <si>
    <t xml:space="preserve">paryāruh</t>
  </si>
  <si>
    <t xml:space="preserve">prāruh</t>
  </si>
  <si>
    <t xml:space="preserve">samanvāruh</t>
  </si>
  <si>
    <t xml:space="preserve">samapiruh</t>
  </si>
  <si>
    <t xml:space="preserve">udāruh</t>
  </si>
  <si>
    <t xml:space="preserve">upādhiruh</t>
  </si>
  <si>
    <t xml:space="preserve">vyavaruh</t>
  </si>
  <si>
    <t xml:space="preserve">dhāv</t>
  </si>
  <si>
    <t xml:space="preserve">abhidhāv</t>
  </si>
  <si>
    <t xml:space="preserve">pradhāv</t>
  </si>
  <si>
    <t xml:space="preserve">paridhāv</t>
  </si>
  <si>
    <t xml:space="preserve">anudhāv</t>
  </si>
  <si>
    <t xml:space="preserve">upadhāv</t>
  </si>
  <si>
    <t xml:space="preserve">vidhāv</t>
  </si>
  <si>
    <t xml:space="preserve">samabhidhāv</t>
  </si>
  <si>
    <t xml:space="preserve">ādhāv</t>
  </si>
  <si>
    <t xml:space="preserve">viparidhāv</t>
  </si>
  <si>
    <t xml:space="preserve">saṁdhāv</t>
  </si>
  <si>
    <t xml:space="preserve">vipradhāv</t>
  </si>
  <si>
    <t xml:space="preserve">saṁpradhāv</t>
  </si>
  <si>
    <t xml:space="preserve">nirdhāv</t>
  </si>
  <si>
    <t xml:space="preserve">pratidhāv</t>
  </si>
  <si>
    <t xml:space="preserve">anupradhāv</t>
  </si>
  <si>
    <t xml:space="preserve">avadhāv</t>
  </si>
  <si>
    <t xml:space="preserve">samādhāv</t>
  </si>
  <si>
    <t xml:space="preserve">vyavadhāv</t>
  </si>
  <si>
    <t xml:space="preserve">abhipradhāv</t>
  </si>
  <si>
    <t xml:space="preserve">abhyupadhāv</t>
  </si>
  <si>
    <t xml:space="preserve">apadhāv</t>
  </si>
  <si>
    <t xml:space="preserve">adhidhāv</t>
  </si>
  <si>
    <t xml:space="preserve">pratipradhāv</t>
  </si>
  <si>
    <t xml:space="preserve">samanudhāv</t>
  </si>
  <si>
    <t xml:space="preserve">samupadhāv</t>
  </si>
  <si>
    <t xml:space="preserve">upādhāv</t>
  </si>
  <si>
    <t xml:space="preserve">nidhāv</t>
  </si>
  <si>
    <t xml:space="preserve">abhividhāv</t>
  </si>
  <si>
    <t xml:space="preserve">anuvidhāv</t>
  </si>
  <si>
    <t xml:space="preserve">anvādhāv</t>
  </si>
  <si>
    <t xml:space="preserve">apidhāv</t>
  </si>
  <si>
    <t xml:space="preserve">atidhāv</t>
  </si>
  <si>
    <t xml:space="preserve">adhipradhāv</t>
  </si>
  <si>
    <t xml:space="preserve">parādhāv</t>
  </si>
  <si>
    <t xml:space="preserve">parividhāv</t>
  </si>
  <si>
    <t xml:space="preserve">pratyabhidhāv</t>
  </si>
  <si>
    <t xml:space="preserve">bhraṁś</t>
  </si>
  <si>
    <t xml:space="preserve">paribhraṁś</t>
  </si>
  <si>
    <t xml:space="preserve">vibhraṁś</t>
  </si>
  <si>
    <t xml:space="preserve">prabhraṁś</t>
  </si>
  <si>
    <t xml:space="preserve">nibhraṁś</t>
  </si>
  <si>
    <t xml:space="preserve">apabhraṁś</t>
  </si>
  <si>
    <t xml:space="preserve">sambhraṁś</t>
  </si>
  <si>
    <t xml:space="preserve">dūṣay</t>
  </si>
  <si>
    <t xml:space="preserve">pradūṣay</t>
  </si>
  <si>
    <t xml:space="preserve">saṁdūṣay</t>
  </si>
  <si>
    <t xml:space="preserve">vidūṣay</t>
  </si>
  <si>
    <t xml:space="preserve">abhidūṣay</t>
  </si>
  <si>
    <t xml:space="preserve">pratidūṣay</t>
  </si>
  <si>
    <t xml:space="preserve">abhipradūṣay</t>
  </si>
  <si>
    <t xml:space="preserve">majj</t>
  </si>
  <si>
    <t xml:space="preserve">nimajj</t>
  </si>
  <si>
    <t xml:space="preserve">unmajj</t>
  </si>
  <si>
    <t xml:space="preserve">avamajj</t>
  </si>
  <si>
    <t xml:space="preserve">vinimajj</t>
  </si>
  <si>
    <t xml:space="preserve">nirmajj</t>
  </si>
  <si>
    <t xml:space="preserve">saṁmajj</t>
  </si>
  <si>
    <t xml:space="preserve">saṁnimajj</t>
  </si>
  <si>
    <t xml:space="preserve">āmajj</t>
  </si>
  <si>
    <t xml:space="preserve">anumajj</t>
  </si>
  <si>
    <t xml:space="preserve">parimajj</t>
  </si>
  <si>
    <t xml:space="preserve">pramajj</t>
  </si>
  <si>
    <t xml:space="preserve">vinirmajj</t>
  </si>
  <si>
    <t xml:space="preserve">samunmajj</t>
  </si>
  <si>
    <t xml:space="preserve">upamajj</t>
  </si>
  <si>
    <t xml:space="preserve">upanimajj</t>
  </si>
  <si>
    <t xml:space="preserve">upapramajj</t>
  </si>
  <si>
    <t xml:space="preserve">vimajj</t>
  </si>
  <si>
    <t xml:space="preserve">śikṣ</t>
  </si>
  <si>
    <t xml:space="preserve">upaśikṣ</t>
  </si>
  <si>
    <t xml:space="preserve">anuśikṣ</t>
  </si>
  <si>
    <t xml:space="preserve">pratiśikṣ</t>
  </si>
  <si>
    <t xml:space="preserve">śrī</t>
  </si>
  <si>
    <t xml:space="preserve">saṁśrī</t>
  </si>
  <si>
    <t xml:space="preserve">āśrī</t>
  </si>
  <si>
    <t xml:space="preserve">abhiśrī</t>
  </si>
  <si>
    <t xml:space="preserve">pariśrī</t>
  </si>
  <si>
    <t xml:space="preserve">viśrī</t>
  </si>
  <si>
    <t xml:space="preserve">vyatiśrī</t>
  </si>
  <si>
    <t xml:space="preserve">sphur</t>
  </si>
  <si>
    <t xml:space="preserve">visphur</t>
  </si>
  <si>
    <t xml:space="preserve">prasphur</t>
  </si>
  <si>
    <t xml:space="preserve">parisphur</t>
  </si>
  <si>
    <t xml:space="preserve">apasphur</t>
  </si>
  <si>
    <t xml:space="preserve">saṁsphur</t>
  </si>
  <si>
    <t xml:space="preserve">anusphur</t>
  </si>
  <si>
    <t xml:space="preserve">avasphur</t>
  </si>
  <si>
    <t xml:space="preserve">niḥsphur</t>
  </si>
  <si>
    <t xml:space="preserve">pratisphur</t>
  </si>
  <si>
    <t xml:space="preserve">vyapasphur</t>
  </si>
  <si>
    <t xml:space="preserve">trā</t>
  </si>
  <si>
    <t xml:space="preserve">paritrā</t>
  </si>
  <si>
    <t xml:space="preserve">saṁtrā</t>
  </si>
  <si>
    <t xml:space="preserve">śri</t>
  </si>
  <si>
    <t xml:space="preserve">āśri</t>
  </si>
  <si>
    <t xml:space="preserve">samāśri</t>
  </si>
  <si>
    <t xml:space="preserve">saṁśri</t>
  </si>
  <si>
    <t xml:space="preserve">ucchri</t>
  </si>
  <si>
    <t xml:space="preserve">upāśri</t>
  </si>
  <si>
    <t xml:space="preserve">samucchri</t>
  </si>
  <si>
    <t xml:space="preserve">samupāśri</t>
  </si>
  <si>
    <t xml:space="preserve">niśri</t>
  </si>
  <si>
    <t xml:space="preserve">adhiśri</t>
  </si>
  <si>
    <t xml:space="preserve">upaniśri</t>
  </si>
  <si>
    <t xml:space="preserve">apāśri</t>
  </si>
  <si>
    <t xml:space="preserve">vyapāśri</t>
  </si>
  <si>
    <t xml:space="preserve">abhisaṁśri</t>
  </si>
  <si>
    <t xml:space="preserve">pariśri</t>
  </si>
  <si>
    <t xml:space="preserve">abhyucchri</t>
  </si>
  <si>
    <t xml:space="preserve">upaśri</t>
  </si>
  <si>
    <t xml:space="preserve">apaśri</t>
  </si>
  <si>
    <t xml:space="preserve">upasaṁśri</t>
  </si>
  <si>
    <t xml:space="preserve">viśri</t>
  </si>
  <si>
    <t xml:space="preserve">praśri</t>
  </si>
  <si>
    <t xml:space="preserve">sampariśri</t>
  </si>
  <si>
    <t xml:space="preserve">saṁniśri</t>
  </si>
  <si>
    <t xml:space="preserve">anuśri</t>
  </si>
  <si>
    <t xml:space="preserve">anvāśri</t>
  </si>
  <si>
    <t xml:space="preserve">samadhiśri</t>
  </si>
  <si>
    <t xml:space="preserve">vyāśri</t>
  </si>
  <si>
    <t xml:space="preserve">vyupāśri</t>
  </si>
  <si>
    <t xml:space="preserve">abhiśri</t>
  </si>
  <si>
    <t xml:space="preserve">adhyāśri</t>
  </si>
  <si>
    <t xml:space="preserve">procchri</t>
  </si>
  <si>
    <t xml:space="preserve">abhiniśri</t>
  </si>
  <si>
    <t xml:space="preserve">abhyapaśri</t>
  </si>
  <si>
    <t xml:space="preserve">adhiviśri</t>
  </si>
  <si>
    <t xml:space="preserve">pratisaṁśri</t>
  </si>
  <si>
    <t xml:space="preserve">pratyadhiśri</t>
  </si>
  <si>
    <t xml:space="preserve">pratyucchri</t>
  </si>
  <si>
    <t xml:space="preserve">upaniḥśri</t>
  </si>
  <si>
    <t xml:space="preserve">upapraśri</t>
  </si>
  <si>
    <t xml:space="preserve">upāvaśri</t>
  </si>
  <si>
    <t xml:space="preserve">vartay</t>
  </si>
  <si>
    <t xml:space="preserve">pravartay</t>
  </si>
  <si>
    <t xml:space="preserve">āvartay</t>
  </si>
  <si>
    <t xml:space="preserve">nivartay</t>
  </si>
  <si>
    <t xml:space="preserve">parivartay</t>
  </si>
  <si>
    <t xml:space="preserve">nirvartay</t>
  </si>
  <si>
    <t xml:space="preserve">samāvartay</t>
  </si>
  <si>
    <t xml:space="preserve">abhinirvartay</t>
  </si>
  <si>
    <t xml:space="preserve">udvartay</t>
  </si>
  <si>
    <t xml:space="preserve">vinivartay</t>
  </si>
  <si>
    <t xml:space="preserve">saṁvartay</t>
  </si>
  <si>
    <t xml:space="preserve">sampravartay</t>
  </si>
  <si>
    <t xml:space="preserve">vivartay</t>
  </si>
  <si>
    <t xml:space="preserve">vyāvartay</t>
  </si>
  <si>
    <t xml:space="preserve">anuvartay</t>
  </si>
  <si>
    <t xml:space="preserve">saṁnivartay</t>
  </si>
  <si>
    <t xml:space="preserve">upāvartay</t>
  </si>
  <si>
    <t xml:space="preserve">pratinivartay</t>
  </si>
  <si>
    <t xml:space="preserve">anvāvartay</t>
  </si>
  <si>
    <t xml:space="preserve">ativartay</t>
  </si>
  <si>
    <t xml:space="preserve">viparivartay</t>
  </si>
  <si>
    <t xml:space="preserve">abhivartay</t>
  </si>
  <si>
    <t xml:space="preserve">apavartay</t>
  </si>
  <si>
    <t xml:space="preserve">parāvartay</t>
  </si>
  <si>
    <t xml:space="preserve">pratyudāvartay</t>
  </si>
  <si>
    <t xml:space="preserve">saṁparivartay</t>
  </si>
  <si>
    <t xml:space="preserve">udāvartay</t>
  </si>
  <si>
    <t xml:space="preserve">abhipravartay</t>
  </si>
  <si>
    <t xml:space="preserve">upanivartay</t>
  </si>
  <si>
    <t xml:space="preserve">abhinivartay</t>
  </si>
  <si>
    <t xml:space="preserve">abhisampravartay</t>
  </si>
  <si>
    <t xml:space="preserve">abhyanuvartay</t>
  </si>
  <si>
    <t xml:space="preserve">anuparivartay</t>
  </si>
  <si>
    <t xml:space="preserve">apāvartay</t>
  </si>
  <si>
    <t xml:space="preserve">prāvartay</t>
  </si>
  <si>
    <t xml:space="preserve">prativartay</t>
  </si>
  <si>
    <t xml:space="preserve">pratipravartay</t>
  </si>
  <si>
    <t xml:space="preserve">pratyāvartay</t>
  </si>
  <si>
    <t xml:space="preserve">upanirvartay</t>
  </si>
  <si>
    <t xml:space="preserve">vinirvartay</t>
  </si>
  <si>
    <t xml:space="preserve">abhyāvartay</t>
  </si>
  <si>
    <t xml:space="preserve">anunivartay</t>
  </si>
  <si>
    <t xml:space="preserve">anuvivartay</t>
  </si>
  <si>
    <t xml:space="preserve">apivartay</t>
  </si>
  <si>
    <t xml:space="preserve">ativivartay</t>
  </si>
  <si>
    <t xml:space="preserve">nyāvartay</t>
  </si>
  <si>
    <t xml:space="preserve">paripravartay</t>
  </si>
  <si>
    <t xml:space="preserve">paryāvartay</t>
  </si>
  <si>
    <t xml:space="preserve">samapavartay</t>
  </si>
  <si>
    <t xml:space="preserve">samavavartay</t>
  </si>
  <si>
    <t xml:space="preserve">samudvartay</t>
  </si>
  <si>
    <t xml:space="preserve">upavartay</t>
  </si>
  <si>
    <t xml:space="preserve">upapravartay</t>
  </si>
  <si>
    <t xml:space="preserve">īkṣ</t>
  </si>
  <si>
    <t xml:space="preserve">prekṣ</t>
  </si>
  <si>
    <t xml:space="preserve">avekṣ</t>
  </si>
  <si>
    <t xml:space="preserve">vīkṣ</t>
  </si>
  <si>
    <t xml:space="preserve">nirīkṣ</t>
  </si>
  <si>
    <t xml:space="preserve">samīkṣ</t>
  </si>
  <si>
    <t xml:space="preserve">parīkṣ</t>
  </si>
  <si>
    <t xml:space="preserve">upekṣ</t>
  </si>
  <si>
    <t xml:space="preserve">samprekṣ</t>
  </si>
  <si>
    <t xml:space="preserve">apekṣ</t>
  </si>
  <si>
    <t xml:space="preserve">pratīkṣ</t>
  </si>
  <si>
    <t xml:space="preserve">udīkṣ</t>
  </si>
  <si>
    <t xml:space="preserve">abhiprekṣ</t>
  </si>
  <si>
    <t xml:space="preserve">abhivīkṣ</t>
  </si>
  <si>
    <t xml:space="preserve">prasamīkṣ</t>
  </si>
  <si>
    <t xml:space="preserve">samavekṣ</t>
  </si>
  <si>
    <t xml:space="preserve">abhisamīkṣ</t>
  </si>
  <si>
    <t xml:space="preserve">anvavekṣ</t>
  </si>
  <si>
    <t xml:space="preserve">samudīkṣ</t>
  </si>
  <si>
    <t xml:space="preserve">udvīkṣ</t>
  </si>
  <si>
    <t xml:space="preserve">pratyavekṣ</t>
  </si>
  <si>
    <t xml:space="preserve">anvīkṣ</t>
  </si>
  <si>
    <t xml:space="preserve">utprekṣ</t>
  </si>
  <si>
    <t xml:space="preserve">samupekṣ</t>
  </si>
  <si>
    <t xml:space="preserve">prativīkṣ</t>
  </si>
  <si>
    <t xml:space="preserve">upaparīkṣ</t>
  </si>
  <si>
    <t xml:space="preserve">abhisamprekṣ</t>
  </si>
  <si>
    <t xml:space="preserve">viprekṣ</t>
  </si>
  <si>
    <t xml:space="preserve">sampratīkṣ</t>
  </si>
  <si>
    <t xml:space="preserve">samudvīkṣ</t>
  </si>
  <si>
    <t xml:space="preserve">abhyavekṣ</t>
  </si>
  <si>
    <t xml:space="preserve">abhyudīkṣ</t>
  </si>
  <si>
    <t xml:space="preserve">adhyupekṣ</t>
  </si>
  <si>
    <t xml:space="preserve">paryavekṣ</t>
  </si>
  <si>
    <t xml:space="preserve">saṁnirīkṣ</t>
  </si>
  <si>
    <t xml:space="preserve">upaprekṣ</t>
  </si>
  <si>
    <t xml:space="preserve">anuvīkṣ</t>
  </si>
  <si>
    <t xml:space="preserve">abhyupekṣ</t>
  </si>
  <si>
    <t xml:space="preserve">anuprekṣ</t>
  </si>
  <si>
    <t xml:space="preserve">pratyudīkṣ</t>
  </si>
  <si>
    <t xml:space="preserve">vyavekṣ</t>
  </si>
  <si>
    <t xml:space="preserve">abhinirīkṣ</t>
  </si>
  <si>
    <t xml:space="preserve">praparīkṣ</t>
  </si>
  <si>
    <t xml:space="preserve">pratisamīkṣ</t>
  </si>
  <si>
    <t xml:space="preserve">samabhiprekṣ</t>
  </si>
  <si>
    <t xml:space="preserve">vyupaparīkṣ</t>
  </si>
  <si>
    <t xml:space="preserve">abhīkṣ</t>
  </si>
  <si>
    <t xml:space="preserve">āvekṣ</t>
  </si>
  <si>
    <t xml:space="preserve">niṣprekṣ</t>
  </si>
  <si>
    <t xml:space="preserve">pratyupekṣ</t>
  </si>
  <si>
    <t xml:space="preserve">saṁvīkṣ</t>
  </si>
  <si>
    <t xml:space="preserve">vyapekṣ</t>
  </si>
  <si>
    <t xml:space="preserve">ekṣ</t>
  </si>
  <si>
    <t xml:space="preserve">abhisaṁvīkṣ</t>
  </si>
  <si>
    <t xml:space="preserve">anusamīkṣ</t>
  </si>
  <si>
    <t xml:space="preserve">adhīkṣ</t>
  </si>
  <si>
    <t xml:space="preserve">nirabhyavekṣ</t>
  </si>
  <si>
    <t xml:space="preserve">niravekṣ</t>
  </si>
  <si>
    <t xml:space="preserve">nyavekṣ</t>
  </si>
  <si>
    <t xml:space="preserve">samekṣ</t>
  </si>
  <si>
    <t xml:space="preserve">samabhivīkṣ</t>
  </si>
  <si>
    <t xml:space="preserve">samanvīkṣ</t>
  </si>
  <si>
    <t xml:space="preserve">samanuvīkṣ</t>
  </si>
  <si>
    <t xml:space="preserve">upāvekṣ</t>
  </si>
  <si>
    <t xml:space="preserve">upavīkṣ</t>
  </si>
  <si>
    <t xml:space="preserve">pāyay</t>
  </si>
  <si>
    <t xml:space="preserve">anupāyay</t>
  </si>
  <si>
    <t xml:space="preserve">āpāyay</t>
  </si>
  <si>
    <t xml:space="preserve">atipāyay</t>
  </si>
  <si>
    <t xml:space="preserve">upapāyay</t>
  </si>
  <si>
    <t xml:space="preserve">nṛt</t>
  </si>
  <si>
    <t xml:space="preserve">pranṛt</t>
  </si>
  <si>
    <t xml:space="preserve">upanṛt</t>
  </si>
  <si>
    <t xml:space="preserve">parinṛt</t>
  </si>
  <si>
    <t xml:space="preserve">saṁpranṛt</t>
  </si>
  <si>
    <t xml:space="preserve">ānṛt</t>
  </si>
  <si>
    <t xml:space="preserve">abhipranṛt</t>
  </si>
  <si>
    <t xml:space="preserve">anunṛt</t>
  </si>
  <si>
    <t xml:space="preserve">apanṛt</t>
  </si>
  <si>
    <t xml:space="preserve">pratinṛt</t>
  </si>
  <si>
    <t xml:space="preserve">abhinṛt</t>
  </si>
  <si>
    <t xml:space="preserve">abhyānṛt</t>
  </si>
  <si>
    <t xml:space="preserve">adhinṛt</t>
  </si>
  <si>
    <t xml:space="preserve">ninṛt</t>
  </si>
  <si>
    <t xml:space="preserve">saṁnṛt</t>
  </si>
  <si>
    <t xml:space="preserve">vinṛt</t>
  </si>
  <si>
    <t xml:space="preserve">nind</t>
  </si>
  <si>
    <t xml:space="preserve">vinind</t>
  </si>
  <si>
    <t xml:space="preserve">abhinind</t>
  </si>
  <si>
    <t xml:space="preserve">parinind</t>
  </si>
  <si>
    <t xml:space="preserve">praṇind</t>
  </si>
  <si>
    <t xml:space="preserve">pratinind</t>
  </si>
  <si>
    <t xml:space="preserve">pācay</t>
  </si>
  <si>
    <t xml:space="preserve">vipācay</t>
  </si>
  <si>
    <t xml:space="preserve">paripācay</t>
  </si>
  <si>
    <t xml:space="preserve">saṁpācay</t>
  </si>
  <si>
    <t xml:space="preserve">prapācay</t>
  </si>
  <si>
    <t xml:space="preserve">utpācay</t>
  </si>
  <si>
    <t xml:space="preserve">mil</t>
  </si>
  <si>
    <t xml:space="preserve">saṁmil</t>
  </si>
  <si>
    <t xml:space="preserve">pramil</t>
  </si>
  <si>
    <t xml:space="preserve">vyath</t>
  </si>
  <si>
    <t xml:space="preserve">pravyath</t>
  </si>
  <si>
    <t xml:space="preserve">saṁpravyath</t>
  </si>
  <si>
    <t xml:space="preserve">saṁvyath</t>
  </si>
  <si>
    <t xml:space="preserve">parivyath</t>
  </si>
  <si>
    <t xml:space="preserve">puṣ</t>
  </si>
  <si>
    <t xml:space="preserve">prapuṣ</t>
  </si>
  <si>
    <t xml:space="preserve">sampuṣ</t>
  </si>
  <si>
    <t xml:space="preserve">paripuṣ</t>
  </si>
  <si>
    <t xml:space="preserve">abhipuṣ</t>
  </si>
  <si>
    <t xml:space="preserve">anupuṣ</t>
  </si>
  <si>
    <t xml:space="preserve">sveday</t>
  </si>
  <si>
    <t xml:space="preserve">saṁsveday</t>
  </si>
  <si>
    <t xml:space="preserve">upasveday</t>
  </si>
  <si>
    <t xml:space="preserve">parisveday</t>
  </si>
  <si>
    <t xml:space="preserve">prasveday</t>
  </si>
  <si>
    <t xml:space="preserve">utsveday</t>
  </si>
  <si>
    <t xml:space="preserve">sū</t>
  </si>
  <si>
    <t xml:space="preserve">prasū</t>
  </si>
  <si>
    <t xml:space="preserve">samprasū</t>
  </si>
  <si>
    <t xml:space="preserve">pariṣū</t>
  </si>
  <si>
    <t xml:space="preserve">saṁsū</t>
  </si>
  <si>
    <t xml:space="preserve">abhiṣū</t>
  </si>
  <si>
    <t xml:space="preserve">apaprasū</t>
  </si>
  <si>
    <t xml:space="preserve">āsū</t>
  </si>
  <si>
    <t xml:space="preserve">abhiprasū</t>
  </si>
  <si>
    <t xml:space="preserve">anuprasū</t>
  </si>
  <si>
    <t xml:space="preserve">niḥṣū</t>
  </si>
  <si>
    <t xml:space="preserve">pratiprasū</t>
  </si>
  <si>
    <t xml:space="preserve">apasū</t>
  </si>
  <si>
    <t xml:space="preserve">adhiprasū</t>
  </si>
  <si>
    <t xml:space="preserve">parāsū</t>
  </si>
  <si>
    <t xml:space="preserve">utsū</t>
  </si>
  <si>
    <t xml:space="preserve">viṣū</t>
  </si>
  <si>
    <t xml:space="preserve">arpay</t>
  </si>
  <si>
    <t xml:space="preserve">samarpay</t>
  </si>
  <si>
    <t xml:space="preserve">pratyarpay</t>
  </si>
  <si>
    <t xml:space="preserve">ārpay</t>
  </si>
  <si>
    <t xml:space="preserve">prārpay</t>
  </si>
  <si>
    <t xml:space="preserve">nyarpay</t>
  </si>
  <si>
    <t xml:space="preserve">khād</t>
  </si>
  <si>
    <t xml:space="preserve">ākhād</t>
  </si>
  <si>
    <t xml:space="preserve">prakhād</t>
  </si>
  <si>
    <t xml:space="preserve">saṁkhād</t>
  </si>
  <si>
    <t xml:space="preserve">śoṣay</t>
  </si>
  <si>
    <t xml:space="preserve">viśoṣay</t>
  </si>
  <si>
    <t xml:space="preserve">samśoṣay</t>
  </si>
  <si>
    <t xml:space="preserve">pariśoṣay</t>
  </si>
  <si>
    <t xml:space="preserve">upaśoṣay</t>
  </si>
  <si>
    <t xml:space="preserve">ucchoṣay</t>
  </si>
  <si>
    <t xml:space="preserve">praśoṣay</t>
  </si>
  <si>
    <t xml:space="preserve">avaśoṣay</t>
  </si>
  <si>
    <t xml:space="preserve">rāj</t>
  </si>
  <si>
    <t xml:space="preserve">virāj</t>
  </si>
  <si>
    <t xml:space="preserve">abhivirāj</t>
  </si>
  <si>
    <t xml:space="preserve">ativirāj</t>
  </si>
  <si>
    <t xml:space="preserve">abhirāj</t>
  </si>
  <si>
    <t xml:space="preserve">saṁrāj</t>
  </si>
  <si>
    <t xml:space="preserve">atirāj</t>
  </si>
  <si>
    <t xml:space="preserve">prarāj</t>
  </si>
  <si>
    <t xml:space="preserve">anurāj</t>
  </si>
  <si>
    <t xml:space="preserve">anuvirāj</t>
  </si>
  <si>
    <t xml:space="preserve">adhivirāj</t>
  </si>
  <si>
    <t xml:space="preserve">parirāj</t>
  </si>
  <si>
    <t xml:space="preserve">pratirāj</t>
  </si>
  <si>
    <t xml:space="preserve">saṁvirāj</t>
  </si>
  <si>
    <t xml:space="preserve">mūrchay</t>
  </si>
  <si>
    <t xml:space="preserve">parimūrchay</t>
  </si>
  <si>
    <t xml:space="preserve">saṁmūrchay</t>
  </si>
  <si>
    <t xml:space="preserve">vimūrchay</t>
  </si>
  <si>
    <t xml:space="preserve">ṛch</t>
  </si>
  <si>
    <t xml:space="preserve">samṛch</t>
  </si>
  <si>
    <t xml:space="preserve">ārch</t>
  </si>
  <si>
    <t xml:space="preserve">uparch</t>
  </si>
  <si>
    <t xml:space="preserve">abhyṛch</t>
  </si>
  <si>
    <t xml:space="preserve">udṛch</t>
  </si>
  <si>
    <t xml:space="preserve">nirṛch</t>
  </si>
  <si>
    <t xml:space="preserve">prarch</t>
  </si>
  <si>
    <t xml:space="preserve">udārch</t>
  </si>
  <si>
    <t xml:space="preserve">vī</t>
  </si>
  <si>
    <t xml:space="preserve">āvī</t>
  </si>
  <si>
    <t xml:space="preserve">abhivī</t>
  </si>
  <si>
    <t xml:space="preserve">apavī</t>
  </si>
  <si>
    <t xml:space="preserve">nivī</t>
  </si>
  <si>
    <t xml:space="preserve">prativī</t>
  </si>
  <si>
    <t xml:space="preserve">upavī</t>
  </si>
  <si>
    <t xml:space="preserve">gā</t>
  </si>
  <si>
    <t xml:space="preserve">udgā</t>
  </si>
  <si>
    <t xml:space="preserve">atigā</t>
  </si>
  <si>
    <t xml:space="preserve">upagā</t>
  </si>
  <si>
    <t xml:space="preserve">pragā</t>
  </si>
  <si>
    <t xml:space="preserve">nirgā</t>
  </si>
  <si>
    <t xml:space="preserve">abhyāgā</t>
  </si>
  <si>
    <t xml:space="preserve">parigā</t>
  </si>
  <si>
    <t xml:space="preserve">āgā</t>
  </si>
  <si>
    <t xml:space="preserve">anugā</t>
  </si>
  <si>
    <t xml:space="preserve">saṁgā</t>
  </si>
  <si>
    <t xml:space="preserve">abhigā</t>
  </si>
  <si>
    <t xml:space="preserve">vigā</t>
  </si>
  <si>
    <t xml:space="preserve">samabhigā</t>
  </si>
  <si>
    <t xml:space="preserve">apagā</t>
  </si>
  <si>
    <t xml:space="preserve">nigā</t>
  </si>
  <si>
    <t xml:space="preserve">samāgā</t>
  </si>
  <si>
    <t xml:space="preserve">samabhyāgā</t>
  </si>
  <si>
    <t xml:space="preserve">adhigā</t>
  </si>
  <si>
    <t xml:space="preserve">parāgā</t>
  </si>
  <si>
    <t xml:space="preserve">sampragā</t>
  </si>
  <si>
    <t xml:space="preserve">antargā</t>
  </si>
  <si>
    <t xml:space="preserve">anuparyāgā</t>
  </si>
  <si>
    <t xml:space="preserve">anvāgā</t>
  </si>
  <si>
    <t xml:space="preserve">avagā</t>
  </si>
  <si>
    <t xml:space="preserve">pratigā</t>
  </si>
  <si>
    <t xml:space="preserve">samanugā</t>
  </si>
  <si>
    <t xml:space="preserve">abhyudgā</t>
  </si>
  <si>
    <t xml:space="preserve">anuparigā</t>
  </si>
  <si>
    <t xml:space="preserve">anuvyavagā</t>
  </si>
  <si>
    <t xml:space="preserve">anvavagā</t>
  </si>
  <si>
    <t xml:space="preserve">apapragā</t>
  </si>
  <si>
    <t xml:space="preserve">apigā</t>
  </si>
  <si>
    <t xml:space="preserve">paryāgā</t>
  </si>
  <si>
    <t xml:space="preserve">pratyudgā</t>
  </si>
  <si>
    <t xml:space="preserve">samabhyavagā</t>
  </si>
  <si>
    <t xml:space="preserve">udāgā</t>
  </si>
  <si>
    <t xml:space="preserve">upāgā</t>
  </si>
  <si>
    <t xml:space="preserve">upapragā</t>
  </si>
  <si>
    <t xml:space="preserve">viparigā</t>
  </si>
  <si>
    <t xml:space="preserve">vyatigā</t>
  </si>
  <si>
    <t xml:space="preserve">abhipragai</t>
  </si>
  <si>
    <t xml:space="preserve">svid</t>
  </si>
  <si>
    <t xml:space="preserve">prasvid</t>
  </si>
  <si>
    <t xml:space="preserve">saṁsvid</t>
  </si>
  <si>
    <t xml:space="preserve">parisvid</t>
  </si>
  <si>
    <t xml:space="preserve">utsvid</t>
  </si>
  <si>
    <t xml:space="preserve">āsvid</t>
  </si>
  <si>
    <t xml:space="preserve">upasvid</t>
  </si>
  <si>
    <t xml:space="preserve">duh</t>
  </si>
  <si>
    <t xml:space="preserve">nirduh</t>
  </si>
  <si>
    <t xml:space="preserve">praduh</t>
  </si>
  <si>
    <t xml:space="preserve">āduh</t>
  </si>
  <si>
    <t xml:space="preserve">abhiduh</t>
  </si>
  <si>
    <t xml:space="preserve">saṁduh</t>
  </si>
  <si>
    <t xml:space="preserve">avaduh</t>
  </si>
  <si>
    <t xml:space="preserve">pratiduh</t>
  </si>
  <si>
    <t xml:space="preserve">praviduh</t>
  </si>
  <si>
    <t xml:space="preserve">viduh</t>
  </si>
  <si>
    <t xml:space="preserve">vipraduh</t>
  </si>
  <si>
    <t xml:space="preserve">añj</t>
  </si>
  <si>
    <t xml:space="preserve">abhyañj</t>
  </si>
  <si>
    <t xml:space="preserve">vyañj</t>
  </si>
  <si>
    <t xml:space="preserve">abhivyañj</t>
  </si>
  <si>
    <t xml:space="preserve">samañj</t>
  </si>
  <si>
    <t xml:space="preserve">āñj</t>
  </si>
  <si>
    <t xml:space="preserve">anvañj</t>
  </si>
  <si>
    <t xml:space="preserve">nyañj</t>
  </si>
  <si>
    <t xml:space="preserve">pratyañj</t>
  </si>
  <si>
    <t xml:space="preserve">samabhyañj</t>
  </si>
  <si>
    <t xml:space="preserve">udañj</t>
  </si>
  <si>
    <t xml:space="preserve">nirvyañj</t>
  </si>
  <si>
    <t xml:space="preserve">upāñj</t>
  </si>
  <si>
    <t xml:space="preserve">arc</t>
  </si>
  <si>
    <t xml:space="preserve">abhyarc</t>
  </si>
  <si>
    <t xml:space="preserve">prārc</t>
  </si>
  <si>
    <t xml:space="preserve">samarc</t>
  </si>
  <si>
    <t xml:space="preserve">pratyarc</t>
  </si>
  <si>
    <t xml:space="preserve">abhiprārc</t>
  </si>
  <si>
    <t xml:space="preserve">anvarc</t>
  </si>
  <si>
    <t xml:space="preserve">samabhyarc</t>
  </si>
  <si>
    <t xml:space="preserve">ad</t>
  </si>
  <si>
    <t xml:space="preserve">avād</t>
  </si>
  <si>
    <t xml:space="preserve">prād</t>
  </si>
  <si>
    <t xml:space="preserve">pratyad</t>
  </si>
  <si>
    <t xml:space="preserve">samad</t>
  </si>
  <si>
    <t xml:space="preserve">vyad</t>
  </si>
  <si>
    <t xml:space="preserve">vardhay</t>
  </si>
  <si>
    <t xml:space="preserve">vivardhay</t>
  </si>
  <si>
    <t xml:space="preserve">saṁvardhay</t>
  </si>
  <si>
    <t xml:space="preserve">abhivardhay</t>
  </si>
  <si>
    <t xml:space="preserve">pravardhay</t>
  </si>
  <si>
    <t xml:space="preserve">abhipravardhay</t>
  </si>
  <si>
    <t xml:space="preserve">parivardhay</t>
  </si>
  <si>
    <t xml:space="preserve">samabhivardhay</t>
  </si>
  <si>
    <t xml:space="preserve">prativivardhay</t>
  </si>
  <si>
    <t xml:space="preserve">udvardhay</t>
  </si>
  <si>
    <t xml:space="preserve">sañj</t>
  </si>
  <si>
    <t xml:space="preserve">prasañj</t>
  </si>
  <si>
    <t xml:space="preserve">āsañj</t>
  </si>
  <si>
    <t xml:space="preserve">saṁsañj</t>
  </si>
  <si>
    <t xml:space="preserve">viṣañj</t>
  </si>
  <si>
    <t xml:space="preserve">vyatiṣañj</t>
  </si>
  <si>
    <t xml:space="preserve">samāsañj</t>
  </si>
  <si>
    <t xml:space="preserve">avasañj</t>
  </si>
  <si>
    <t xml:space="preserve">anuṣañj</t>
  </si>
  <si>
    <t xml:space="preserve">vyāsañj</t>
  </si>
  <si>
    <t xml:space="preserve">abhiṣañj</t>
  </si>
  <si>
    <t xml:space="preserve">niṣañj</t>
  </si>
  <si>
    <t xml:space="preserve">samprasañj</t>
  </si>
  <si>
    <t xml:space="preserve">abhiniṣañj</t>
  </si>
  <si>
    <t xml:space="preserve">abhiviṣañj</t>
  </si>
  <si>
    <t xml:space="preserve">atiṣañj</t>
  </si>
  <si>
    <t xml:space="preserve">pariṣañj</t>
  </si>
  <si>
    <t xml:space="preserve">pratiṣañj</t>
  </si>
  <si>
    <t xml:space="preserve">anuprasañj</t>
  </si>
  <si>
    <t xml:space="preserve">upasañj</t>
  </si>
  <si>
    <t xml:space="preserve">māray</t>
  </si>
  <si>
    <t xml:space="preserve">vimāray</t>
  </si>
  <si>
    <t xml:space="preserve">parimāray</t>
  </si>
  <si>
    <t xml:space="preserve">pramāray</t>
  </si>
  <si>
    <t xml:space="preserve">upamāray</t>
  </si>
  <si>
    <t xml:space="preserve">veṣṭay</t>
  </si>
  <si>
    <t xml:space="preserve">pariveṣṭay</t>
  </si>
  <si>
    <t xml:space="preserve">āveṣṭay</t>
  </si>
  <si>
    <t xml:space="preserve">saṁveṣṭay</t>
  </si>
  <si>
    <t xml:space="preserve">abhiveṣṭay</t>
  </si>
  <si>
    <t xml:space="preserve">praveṣṭay</t>
  </si>
  <si>
    <t xml:space="preserve">udveṣṭay</t>
  </si>
  <si>
    <t xml:space="preserve">anuveṣṭay</t>
  </si>
  <si>
    <t xml:space="preserve">niveṣṭay</t>
  </si>
  <si>
    <t xml:space="preserve">samāveṣṭay</t>
  </si>
  <si>
    <t xml:space="preserve">upaveṣṭay</t>
  </si>
  <si>
    <t xml:space="preserve">apaveṣṭay</t>
  </si>
  <si>
    <t xml:space="preserve">viveṣṭay</t>
  </si>
  <si>
    <t xml:space="preserve">apāveṣṭay</t>
  </si>
  <si>
    <t xml:space="preserve">adhiveṣṭay</t>
  </si>
  <si>
    <t xml:space="preserve">prativeṣṭay</t>
  </si>
  <si>
    <t xml:space="preserve">prodveṣṭay</t>
  </si>
  <si>
    <t xml:space="preserve">sampraveṣṭay</t>
  </si>
  <si>
    <t xml:space="preserve">nirveṣṭay</t>
  </si>
  <si>
    <t xml:space="preserve">has</t>
  </si>
  <si>
    <t xml:space="preserve">prahas</t>
  </si>
  <si>
    <t xml:space="preserve">vihas</t>
  </si>
  <si>
    <t xml:space="preserve">avahas</t>
  </si>
  <si>
    <t xml:space="preserve">upahas</t>
  </si>
  <si>
    <t xml:space="preserve">apahas</t>
  </si>
  <si>
    <t xml:space="preserve">parihas</t>
  </si>
  <si>
    <t xml:space="preserve">samprahas</t>
  </si>
  <si>
    <t xml:space="preserve">samavahas</t>
  </si>
  <si>
    <t xml:space="preserve">samupahas</t>
  </si>
  <si>
    <t xml:space="preserve">saṁvihas</t>
  </si>
  <si>
    <t xml:space="preserve">uddhas</t>
  </si>
  <si>
    <t xml:space="preserve">vyatihas</t>
  </si>
  <si>
    <t xml:space="preserve">bādh</t>
  </si>
  <si>
    <t xml:space="preserve">prabādh</t>
  </si>
  <si>
    <t xml:space="preserve">pratibādh</t>
  </si>
  <si>
    <t xml:space="preserve">paribādh</t>
  </si>
  <si>
    <t xml:space="preserve">vibādh</t>
  </si>
  <si>
    <t xml:space="preserve">ābādh</t>
  </si>
  <si>
    <t xml:space="preserve">apabādh</t>
  </si>
  <si>
    <t xml:space="preserve">nibādh</t>
  </si>
  <si>
    <t xml:space="preserve">sambādh</t>
  </si>
  <si>
    <t xml:space="preserve">abhibādh</t>
  </si>
  <si>
    <t xml:space="preserve">anubādh</t>
  </si>
  <si>
    <t xml:space="preserve">samprabādh</t>
  </si>
  <si>
    <t xml:space="preserve">vyābādh</t>
  </si>
  <si>
    <t xml:space="preserve">atibādh</t>
  </si>
  <si>
    <t xml:space="preserve">adhibādh</t>
  </si>
  <si>
    <t xml:space="preserve">avabādh</t>
  </si>
  <si>
    <t xml:space="preserve">nirbādh</t>
  </si>
  <si>
    <t xml:space="preserve">udbādh</t>
  </si>
  <si>
    <t xml:space="preserve">nāśay</t>
  </si>
  <si>
    <t xml:space="preserve">vināśay</t>
  </si>
  <si>
    <t xml:space="preserve">praṇāśay</t>
  </si>
  <si>
    <t xml:space="preserve">vipraṇāśay</t>
  </si>
  <si>
    <t xml:space="preserve">vyapanāśay</t>
  </si>
  <si>
    <t xml:space="preserve">apanāśay</t>
  </si>
  <si>
    <t xml:space="preserve">nirṇāśay</t>
  </si>
  <si>
    <t xml:space="preserve">upanāśay</t>
  </si>
  <si>
    <t xml:space="preserve">ruc</t>
  </si>
  <si>
    <t xml:space="preserve">viruc</t>
  </si>
  <si>
    <t xml:space="preserve">atiruc</t>
  </si>
  <si>
    <t xml:space="preserve">abhiruc</t>
  </si>
  <si>
    <t xml:space="preserve">abhiviruc</t>
  </si>
  <si>
    <t xml:space="preserve">sampraruc</t>
  </si>
  <si>
    <t xml:space="preserve">avaruc</t>
  </si>
  <si>
    <t xml:space="preserve">praruc</t>
  </si>
  <si>
    <t xml:space="preserve">saṁruc</t>
  </si>
  <si>
    <t xml:space="preserve">āruc</t>
  </si>
  <si>
    <t xml:space="preserve">anuruc</t>
  </si>
  <si>
    <t xml:space="preserve">nīruc</t>
  </si>
  <si>
    <t xml:space="preserve">pariruc</t>
  </si>
  <si>
    <t xml:space="preserve">pratiruc</t>
  </si>
  <si>
    <t xml:space="preserve">samāruc</t>
  </si>
  <si>
    <t xml:space="preserve">uparuc</t>
  </si>
  <si>
    <t xml:space="preserve">udruc</t>
  </si>
  <si>
    <t xml:space="preserve">gad</t>
  </si>
  <si>
    <t xml:space="preserve">nigad</t>
  </si>
  <si>
    <t xml:space="preserve">praṇigad</t>
  </si>
  <si>
    <t xml:space="preserve">parigad</t>
  </si>
  <si>
    <t xml:space="preserve">pragad</t>
  </si>
  <si>
    <t xml:space="preserve">pratigad</t>
  </si>
  <si>
    <t xml:space="preserve">abhigad</t>
  </si>
  <si>
    <t xml:space="preserve">abhinigad</t>
  </si>
  <si>
    <t xml:space="preserve">pratinigad</t>
  </si>
  <si>
    <t xml:space="preserve">vinigad</t>
  </si>
  <si>
    <t xml:space="preserve">kṣam</t>
  </si>
  <si>
    <t xml:space="preserve">saṁkṣam</t>
  </si>
  <si>
    <t xml:space="preserve">anukṣam</t>
  </si>
  <si>
    <t xml:space="preserve">abhikṣam</t>
  </si>
  <si>
    <t xml:space="preserve">lih</t>
  </si>
  <si>
    <t xml:space="preserve">avalih</t>
  </si>
  <si>
    <t xml:space="preserve">vilih</t>
  </si>
  <si>
    <t xml:space="preserve">parisaṁlih</t>
  </si>
  <si>
    <t xml:space="preserve">ālih</t>
  </si>
  <si>
    <t xml:space="preserve">pralih</t>
  </si>
  <si>
    <t xml:space="preserve">saṁlih</t>
  </si>
  <si>
    <t xml:space="preserve">parilih</t>
  </si>
  <si>
    <t xml:space="preserve">ullih</t>
  </si>
  <si>
    <t xml:space="preserve">nirlih</t>
  </si>
  <si>
    <t xml:space="preserve">anulih</t>
  </si>
  <si>
    <t xml:space="preserve">nilih</t>
  </si>
  <si>
    <t xml:space="preserve">vyālih</t>
  </si>
  <si>
    <t xml:space="preserve">vṛṣ</t>
  </si>
  <si>
    <t xml:space="preserve">abhivṛṣ</t>
  </si>
  <si>
    <t xml:space="preserve">pravṛṣ</t>
  </si>
  <si>
    <t xml:space="preserve">abhipravṛṣ</t>
  </si>
  <si>
    <t xml:space="preserve">saṁpravṛṣ</t>
  </si>
  <si>
    <t xml:space="preserve">saṁvṛṣ</t>
  </si>
  <si>
    <t xml:space="preserve">udvṛṣ</t>
  </si>
  <si>
    <t xml:space="preserve">ativṛṣ</t>
  </si>
  <si>
    <t xml:space="preserve">avavṛṣ</t>
  </si>
  <si>
    <t xml:space="preserve">parivṛṣ</t>
  </si>
  <si>
    <t xml:space="preserve">prativṛṣ</t>
  </si>
  <si>
    <t xml:space="preserve">vivṛṣ</t>
  </si>
  <si>
    <t xml:space="preserve">āvṛṣ</t>
  </si>
  <si>
    <t xml:space="preserve">anuvṛṣ</t>
  </si>
  <si>
    <t xml:space="preserve">samabhivṛṣ</t>
  </si>
  <si>
    <t xml:space="preserve">kāmay</t>
  </si>
  <si>
    <t xml:space="preserve">abhikāmay</t>
  </si>
  <si>
    <t xml:space="preserve">nikāmay</t>
  </si>
  <si>
    <t xml:space="preserve">anukāmay</t>
  </si>
  <si>
    <t xml:space="preserve">prakāmay</t>
  </si>
  <si>
    <t xml:space="preserve">pratikāmay</t>
  </si>
  <si>
    <t xml:space="preserve">tan</t>
  </si>
  <si>
    <t xml:space="preserve">vitan</t>
  </si>
  <si>
    <t xml:space="preserve">saṁtan</t>
  </si>
  <si>
    <t xml:space="preserve">ātan</t>
  </si>
  <si>
    <t xml:space="preserve">pratan</t>
  </si>
  <si>
    <t xml:space="preserve">avatan</t>
  </si>
  <si>
    <t xml:space="preserve">pravitan</t>
  </si>
  <si>
    <t xml:space="preserve">anusaṁtan</t>
  </si>
  <si>
    <t xml:space="preserve">abhisaṁtan</t>
  </si>
  <si>
    <t xml:space="preserve">paritan</t>
  </si>
  <si>
    <t xml:space="preserve">uttan</t>
  </si>
  <si>
    <t xml:space="preserve">vyātan</t>
  </si>
  <si>
    <t xml:space="preserve">abhipratan</t>
  </si>
  <si>
    <t xml:space="preserve">anutan</t>
  </si>
  <si>
    <t xml:space="preserve">adhitan</t>
  </si>
  <si>
    <t xml:space="preserve">abhitan</t>
  </si>
  <si>
    <t xml:space="preserve">abhivitan</t>
  </si>
  <si>
    <t xml:space="preserve">abhyātan</t>
  </si>
  <si>
    <t xml:space="preserve">abhyavatan</t>
  </si>
  <si>
    <t xml:space="preserve">anuvitan</t>
  </si>
  <si>
    <t xml:space="preserve">anvātan</t>
  </si>
  <si>
    <t xml:space="preserve">āvitan</t>
  </si>
  <si>
    <t xml:space="preserve">nitan</t>
  </si>
  <si>
    <t xml:space="preserve">paryātan</t>
  </si>
  <si>
    <t xml:space="preserve">pratyātan</t>
  </si>
  <si>
    <t xml:space="preserve">samātan</t>
  </si>
  <si>
    <t xml:space="preserve">udātan</t>
  </si>
  <si>
    <t xml:space="preserve">upasaṁtan</t>
  </si>
  <si>
    <t xml:space="preserve">vyatitan</t>
  </si>
  <si>
    <t xml:space="preserve">puṭ</t>
  </si>
  <si>
    <t xml:space="preserve">saṁpuṭ</t>
  </si>
  <si>
    <t xml:space="preserve">prapuṭ</t>
  </si>
  <si>
    <t xml:space="preserve">śap</t>
  </si>
  <si>
    <t xml:space="preserve">abhiśap</t>
  </si>
  <si>
    <t xml:space="preserve">anuśap</t>
  </si>
  <si>
    <t xml:space="preserve">saṁśap</t>
  </si>
  <si>
    <t xml:space="preserve">avaśap</t>
  </si>
  <si>
    <t xml:space="preserve">pariśap</t>
  </si>
  <si>
    <t xml:space="preserve">pratiśap</t>
  </si>
  <si>
    <t xml:space="preserve">sic</t>
  </si>
  <si>
    <t xml:space="preserve">abhiṣic</t>
  </si>
  <si>
    <t xml:space="preserve">niṣic</t>
  </si>
  <si>
    <t xml:space="preserve">pariṣic</t>
  </si>
  <si>
    <t xml:space="preserve">avasic</t>
  </si>
  <si>
    <t xml:space="preserve">āsic</t>
  </si>
  <si>
    <t xml:space="preserve">saṁsic</t>
  </si>
  <si>
    <t xml:space="preserve">utsic</t>
  </si>
  <si>
    <t xml:space="preserve">prasic</t>
  </si>
  <si>
    <t xml:space="preserve">upasic</t>
  </si>
  <si>
    <t xml:space="preserve">abhyāsic</t>
  </si>
  <si>
    <t xml:space="preserve">samāsic</t>
  </si>
  <si>
    <t xml:space="preserve">parāsic</t>
  </si>
  <si>
    <t xml:space="preserve">abhiniṣic</t>
  </si>
  <si>
    <t xml:space="preserve">abhiparyāsic</t>
  </si>
  <si>
    <t xml:space="preserve">anuṣic</t>
  </si>
  <si>
    <t xml:space="preserve">pratyāsic</t>
  </si>
  <si>
    <t xml:space="preserve">vyatisic</t>
  </si>
  <si>
    <t xml:space="preserve">abhisamāsic</t>
  </si>
  <si>
    <t xml:space="preserve">anvabhiṣic</t>
  </si>
  <si>
    <t xml:space="preserve">niḥṣic</t>
  </si>
  <si>
    <t xml:space="preserve">nirutsic</t>
  </si>
  <si>
    <t xml:space="preserve">samabhiṣic</t>
  </si>
  <si>
    <t xml:space="preserve">samprasic</t>
  </si>
  <si>
    <t xml:space="preserve">saṁniṣic</t>
  </si>
  <si>
    <t xml:space="preserve">vipraṣic</t>
  </si>
  <si>
    <t xml:space="preserve">abhyutsic</t>
  </si>
  <si>
    <t xml:space="preserve">anuviṣic</t>
  </si>
  <si>
    <t xml:space="preserve">anvatisic</t>
  </si>
  <si>
    <t xml:space="preserve">apisic</t>
  </si>
  <si>
    <t xml:space="preserve">avāsic</t>
  </si>
  <si>
    <t xml:space="preserve">pariniṣic</t>
  </si>
  <si>
    <t xml:space="preserve">pratiṣic</t>
  </si>
  <si>
    <t xml:space="preserve">upotsic</t>
  </si>
  <si>
    <t xml:space="preserve">viṣic</t>
  </si>
  <si>
    <t xml:space="preserve">vyāsic</t>
  </si>
  <si>
    <t xml:space="preserve">vyutsic</t>
  </si>
  <si>
    <t xml:space="preserve">bhojay</t>
  </si>
  <si>
    <t xml:space="preserve">saṁbhojay</t>
  </si>
  <si>
    <t xml:space="preserve">pratibhojay</t>
  </si>
  <si>
    <t xml:space="preserve">upabhojay</t>
  </si>
  <si>
    <t xml:space="preserve">śodhay</t>
  </si>
  <si>
    <t xml:space="preserve">viśodhay</t>
  </si>
  <si>
    <t xml:space="preserve">saṁśodhay</t>
  </si>
  <si>
    <t xml:space="preserve">pariśodhay</t>
  </si>
  <si>
    <t xml:space="preserve">praviśodhay</t>
  </si>
  <si>
    <t xml:space="preserve">āśodhay</t>
  </si>
  <si>
    <t xml:space="preserve">abhiśodhay</t>
  </si>
  <si>
    <t xml:space="preserve">abhipraśodhay</t>
  </si>
  <si>
    <t xml:space="preserve">praśodhay</t>
  </si>
  <si>
    <t xml:space="preserve">prativiśodhay</t>
  </si>
  <si>
    <t xml:space="preserve">tāḍay</t>
  </si>
  <si>
    <t xml:space="preserve">abhitāḍay</t>
  </si>
  <si>
    <t xml:space="preserve">saṁtāḍay</t>
  </si>
  <si>
    <t xml:space="preserve">vitāḍay</t>
  </si>
  <si>
    <t xml:space="preserve">ātāḍay</t>
  </si>
  <si>
    <t xml:space="preserve">pratitāḍay</t>
  </si>
  <si>
    <t xml:space="preserve">paritāḍay</t>
  </si>
  <si>
    <t xml:space="preserve">avatāḍay</t>
  </si>
  <si>
    <t xml:space="preserve">pratāḍay</t>
  </si>
  <si>
    <t xml:space="preserve">nad</t>
  </si>
  <si>
    <t xml:space="preserve">vinad</t>
  </si>
  <si>
    <t xml:space="preserve">praṇad</t>
  </si>
  <si>
    <t xml:space="preserve">unnad</t>
  </si>
  <si>
    <t xml:space="preserve">ninad</t>
  </si>
  <si>
    <t xml:space="preserve">abhinad</t>
  </si>
  <si>
    <t xml:space="preserve">pratinad</t>
  </si>
  <si>
    <t xml:space="preserve">sampraṇad</t>
  </si>
  <si>
    <t xml:space="preserve">ānad</t>
  </si>
  <si>
    <t xml:space="preserve">samunnad</t>
  </si>
  <si>
    <t xml:space="preserve">abhipraṇad</t>
  </si>
  <si>
    <t xml:space="preserve">abhivinad</t>
  </si>
  <si>
    <t xml:space="preserve">anunad</t>
  </si>
  <si>
    <t xml:space="preserve">anuvinad</t>
  </si>
  <si>
    <t xml:space="preserve">pariṇad</t>
  </si>
  <si>
    <t xml:space="preserve">praṇinad</t>
  </si>
  <si>
    <t xml:space="preserve">pronnad</t>
  </si>
  <si>
    <t xml:space="preserve">saṁnad</t>
  </si>
  <si>
    <t xml:space="preserve">cal</t>
  </si>
  <si>
    <t xml:space="preserve">pracal</t>
  </si>
  <si>
    <t xml:space="preserve">vical</t>
  </si>
  <si>
    <t xml:space="preserve">saṁcal</t>
  </si>
  <si>
    <t xml:space="preserve">uccal</t>
  </si>
  <si>
    <t xml:space="preserve">saṁpracal</t>
  </si>
  <si>
    <t xml:space="preserve">pravical</t>
  </si>
  <si>
    <t xml:space="preserve">pratical</t>
  </si>
  <si>
    <t xml:space="preserve">niścal</t>
  </si>
  <si>
    <t xml:space="preserve">samuccal</t>
  </si>
  <si>
    <t xml:space="preserve">anuvical</t>
  </si>
  <si>
    <t xml:space="preserve">proccal</t>
  </si>
  <si>
    <t xml:space="preserve">krīḍ</t>
  </si>
  <si>
    <t xml:space="preserve">saṁkrīḍ</t>
  </si>
  <si>
    <t xml:space="preserve">vikrīḍ</t>
  </si>
  <si>
    <t xml:space="preserve">prakrīḍ</t>
  </si>
  <si>
    <t xml:space="preserve">ākrīḍ</t>
  </si>
  <si>
    <t xml:space="preserve">anukrīḍ</t>
  </si>
  <si>
    <t xml:space="preserve">parikrīḍ</t>
  </si>
  <si>
    <t xml:space="preserve">upakrīḍ</t>
  </si>
  <si>
    <t xml:space="preserve">prākrīḍ</t>
  </si>
  <si>
    <t xml:space="preserve">samākrīḍ</t>
  </si>
  <si>
    <t xml:space="preserve">adhikrīḍ</t>
  </si>
  <si>
    <t xml:space="preserve">parisaṁkrīḍ</t>
  </si>
  <si>
    <t xml:space="preserve">guh</t>
  </si>
  <si>
    <t xml:space="preserve">upaguh</t>
  </si>
  <si>
    <t xml:space="preserve">niguh</t>
  </si>
  <si>
    <t xml:space="preserve">avaguh</t>
  </si>
  <si>
    <t xml:space="preserve">apaguh</t>
  </si>
  <si>
    <t xml:space="preserve">viguh</t>
  </si>
  <si>
    <t xml:space="preserve">viniguh</t>
  </si>
  <si>
    <t xml:space="preserve">nirguh</t>
  </si>
  <si>
    <t xml:space="preserve">saṁguh</t>
  </si>
  <si>
    <t xml:space="preserve">praguh</t>
  </si>
  <si>
    <t xml:space="preserve">pratiguh</t>
  </si>
  <si>
    <t xml:space="preserve">samupaguh</t>
  </si>
  <si>
    <t xml:space="preserve">udguh</t>
  </si>
  <si>
    <t xml:space="preserve">samabhiguh</t>
  </si>
  <si>
    <t xml:space="preserve">samavaguh</t>
  </si>
  <si>
    <t xml:space="preserve">likh</t>
  </si>
  <si>
    <t xml:space="preserve">vilikh</t>
  </si>
  <si>
    <t xml:space="preserve">ullikh</t>
  </si>
  <si>
    <t xml:space="preserve">ālikh</t>
  </si>
  <si>
    <t xml:space="preserve">saṁlikh</t>
  </si>
  <si>
    <t xml:space="preserve">avalikh</t>
  </si>
  <si>
    <t xml:space="preserve">samālikh</t>
  </si>
  <si>
    <t xml:space="preserve">abhilikh</t>
  </si>
  <si>
    <t xml:space="preserve">nirlikh</t>
  </si>
  <si>
    <t xml:space="preserve">samullikh</t>
  </si>
  <si>
    <t xml:space="preserve">parilikh</t>
  </si>
  <si>
    <t xml:space="preserve">pratilikh</t>
  </si>
  <si>
    <t xml:space="preserve">pralikh</t>
  </si>
  <si>
    <t xml:space="preserve">vinirlikh</t>
  </si>
  <si>
    <t xml:space="preserve">prollikh</t>
  </si>
  <si>
    <t xml:space="preserve">upalikh</t>
  </si>
  <si>
    <t xml:space="preserve">vyālikh</t>
  </si>
  <si>
    <t xml:space="preserve">apalikh</t>
  </si>
  <si>
    <t xml:space="preserve">mā</t>
  </si>
  <si>
    <t xml:space="preserve">nirmā</t>
  </si>
  <si>
    <t xml:space="preserve">saṁmā</t>
  </si>
  <si>
    <t xml:space="preserve">pramā</t>
  </si>
  <si>
    <t xml:space="preserve">anumā</t>
  </si>
  <si>
    <t xml:space="preserve">unmā</t>
  </si>
  <si>
    <t xml:space="preserve">vinirmā</t>
  </si>
  <si>
    <t xml:space="preserve">parimā</t>
  </si>
  <si>
    <t xml:space="preserve">abhinirmā</t>
  </si>
  <si>
    <t xml:space="preserve">vimā</t>
  </si>
  <si>
    <t xml:space="preserve">nimā</t>
  </si>
  <si>
    <t xml:space="preserve">upamā</t>
  </si>
  <si>
    <t xml:space="preserve">saṁnirmā</t>
  </si>
  <si>
    <t xml:space="preserve">parinirmā</t>
  </si>
  <si>
    <t xml:space="preserve">pratimā</t>
  </si>
  <si>
    <t xml:space="preserve">samunmā</t>
  </si>
  <si>
    <t xml:space="preserve">avamā</t>
  </si>
  <si>
    <t xml:space="preserve">pratinirmā</t>
  </si>
  <si>
    <t xml:space="preserve">vinimā</t>
  </si>
  <si>
    <t xml:space="preserve">abhimā</t>
  </si>
  <si>
    <t xml:space="preserve">apamā</t>
  </si>
  <si>
    <t xml:space="preserve">lepay</t>
  </si>
  <si>
    <t xml:space="preserve">pralepay</t>
  </si>
  <si>
    <t xml:space="preserve">vilepay</t>
  </si>
  <si>
    <t xml:space="preserve">ālepay</t>
  </si>
  <si>
    <t xml:space="preserve">parilepay</t>
  </si>
  <si>
    <t xml:space="preserve">anulepay</t>
  </si>
  <si>
    <t xml:space="preserve">saṁpralepay</t>
  </si>
  <si>
    <t xml:space="preserve">saṁlepay</t>
  </si>
  <si>
    <t xml:space="preserve">upalepay</t>
  </si>
  <si>
    <t xml:space="preserve">abhilepay</t>
  </si>
  <si>
    <t xml:space="preserve">avalepay</t>
  </si>
  <si>
    <t xml:space="preserve">pravilepay</t>
  </si>
  <si>
    <t xml:space="preserve">gup</t>
  </si>
  <si>
    <t xml:space="preserve">abhigup</t>
  </si>
  <si>
    <t xml:space="preserve">anugup</t>
  </si>
  <si>
    <t xml:space="preserve">saṁgup</t>
  </si>
  <si>
    <t xml:space="preserve">nigup</t>
  </si>
  <si>
    <t xml:space="preserve">abhisaṁgup</t>
  </si>
  <si>
    <t xml:space="preserve">pragup</t>
  </si>
  <si>
    <t xml:space="preserve">upagup</t>
  </si>
  <si>
    <t xml:space="preserve">nirgup</t>
  </si>
  <si>
    <t xml:space="preserve">sru</t>
  </si>
  <si>
    <t xml:space="preserve">prasru</t>
  </si>
  <si>
    <t xml:space="preserve">parisru</t>
  </si>
  <si>
    <t xml:space="preserve">niḥsru</t>
  </si>
  <si>
    <t xml:space="preserve">saṁsru</t>
  </si>
  <si>
    <t xml:space="preserve">visru</t>
  </si>
  <si>
    <t xml:space="preserve">āsru</t>
  </si>
  <si>
    <t xml:space="preserve">samprasru</t>
  </si>
  <si>
    <t xml:space="preserve">atisru</t>
  </si>
  <si>
    <t xml:space="preserve">nisru</t>
  </si>
  <si>
    <t xml:space="preserve">atiprasru</t>
  </si>
  <si>
    <t xml:space="preserve">abhisru</t>
  </si>
  <si>
    <t xml:space="preserve">pratisru</t>
  </si>
  <si>
    <t xml:space="preserve">vinisru</t>
  </si>
  <si>
    <t xml:space="preserve">viniḥsru</t>
  </si>
  <si>
    <t xml:space="preserve">abhisaṁsru</t>
  </si>
  <si>
    <t xml:space="preserve">anuparāsru</t>
  </si>
  <si>
    <t xml:space="preserve">anuparisru</t>
  </si>
  <si>
    <t xml:space="preserve">anvavasru</t>
  </si>
  <si>
    <t xml:space="preserve">adhisru</t>
  </si>
  <si>
    <t xml:space="preserve">samavasru</t>
  </si>
  <si>
    <t xml:space="preserve">upasru</t>
  </si>
  <si>
    <t xml:space="preserve">vyavasru</t>
  </si>
  <si>
    <t xml:space="preserve">mohay</t>
  </si>
  <si>
    <t xml:space="preserve">vimohay</t>
  </si>
  <si>
    <t xml:space="preserve">saṁmohay</t>
  </si>
  <si>
    <t xml:space="preserve">vyāmohay</t>
  </si>
  <si>
    <t xml:space="preserve">parimohay</t>
  </si>
  <si>
    <t xml:space="preserve">pramohay</t>
  </si>
  <si>
    <t xml:space="preserve">pratimohay</t>
  </si>
  <si>
    <t xml:space="preserve">abhimohay</t>
  </si>
  <si>
    <t xml:space="preserve">nirmohay</t>
  </si>
  <si>
    <t xml:space="preserve">vipramohay</t>
  </si>
  <si>
    <t xml:space="preserve">śās</t>
  </si>
  <si>
    <t xml:space="preserve">anuśās</t>
  </si>
  <si>
    <t xml:space="preserve">praśās</t>
  </si>
  <si>
    <t xml:space="preserve">āśās</t>
  </si>
  <si>
    <t xml:space="preserve">samanuśās</t>
  </si>
  <si>
    <t xml:space="preserve">saṁśās</t>
  </si>
  <si>
    <t xml:space="preserve">abhiśās</t>
  </si>
  <si>
    <t xml:space="preserve">abhyanuśās</t>
  </si>
  <si>
    <t xml:space="preserve">avaśās</t>
  </si>
  <si>
    <t xml:space="preserve">niśās</t>
  </si>
  <si>
    <t xml:space="preserve">sampraśās</t>
  </si>
  <si>
    <t xml:space="preserve">viśās</t>
  </si>
  <si>
    <t xml:space="preserve">niḥśās</t>
  </si>
  <si>
    <t xml:space="preserve">ucchās</t>
  </si>
  <si>
    <t xml:space="preserve">śubh</t>
  </si>
  <si>
    <t xml:space="preserve">abhiśubh</t>
  </si>
  <si>
    <t xml:space="preserve">pariśubh</t>
  </si>
  <si>
    <t xml:space="preserve">saṁśubh</t>
  </si>
  <si>
    <t xml:space="preserve">viśubh</t>
  </si>
  <si>
    <t xml:space="preserve">upaśubh</t>
  </si>
  <si>
    <t xml:space="preserve">atiśubh</t>
  </si>
  <si>
    <t xml:space="preserve">niśubh</t>
  </si>
  <si>
    <t xml:space="preserve">praśubh</t>
  </si>
  <si>
    <t xml:space="preserve">samabhiśubh</t>
  </si>
  <si>
    <t xml:space="preserve">īray</t>
  </si>
  <si>
    <t xml:space="preserve">udīray</t>
  </si>
  <si>
    <t xml:space="preserve">preray</t>
  </si>
  <si>
    <t xml:space="preserve">samīray</t>
  </si>
  <si>
    <t xml:space="preserve">samudīray</t>
  </si>
  <si>
    <t xml:space="preserve">eray</t>
  </si>
  <si>
    <t xml:space="preserve">abhisamīray</t>
  </si>
  <si>
    <t xml:space="preserve">saṁpreray</t>
  </si>
  <si>
    <t xml:space="preserve">abhipreray</t>
  </si>
  <si>
    <t xml:space="preserve">abhyudīray</t>
  </si>
  <si>
    <t xml:space="preserve">anupreray</t>
  </si>
  <si>
    <t xml:space="preserve">atipreray</t>
  </si>
  <si>
    <t xml:space="preserve">saṁprodīray</t>
  </si>
  <si>
    <t xml:space="preserve">abhīray</t>
  </si>
  <si>
    <t xml:space="preserve">nīray</t>
  </si>
  <si>
    <t xml:space="preserve">pratīray</t>
  </si>
  <si>
    <t xml:space="preserve">gras</t>
  </si>
  <si>
    <t xml:space="preserve">pragras</t>
  </si>
  <si>
    <t xml:space="preserve">abhigras</t>
  </si>
  <si>
    <t xml:space="preserve">avagras</t>
  </si>
  <si>
    <t xml:space="preserve">saṁgras</t>
  </si>
  <si>
    <t xml:space="preserve">upagras</t>
  </si>
  <si>
    <t xml:space="preserve">āgras</t>
  </si>
  <si>
    <t xml:space="preserve">parigras</t>
  </si>
  <si>
    <t xml:space="preserve">cūrṇay</t>
  </si>
  <si>
    <t xml:space="preserve">vicūrṇay</t>
  </si>
  <si>
    <t xml:space="preserve">saṁcūrṇay</t>
  </si>
  <si>
    <t xml:space="preserve">avacūrṇay</t>
  </si>
  <si>
    <t xml:space="preserve">paricūrṇay</t>
  </si>
  <si>
    <t xml:space="preserve">pracūrṇay</t>
  </si>
  <si>
    <t xml:space="preserve">sucūrṇay</t>
  </si>
  <si>
    <t xml:space="preserve">ācūrṇay</t>
  </si>
  <si>
    <t xml:space="preserve">anvavacūrṇay</t>
  </si>
  <si>
    <t xml:space="preserve">suvicūrṇay</t>
  </si>
  <si>
    <t xml:space="preserve">dāpay</t>
  </si>
  <si>
    <t xml:space="preserve">pradāpay</t>
  </si>
  <si>
    <t xml:space="preserve">samādāpay</t>
  </si>
  <si>
    <t xml:space="preserve">pratidāpay</t>
  </si>
  <si>
    <t xml:space="preserve">saṁpradāpay</t>
  </si>
  <si>
    <t xml:space="preserve">abhidāpay</t>
  </si>
  <si>
    <t xml:space="preserve">anudāpay</t>
  </si>
  <si>
    <t xml:space="preserve">anupradāpay</t>
  </si>
  <si>
    <t xml:space="preserve">saṁdāpay</t>
  </si>
  <si>
    <t xml:space="preserve">paridāpay</t>
  </si>
  <si>
    <t xml:space="preserve">tṛp</t>
  </si>
  <si>
    <t xml:space="preserve">vitṛp</t>
  </si>
  <si>
    <t xml:space="preserve">saṁtṛp</t>
  </si>
  <si>
    <t xml:space="preserve">paritṛp</t>
  </si>
  <si>
    <t xml:space="preserve">abhitṛp</t>
  </si>
  <si>
    <t xml:space="preserve">atitṛp</t>
  </si>
  <si>
    <t xml:space="preserve">anutṛp</t>
  </si>
  <si>
    <t xml:space="preserve">ātṛp</t>
  </si>
  <si>
    <t xml:space="preserve">apatṛp</t>
  </si>
  <si>
    <t xml:space="preserve">bhūṣay</t>
  </si>
  <si>
    <t xml:space="preserve">vibhūṣay</t>
  </si>
  <si>
    <t xml:space="preserve">abhibhūṣay</t>
  </si>
  <si>
    <t xml:space="preserve">atibhūṣay</t>
  </si>
  <si>
    <t xml:space="preserve">saṁbhūṣay</t>
  </si>
  <si>
    <t xml:space="preserve">tvar</t>
  </si>
  <si>
    <t xml:space="preserve">saṁtvar</t>
  </si>
  <si>
    <t xml:space="preserve">abhitvar</t>
  </si>
  <si>
    <t xml:space="preserve">pratvar</t>
  </si>
  <si>
    <t xml:space="preserve">atitvar</t>
  </si>
  <si>
    <t xml:space="preserve">śā</t>
  </si>
  <si>
    <t xml:space="preserve">niśā</t>
  </si>
  <si>
    <t xml:space="preserve">saṁśā</t>
  </si>
  <si>
    <t xml:space="preserve">āśā</t>
  </si>
  <si>
    <t xml:space="preserve">atiśā</t>
  </si>
  <si>
    <t xml:space="preserve">lakṣay</t>
  </si>
  <si>
    <t xml:space="preserve">saṁlakṣay</t>
  </si>
  <si>
    <t xml:space="preserve">upalakṣay</t>
  </si>
  <si>
    <t xml:space="preserve">ālakṣay</t>
  </si>
  <si>
    <t xml:space="preserve">samālakṣay</t>
  </si>
  <si>
    <t xml:space="preserve">vilakṣay</t>
  </si>
  <si>
    <t xml:space="preserve">abhilakṣay</t>
  </si>
  <si>
    <t xml:space="preserve">samupalakṣay</t>
  </si>
  <si>
    <t xml:space="preserve">pralakṣay</t>
  </si>
  <si>
    <t xml:space="preserve">saṁpratilakṣay</t>
  </si>
  <si>
    <t xml:space="preserve">kup</t>
  </si>
  <si>
    <t xml:space="preserve">prakup</t>
  </si>
  <si>
    <t xml:space="preserve">saṁkup</t>
  </si>
  <si>
    <t xml:space="preserve">parikup</t>
  </si>
  <si>
    <t xml:space="preserve">adhikup</t>
  </si>
  <si>
    <t xml:space="preserve">saṁprakup</t>
  </si>
  <si>
    <t xml:space="preserve">utkup</t>
  </si>
  <si>
    <t xml:space="preserve">atikup</t>
  </si>
  <si>
    <t xml:space="preserve">yat</t>
  </si>
  <si>
    <t xml:space="preserve">āyat</t>
  </si>
  <si>
    <t xml:space="preserve">prayat</t>
  </si>
  <si>
    <t xml:space="preserve">saṁyat</t>
  </si>
  <si>
    <t xml:space="preserve">anvāyat</t>
  </si>
  <si>
    <t xml:space="preserve">samāyat</t>
  </si>
  <si>
    <t xml:space="preserve">parāyat</t>
  </si>
  <si>
    <t xml:space="preserve">pariyat</t>
  </si>
  <si>
    <t xml:space="preserve">niyat</t>
  </si>
  <si>
    <t xml:space="preserve">viyat</t>
  </si>
  <si>
    <t xml:space="preserve">abhisaṁyat</t>
  </si>
  <si>
    <t xml:space="preserve">pratiyat</t>
  </si>
  <si>
    <t xml:space="preserve">pratisaṁyat</t>
  </si>
  <si>
    <t xml:space="preserve">anuyat</t>
  </si>
  <si>
    <t xml:space="preserve">atyāyat</t>
  </si>
  <si>
    <t xml:space="preserve">adhiyat</t>
  </si>
  <si>
    <t xml:space="preserve">adhiviyat</t>
  </si>
  <si>
    <t xml:space="preserve">samprayat</t>
  </si>
  <si>
    <t xml:space="preserve">upayat</t>
  </si>
  <si>
    <t xml:space="preserve">arday</t>
  </si>
  <si>
    <t xml:space="preserve">samarday</t>
  </si>
  <si>
    <t xml:space="preserve">abhyarday</t>
  </si>
  <si>
    <t xml:space="preserve">prārday</t>
  </si>
  <si>
    <t xml:space="preserve">pratyarday</t>
  </si>
  <si>
    <t xml:space="preserve">tarpay</t>
  </si>
  <si>
    <t xml:space="preserve">saṁtarpay</t>
  </si>
  <si>
    <t xml:space="preserve">pratarpay</t>
  </si>
  <si>
    <t xml:space="preserve">apatarpay</t>
  </si>
  <si>
    <t xml:space="preserve">abhitarpay</t>
  </si>
  <si>
    <t xml:space="preserve">paritarpay</t>
  </si>
  <si>
    <t xml:space="preserve">abhipratarpay</t>
  </si>
  <si>
    <t xml:space="preserve">atitarpay</t>
  </si>
  <si>
    <t xml:space="preserve">saṁpratarpay</t>
  </si>
  <si>
    <t xml:space="preserve">upatarpay</t>
  </si>
  <si>
    <t xml:space="preserve">av</t>
  </si>
  <si>
    <t xml:space="preserve">prāv</t>
  </si>
  <si>
    <t xml:space="preserve">upāv</t>
  </si>
  <si>
    <t xml:space="preserve">samav</t>
  </si>
  <si>
    <t xml:space="preserve">udav</t>
  </si>
  <si>
    <t xml:space="preserve">abhyav</t>
  </si>
  <si>
    <t xml:space="preserve">anvav</t>
  </si>
  <si>
    <t xml:space="preserve">samprāv</t>
  </si>
  <si>
    <t xml:space="preserve">sah</t>
  </si>
  <si>
    <t xml:space="preserve">utsah</t>
  </si>
  <si>
    <t xml:space="preserve">prasah</t>
  </si>
  <si>
    <t xml:space="preserve">viṣah</t>
  </si>
  <si>
    <t xml:space="preserve">saṁsah</t>
  </si>
  <si>
    <t xml:space="preserve">samutsah</t>
  </si>
  <si>
    <t xml:space="preserve">abhyutsah</t>
  </si>
  <si>
    <t xml:space="preserve">pratisah</t>
  </si>
  <si>
    <t xml:space="preserve">abhiṣah</t>
  </si>
  <si>
    <t xml:space="preserve">abhiprasah</t>
  </si>
  <si>
    <t xml:space="preserve">anusah</t>
  </si>
  <si>
    <t xml:space="preserve">niḥsah</t>
  </si>
  <si>
    <t xml:space="preserve">pratisaṁsah</t>
  </si>
  <si>
    <t xml:space="preserve">protsah</t>
  </si>
  <si>
    <t xml:space="preserve">samprasah</t>
  </si>
  <si>
    <t xml:space="preserve">niṣah</t>
  </si>
  <si>
    <t xml:space="preserve">pariṣah</t>
  </si>
  <si>
    <t xml:space="preserve">sad</t>
  </si>
  <si>
    <t xml:space="preserve">prasad</t>
  </si>
  <si>
    <t xml:space="preserve">niṣad</t>
  </si>
  <si>
    <t xml:space="preserve">āsad</t>
  </si>
  <si>
    <t xml:space="preserve">viṣad</t>
  </si>
  <si>
    <t xml:space="preserve">avasad</t>
  </si>
  <si>
    <t xml:space="preserve">utsad</t>
  </si>
  <si>
    <t xml:space="preserve">upasad</t>
  </si>
  <si>
    <t xml:space="preserve">abhiprasad</t>
  </si>
  <si>
    <t xml:space="preserve">samāsad</t>
  </si>
  <si>
    <t xml:space="preserve">saṁniṣad</t>
  </si>
  <si>
    <t xml:space="preserve">pratyāsad</t>
  </si>
  <si>
    <t xml:space="preserve">upaniṣad</t>
  </si>
  <si>
    <t xml:space="preserve">samprasad</t>
  </si>
  <si>
    <t xml:space="preserve">pariṣad</t>
  </si>
  <si>
    <t xml:space="preserve">saṁsad</t>
  </si>
  <si>
    <t xml:space="preserve">abhyāsad</t>
  </si>
  <si>
    <t xml:space="preserve">upāsad</t>
  </si>
  <si>
    <t xml:space="preserve">vyavasad</t>
  </si>
  <si>
    <t xml:space="preserve">suprasad</t>
  </si>
  <si>
    <t xml:space="preserve">abhiniṣad</t>
  </si>
  <si>
    <t xml:space="preserve">atiprasad</t>
  </si>
  <si>
    <t xml:space="preserve">āniṣad</t>
  </si>
  <si>
    <t xml:space="preserve">anuprasad</t>
  </si>
  <si>
    <t xml:space="preserve">pratyavasad</t>
  </si>
  <si>
    <t xml:space="preserve">praviṣad</t>
  </si>
  <si>
    <t xml:space="preserve">viprasad</t>
  </si>
  <si>
    <t xml:space="preserve">abhyutsad</t>
  </si>
  <si>
    <t xml:space="preserve">anuviṣad</t>
  </si>
  <si>
    <t xml:space="preserve">paryupasad</t>
  </si>
  <si>
    <t xml:space="preserve">samavasad</t>
  </si>
  <si>
    <t xml:space="preserve">samutsad</t>
  </si>
  <si>
    <t xml:space="preserve">samupasad</t>
  </si>
  <si>
    <t xml:space="preserve">upopasad</t>
  </si>
  <si>
    <t xml:space="preserve">vyutsad</t>
  </si>
  <si>
    <t xml:space="preserve">abhiṣad</t>
  </si>
  <si>
    <t xml:space="preserve">atyāsad</t>
  </si>
  <si>
    <t xml:space="preserve">adhiniṣad</t>
  </si>
  <si>
    <t xml:space="preserve">adhyāsad</t>
  </si>
  <si>
    <t xml:space="preserve">nyāsad</t>
  </si>
  <si>
    <t xml:space="preserve">pariniṣad</t>
  </si>
  <si>
    <t xml:space="preserve">pratisad</t>
  </si>
  <si>
    <t xml:space="preserve">pratyutsad</t>
  </si>
  <si>
    <t xml:space="preserve">upaprasad</t>
  </si>
  <si>
    <t xml:space="preserve">upotsad</t>
  </si>
  <si>
    <t xml:space="preserve">viniṣad</t>
  </si>
  <si>
    <t xml:space="preserve">mud</t>
  </si>
  <si>
    <t xml:space="preserve">pramud</t>
  </si>
  <si>
    <t xml:space="preserve">anumud</t>
  </si>
  <si>
    <t xml:space="preserve">pratisaṁmud</t>
  </si>
  <si>
    <t xml:space="preserve">saṁmud</t>
  </si>
  <si>
    <t xml:space="preserve">pratimud</t>
  </si>
  <si>
    <t xml:space="preserve">unmud</t>
  </si>
  <si>
    <t xml:space="preserve">anupramud</t>
  </si>
  <si>
    <t xml:space="preserve">samparimud</t>
  </si>
  <si>
    <t xml:space="preserve">bhram</t>
  </si>
  <si>
    <t xml:space="preserve">sambhram</t>
  </si>
  <si>
    <t xml:space="preserve">paribhram</t>
  </si>
  <si>
    <t xml:space="preserve">udbhram</t>
  </si>
  <si>
    <t xml:space="preserve">vibhram</t>
  </si>
  <si>
    <t xml:space="preserve">samudbhram</t>
  </si>
  <si>
    <t xml:space="preserve">anubhram</t>
  </si>
  <si>
    <t xml:space="preserve">upasaṁbhram</t>
  </si>
  <si>
    <t xml:space="preserve">prabhram</t>
  </si>
  <si>
    <t xml:space="preserve">upabhram</t>
  </si>
  <si>
    <t xml:space="preserve">paṭh</t>
  </si>
  <si>
    <t xml:space="preserve">paripaṭh</t>
  </si>
  <si>
    <t xml:space="preserve">prapaṭh</t>
  </si>
  <si>
    <t xml:space="preserve">abhipaṭh</t>
  </si>
  <si>
    <t xml:space="preserve">sampaṭh</t>
  </si>
  <si>
    <t xml:space="preserve">anupaṭh</t>
  </si>
  <si>
    <t xml:space="preserve">vyatipaṭh</t>
  </si>
  <si>
    <t xml:space="preserve">pālay</t>
  </si>
  <si>
    <t xml:space="preserve">paripālay</t>
  </si>
  <si>
    <t xml:space="preserve">anupālay</t>
  </si>
  <si>
    <t xml:space="preserve">pratipālay</t>
  </si>
  <si>
    <t xml:space="preserve">abhipālay</t>
  </si>
  <si>
    <t xml:space="preserve">prapālay</t>
  </si>
  <si>
    <t xml:space="preserve">sampālay</t>
  </si>
  <si>
    <t xml:space="preserve">samanupālay</t>
  </si>
  <si>
    <t xml:space="preserve">samabhipālay</t>
  </si>
  <si>
    <t xml:space="preserve">vipālay</t>
  </si>
  <si>
    <t xml:space="preserve">yāc</t>
  </si>
  <si>
    <t xml:space="preserve">āyāc</t>
  </si>
  <si>
    <t xml:space="preserve">abhiyāc</t>
  </si>
  <si>
    <t xml:space="preserve">prayāc</t>
  </si>
  <si>
    <t xml:space="preserve">pratiyāc</t>
  </si>
  <si>
    <t xml:space="preserve">anuyāc</t>
  </si>
  <si>
    <t xml:space="preserve">saṁyāc</t>
  </si>
  <si>
    <t xml:space="preserve">niryāc</t>
  </si>
  <si>
    <t xml:space="preserve">pratyanuyāc</t>
  </si>
  <si>
    <t xml:space="preserve">samprayāc</t>
  </si>
  <si>
    <t xml:space="preserve">udyāc</t>
  </si>
  <si>
    <t xml:space="preserve">samabhiyāc</t>
  </si>
  <si>
    <t xml:space="preserve">upayāc</t>
  </si>
  <si>
    <t xml:space="preserve">rud</t>
  </si>
  <si>
    <t xml:space="preserve">prarud</t>
  </si>
  <si>
    <t xml:space="preserve">anurud</t>
  </si>
  <si>
    <t xml:space="preserve">avarud</t>
  </si>
  <si>
    <t xml:space="preserve">virud</t>
  </si>
  <si>
    <t xml:space="preserve">abhirud</t>
  </si>
  <si>
    <t xml:space="preserve">upārud</t>
  </si>
  <si>
    <t xml:space="preserve">vand</t>
  </si>
  <si>
    <t xml:space="preserve">abhivand</t>
  </si>
  <si>
    <t xml:space="preserve">āvand</t>
  </si>
  <si>
    <t xml:space="preserve">parivand</t>
  </si>
  <si>
    <t xml:space="preserve">pravand</t>
  </si>
  <si>
    <t xml:space="preserve">prativand</t>
  </si>
  <si>
    <t xml:space="preserve">saṁvand</t>
  </si>
  <si>
    <t xml:space="preserve">vāray</t>
  </si>
  <si>
    <t xml:space="preserve">parivāray</t>
  </si>
  <si>
    <t xml:space="preserve">nivāray</t>
  </si>
  <si>
    <t xml:space="preserve">saṁvāray</t>
  </si>
  <si>
    <t xml:space="preserve">āvāray</t>
  </si>
  <si>
    <t xml:space="preserve">prativāray</t>
  </si>
  <si>
    <t xml:space="preserve">saṁnivāray</t>
  </si>
  <si>
    <t xml:space="preserve">saṁpravāray</t>
  </si>
  <si>
    <t xml:space="preserve">saṁparivāray</t>
  </si>
  <si>
    <t xml:space="preserve">pravāray</t>
  </si>
  <si>
    <t xml:space="preserve">vinivāray</t>
  </si>
  <si>
    <t xml:space="preserve">abhivāray</t>
  </si>
  <si>
    <t xml:space="preserve">anuparivāray</t>
  </si>
  <si>
    <t xml:space="preserve">apavāray</t>
  </si>
  <si>
    <t xml:space="preserve">anuvāray</t>
  </si>
  <si>
    <t xml:space="preserve">pratinivāray</t>
  </si>
  <si>
    <t xml:space="preserve">abhiparivāray</t>
  </si>
  <si>
    <t xml:space="preserve">parisaṁvāray</t>
  </si>
  <si>
    <t xml:space="preserve">pratisaṁvāray</t>
  </si>
  <si>
    <t xml:space="preserve">vyāvāray</t>
  </si>
  <si>
    <t xml:space="preserve">nam</t>
  </si>
  <si>
    <t xml:space="preserve">praṇam</t>
  </si>
  <si>
    <t xml:space="preserve">unnam</t>
  </si>
  <si>
    <t xml:space="preserve">saṁnam</t>
  </si>
  <si>
    <t xml:space="preserve">ānam</t>
  </si>
  <si>
    <t xml:space="preserve">avanam</t>
  </si>
  <si>
    <t xml:space="preserve">pariṇam</t>
  </si>
  <si>
    <t xml:space="preserve">vinam</t>
  </si>
  <si>
    <t xml:space="preserve">upanam</t>
  </si>
  <si>
    <t xml:space="preserve">samunnam</t>
  </si>
  <si>
    <t xml:space="preserve">abhipraṇam</t>
  </si>
  <si>
    <t xml:space="preserve">vipariṇam</t>
  </si>
  <si>
    <t xml:space="preserve">abhyunnam</t>
  </si>
  <si>
    <t xml:space="preserve">abhinam</t>
  </si>
  <si>
    <t xml:space="preserve">pronnam</t>
  </si>
  <si>
    <t xml:space="preserve">sampraṇam</t>
  </si>
  <si>
    <t xml:space="preserve">abhisaṁnam</t>
  </si>
  <si>
    <t xml:space="preserve">ninam</t>
  </si>
  <si>
    <t xml:space="preserve">nirṇam</t>
  </si>
  <si>
    <t xml:space="preserve">anupraṇam</t>
  </si>
  <si>
    <t xml:space="preserve">samānam</t>
  </si>
  <si>
    <t xml:space="preserve">samavanam</t>
  </si>
  <si>
    <t xml:space="preserve">upānam</t>
  </si>
  <si>
    <t xml:space="preserve">abhyavanam</t>
  </si>
  <si>
    <t xml:space="preserve">anunam</t>
  </si>
  <si>
    <t xml:space="preserve">apanam</t>
  </si>
  <si>
    <t xml:space="preserve">atinam</t>
  </si>
  <si>
    <t xml:space="preserve">adhinam</t>
  </si>
  <si>
    <t xml:space="preserve">parāṇam</t>
  </si>
  <si>
    <t xml:space="preserve">pratinam</t>
  </si>
  <si>
    <t xml:space="preserve">upāvanam</t>
  </si>
  <si>
    <t xml:space="preserve">vyānam</t>
  </si>
  <si>
    <t xml:space="preserve">aś</t>
  </si>
  <si>
    <t xml:space="preserve">prāś</t>
  </si>
  <si>
    <t xml:space="preserve">samaś</t>
  </si>
  <si>
    <t xml:space="preserve">vyaś</t>
  </si>
  <si>
    <t xml:space="preserve">atyaś</t>
  </si>
  <si>
    <t xml:space="preserve">upāś</t>
  </si>
  <si>
    <t xml:space="preserve">samprāś</t>
  </si>
  <si>
    <t xml:space="preserve">āś</t>
  </si>
  <si>
    <t xml:space="preserve">paryaś</t>
  </si>
  <si>
    <t xml:space="preserve">abhyaś</t>
  </si>
  <si>
    <t xml:space="preserve">anusamaś</t>
  </si>
  <si>
    <t xml:space="preserve">samupāś</t>
  </si>
  <si>
    <t xml:space="preserve">anvaś</t>
  </si>
  <si>
    <t xml:space="preserve">adhyaś</t>
  </si>
  <si>
    <t xml:space="preserve">anuvyaś</t>
  </si>
  <si>
    <t xml:space="preserve">udaś</t>
  </si>
  <si>
    <t xml:space="preserve">upasamaś</t>
  </si>
  <si>
    <t xml:space="preserve">abhiprāś</t>
  </si>
  <si>
    <t xml:space="preserve">abhiṣu</t>
  </si>
  <si>
    <t xml:space="preserve">āsu</t>
  </si>
  <si>
    <t xml:space="preserve">prasu</t>
  </si>
  <si>
    <t xml:space="preserve">saṁsu</t>
  </si>
  <si>
    <t xml:space="preserve">parisu</t>
  </si>
  <si>
    <t xml:space="preserve">abhyutsu</t>
  </si>
  <si>
    <t xml:space="preserve">avasu</t>
  </si>
  <si>
    <t xml:space="preserve">utsu</t>
  </si>
  <si>
    <t xml:space="preserve">abhisaṁsu</t>
  </si>
  <si>
    <t xml:space="preserve">adhiṣu</t>
  </si>
  <si>
    <t xml:space="preserve">viṣu</t>
  </si>
  <si>
    <t xml:space="preserve">hvā</t>
  </si>
  <si>
    <t xml:space="preserve">āhvā</t>
  </si>
  <si>
    <t xml:space="preserve">samāhvā</t>
  </si>
  <si>
    <t xml:space="preserve">upahvā</t>
  </si>
  <si>
    <t xml:space="preserve">vihvā</t>
  </si>
  <si>
    <t xml:space="preserve">nihve</t>
  </si>
  <si>
    <t xml:space="preserve">samupahvā</t>
  </si>
  <si>
    <t xml:space="preserve">upāhvā</t>
  </si>
  <si>
    <t xml:space="preserve">abhihve</t>
  </si>
  <si>
    <t xml:space="preserve">abhyāhvā</t>
  </si>
  <si>
    <t xml:space="preserve">anuhvā</t>
  </si>
  <si>
    <t xml:space="preserve">paryāhve</t>
  </si>
  <si>
    <t xml:space="preserve">vyāhvā</t>
  </si>
  <si>
    <t xml:space="preserve">anvāhve</t>
  </si>
  <si>
    <t xml:space="preserve">uddhvā</t>
  </si>
  <si>
    <t xml:space="preserve">apihve</t>
  </si>
  <si>
    <t xml:space="preserve">atihvā</t>
  </si>
  <si>
    <t xml:space="preserve">avahve</t>
  </si>
  <si>
    <t xml:space="preserve">nirhvā</t>
  </si>
  <si>
    <t xml:space="preserve">paryupahvā</t>
  </si>
  <si>
    <t xml:space="preserve">prahvā</t>
  </si>
  <si>
    <t xml:space="preserve">pratihvā</t>
  </si>
  <si>
    <t xml:space="preserve">pratiprahve</t>
  </si>
  <si>
    <t xml:space="preserve">pratyāhve</t>
  </si>
  <si>
    <t xml:space="preserve">pratyupahvā</t>
  </si>
  <si>
    <t xml:space="preserve">saṁhvā</t>
  </si>
  <si>
    <t xml:space="preserve">cyu</t>
  </si>
  <si>
    <t xml:space="preserve">pracyu</t>
  </si>
  <si>
    <t xml:space="preserve">vicyu</t>
  </si>
  <si>
    <t xml:space="preserve">paricyu</t>
  </si>
  <si>
    <t xml:space="preserve">apacyu</t>
  </si>
  <si>
    <t xml:space="preserve">ācyu</t>
  </si>
  <si>
    <t xml:space="preserve">anupracyu</t>
  </si>
  <si>
    <t xml:space="preserve">abhipracyu</t>
  </si>
  <si>
    <t xml:space="preserve">atipracyu</t>
  </si>
  <si>
    <t xml:space="preserve">uccyu</t>
  </si>
  <si>
    <t xml:space="preserve">coday</t>
  </si>
  <si>
    <t xml:space="preserve">pracoday</t>
  </si>
  <si>
    <t xml:space="preserve">saṁcoday</t>
  </si>
  <si>
    <t xml:space="preserve">abhicoday</t>
  </si>
  <si>
    <t xml:space="preserve">paricoday</t>
  </si>
  <si>
    <t xml:space="preserve">abhipracoday</t>
  </si>
  <si>
    <t xml:space="preserve">praticoday</t>
  </si>
  <si>
    <t xml:space="preserve">anucoday</t>
  </si>
  <si>
    <t xml:space="preserve">sampracoday</t>
  </si>
  <si>
    <t xml:space="preserve">ācoday</t>
  </si>
  <si>
    <t xml:space="preserve">nicoday</t>
  </si>
  <si>
    <t xml:space="preserve">juṣ</t>
  </si>
  <si>
    <t xml:space="preserve">abhijuṣ</t>
  </si>
  <si>
    <t xml:space="preserve">ājuṣ</t>
  </si>
  <si>
    <t xml:space="preserve">nirjuṣ</t>
  </si>
  <si>
    <t xml:space="preserve">prajuṣ</t>
  </si>
  <si>
    <t xml:space="preserve">saṁjuṣ</t>
  </si>
  <si>
    <t xml:space="preserve">anujuṣ</t>
  </si>
  <si>
    <t xml:space="preserve">pratijuṣ</t>
  </si>
  <si>
    <t xml:space="preserve">upajuṣ</t>
  </si>
  <si>
    <t xml:space="preserve">pūray</t>
  </si>
  <si>
    <t xml:space="preserve">āpūray</t>
  </si>
  <si>
    <t xml:space="preserve">prapūray</t>
  </si>
  <si>
    <t xml:space="preserve">paripūray</t>
  </si>
  <si>
    <t xml:space="preserve">sampūray</t>
  </si>
  <si>
    <t xml:space="preserve">abhipūray</t>
  </si>
  <si>
    <t xml:space="preserve">pratipūray</t>
  </si>
  <si>
    <t xml:space="preserve">samāpūray</t>
  </si>
  <si>
    <t xml:space="preserve">samabhipūray</t>
  </si>
  <si>
    <t xml:space="preserve">anupūray</t>
  </si>
  <si>
    <t xml:space="preserve">abhiprapūray</t>
  </si>
  <si>
    <t xml:space="preserve">avapūray</t>
  </si>
  <si>
    <t xml:space="preserve">saṁprapūray</t>
  </si>
  <si>
    <t xml:space="preserve">vipūray</t>
  </si>
  <si>
    <t xml:space="preserve">saṁparipūray</t>
  </si>
  <si>
    <t xml:space="preserve">utpūray</t>
  </si>
  <si>
    <t xml:space="preserve">tṛ</t>
  </si>
  <si>
    <t xml:space="preserve">avatṛ</t>
  </si>
  <si>
    <t xml:space="preserve">uttṛ</t>
  </si>
  <si>
    <t xml:space="preserve">vitṛ</t>
  </si>
  <si>
    <t xml:space="preserve">saṁtṛ</t>
  </si>
  <si>
    <r>
      <rPr>
        <sz val="10"/>
        <rFont val="Arial"/>
        <family val="2"/>
        <charset val="204"/>
      </rPr>
      <t xml:space="preserve">atit</t>
    </r>
    <r>
      <rPr>
        <sz val="10"/>
        <rFont val="Microsoft YaHei"/>
        <family val="2"/>
        <charset val="204"/>
      </rPr>
      <t xml:space="preserve">￞</t>
    </r>
  </si>
  <si>
    <t xml:space="preserve">pratṛ</t>
  </si>
  <si>
    <t xml:space="preserve">samuttṛ</t>
  </si>
  <si>
    <t xml:space="preserve">ātṛ</t>
  </si>
  <si>
    <t xml:space="preserve">pratyuttṛ</t>
  </si>
  <si>
    <t xml:space="preserve">samavatṛ</t>
  </si>
  <si>
    <t xml:space="preserve">anutṛ</t>
  </si>
  <si>
    <t xml:space="preserve">anusaṁtṛ</t>
  </si>
  <si>
    <t xml:space="preserve">abhitṛ</t>
  </si>
  <si>
    <t xml:space="preserve">abhisaṁtṛ</t>
  </si>
  <si>
    <t xml:space="preserve">pratinistṛ</t>
  </si>
  <si>
    <t xml:space="preserve">pratyavatṛ</t>
  </si>
  <si>
    <t xml:space="preserve">pravitṛ</t>
  </si>
  <si>
    <t xml:space="preserve">vyatitṛ</t>
  </si>
  <si>
    <t xml:space="preserve">abhyātṛ</t>
  </si>
  <si>
    <t xml:space="preserve">abhyuttṛ</t>
  </si>
  <si>
    <t xml:space="preserve">anvavatṛ</t>
  </si>
  <si>
    <t xml:space="preserve">nitṛ</t>
  </si>
  <si>
    <t xml:space="preserve">prottṛ</t>
  </si>
  <si>
    <t xml:space="preserve">sampratṛ</t>
  </si>
  <si>
    <t xml:space="preserve">pā</t>
  </si>
  <si>
    <t xml:space="preserve">anupā</t>
  </si>
  <si>
    <t xml:space="preserve">prapā</t>
  </si>
  <si>
    <t xml:space="preserve">āpā</t>
  </si>
  <si>
    <t xml:space="preserve">paripā</t>
  </si>
  <si>
    <t xml:space="preserve">sampā</t>
  </si>
  <si>
    <t xml:space="preserve">abhipā</t>
  </si>
  <si>
    <t xml:space="preserve">vipā</t>
  </si>
  <si>
    <t xml:space="preserve">nipā</t>
  </si>
  <si>
    <t xml:space="preserve">niṣpā</t>
  </si>
  <si>
    <t xml:space="preserve">samāpā</t>
  </si>
  <si>
    <t xml:space="preserve">anuprapā</t>
  </si>
  <si>
    <t xml:space="preserve">pratipā</t>
  </si>
  <si>
    <t xml:space="preserve">utpā</t>
  </si>
  <si>
    <t xml:space="preserve">anūtpā</t>
  </si>
  <si>
    <t xml:space="preserve">anvavapā</t>
  </si>
  <si>
    <t xml:space="preserve">bhā</t>
  </si>
  <si>
    <t xml:space="preserve">vibhā</t>
  </si>
  <si>
    <t xml:space="preserve">pratibhā</t>
  </si>
  <si>
    <t xml:space="preserve">ābhā</t>
  </si>
  <si>
    <t xml:space="preserve">prabhā</t>
  </si>
  <si>
    <t xml:space="preserve">avabhā</t>
  </si>
  <si>
    <t xml:space="preserve">nirbhā</t>
  </si>
  <si>
    <t xml:space="preserve">sambhā</t>
  </si>
  <si>
    <t xml:space="preserve">pravibhā</t>
  </si>
  <si>
    <t xml:space="preserve">atibhā</t>
  </si>
  <si>
    <t xml:space="preserve">samābhā</t>
  </si>
  <si>
    <t xml:space="preserve">udbhā</t>
  </si>
  <si>
    <t xml:space="preserve">abhibhā</t>
  </si>
  <si>
    <t xml:space="preserve">anubhā</t>
  </si>
  <si>
    <t xml:space="preserve">sampratibhā</t>
  </si>
  <si>
    <t xml:space="preserve">vinirbhā</t>
  </si>
  <si>
    <t xml:space="preserve">antarbhā</t>
  </si>
  <si>
    <t xml:space="preserve">paribhā</t>
  </si>
  <si>
    <t xml:space="preserve">samprabhā</t>
  </si>
  <si>
    <t xml:space="preserve">samudbhā</t>
  </si>
  <si>
    <t xml:space="preserve">saṁvibhā</t>
  </si>
  <si>
    <t xml:space="preserve">abhivibhā</t>
  </si>
  <si>
    <t xml:space="preserve">anuprabhā</t>
  </si>
  <si>
    <t xml:space="preserve">āvibhā</t>
  </si>
  <si>
    <t xml:space="preserve">vipratibhā</t>
  </si>
  <si>
    <t xml:space="preserve">vyatibhā</t>
  </si>
  <si>
    <t xml:space="preserve">dviṣ</t>
  </si>
  <si>
    <t xml:space="preserve">vidviṣ</t>
  </si>
  <si>
    <t xml:space="preserve">pradviṣ</t>
  </si>
  <si>
    <t xml:space="preserve">anudviṣ</t>
  </si>
  <si>
    <t xml:space="preserve">paridviṣ</t>
  </si>
  <si>
    <t xml:space="preserve">saṁdviṣ</t>
  </si>
  <si>
    <t xml:space="preserve">yam</t>
  </si>
  <si>
    <t xml:space="preserve">prayam</t>
  </si>
  <si>
    <t xml:space="preserve">niyam</t>
  </si>
  <si>
    <t xml:space="preserve">udyam</t>
  </si>
  <si>
    <t xml:space="preserve">āyam</t>
  </si>
  <si>
    <t xml:space="preserve">saṁyam</t>
  </si>
  <si>
    <t xml:space="preserve">samudyam</t>
  </si>
  <si>
    <t xml:space="preserve">upayam</t>
  </si>
  <si>
    <t xml:space="preserve">vyāyam</t>
  </si>
  <si>
    <t xml:space="preserve">samprayam</t>
  </si>
  <si>
    <t xml:space="preserve">anuprayam</t>
  </si>
  <si>
    <t xml:space="preserve">abhyudyam</t>
  </si>
  <si>
    <t xml:space="preserve">saṁniyam</t>
  </si>
  <si>
    <t xml:space="preserve">viniyam</t>
  </si>
  <si>
    <t xml:space="preserve">pratiniyam</t>
  </si>
  <si>
    <t xml:space="preserve">abhyāyam</t>
  </si>
  <si>
    <t xml:space="preserve">pratyudyam</t>
  </si>
  <si>
    <t xml:space="preserve">atyāyam</t>
  </si>
  <si>
    <t xml:space="preserve">samāyam</t>
  </si>
  <si>
    <t xml:space="preserve">anuyam</t>
  </si>
  <si>
    <t xml:space="preserve">viyam</t>
  </si>
  <si>
    <t xml:space="preserve">abhisaṁyam</t>
  </si>
  <si>
    <t xml:space="preserve">āprayam</t>
  </si>
  <si>
    <t xml:space="preserve">pratiprayam</t>
  </si>
  <si>
    <t xml:space="preserve">prodyam</t>
  </si>
  <si>
    <t xml:space="preserve">upavyāyam</t>
  </si>
  <si>
    <t xml:space="preserve">abhiyam</t>
  </si>
  <si>
    <t xml:space="preserve">anūdyam</t>
  </si>
  <si>
    <t xml:space="preserve">nirāyam</t>
  </si>
  <si>
    <t xml:space="preserve">pariniyam</t>
  </si>
  <si>
    <t xml:space="preserve">pratiyam</t>
  </si>
  <si>
    <t xml:space="preserve">samabhyudyam</t>
  </si>
  <si>
    <t xml:space="preserve">udāyam</t>
  </si>
  <si>
    <t xml:space="preserve">upasaṁyam</t>
  </si>
  <si>
    <t xml:space="preserve">abhisamāyam</t>
  </si>
  <si>
    <t xml:space="preserve">antaryam</t>
  </si>
  <si>
    <t xml:space="preserve">atiprayam</t>
  </si>
  <si>
    <t xml:space="preserve">adhiyam</t>
  </si>
  <si>
    <t xml:space="preserve">pariyam</t>
  </si>
  <si>
    <t xml:space="preserve">upaprayam</t>
  </si>
  <si>
    <t xml:space="preserve">upodyam</t>
  </si>
  <si>
    <t xml:space="preserve">jāray</t>
  </si>
  <si>
    <t xml:space="preserve">parijāray</t>
  </si>
  <si>
    <t xml:space="preserve">avajāray</t>
  </si>
  <si>
    <t xml:space="preserve">prajāray</t>
  </si>
  <si>
    <t xml:space="preserve">vijāray</t>
  </si>
  <si>
    <t xml:space="preserve">mṛd</t>
  </si>
  <si>
    <t xml:space="preserve">vimṛd</t>
  </si>
  <si>
    <t xml:space="preserve">pramṛd</t>
  </si>
  <si>
    <t xml:space="preserve">avamṛd</t>
  </si>
  <si>
    <t xml:space="preserve">sammṛd</t>
  </si>
  <si>
    <t xml:space="preserve">parimṛd</t>
  </si>
  <si>
    <t xml:space="preserve">saṁpramṛd</t>
  </si>
  <si>
    <t xml:space="preserve">āmṛd</t>
  </si>
  <si>
    <t xml:space="preserve">unmṛd</t>
  </si>
  <si>
    <t xml:space="preserve">abhimṛd</t>
  </si>
  <si>
    <t xml:space="preserve">apamṛd</t>
  </si>
  <si>
    <t xml:space="preserve">upamṛd</t>
  </si>
  <si>
    <t xml:space="preserve">nimṛd</t>
  </si>
  <si>
    <t xml:space="preserve">khyā</t>
  </si>
  <si>
    <t xml:space="preserve">vyākhyā</t>
  </si>
  <si>
    <t xml:space="preserve">ākhyā</t>
  </si>
  <si>
    <t xml:space="preserve">vikhyā</t>
  </si>
  <si>
    <t xml:space="preserve">samākhyā</t>
  </si>
  <si>
    <t xml:space="preserve">saṁkhyā</t>
  </si>
  <si>
    <t xml:space="preserve">pratyākhyā</t>
  </si>
  <si>
    <t xml:space="preserve">prakhyā</t>
  </si>
  <si>
    <t xml:space="preserve">anuvyākhyā</t>
  </si>
  <si>
    <t xml:space="preserve">parisaṁkhyā</t>
  </si>
  <si>
    <t xml:space="preserve">abhivikhyā</t>
  </si>
  <si>
    <t xml:space="preserve">prasaṁkhyā</t>
  </si>
  <si>
    <t xml:space="preserve">abhikhyā</t>
  </si>
  <si>
    <t xml:space="preserve">abhyākhyā</t>
  </si>
  <si>
    <t xml:space="preserve">parikhyā</t>
  </si>
  <si>
    <t xml:space="preserve">avakhyā</t>
  </si>
  <si>
    <t xml:space="preserve">pratikhyā</t>
  </si>
  <si>
    <t xml:space="preserve">abhivyākhyā</t>
  </si>
  <si>
    <t xml:space="preserve">pratisaṁkhyā</t>
  </si>
  <si>
    <t xml:space="preserve">upākhyā</t>
  </si>
  <si>
    <t xml:space="preserve">abhisaṁkhyā</t>
  </si>
  <si>
    <t xml:space="preserve">anvākhyā</t>
  </si>
  <si>
    <t xml:space="preserve">atikhyā</t>
  </si>
  <si>
    <t xml:space="preserve">atyākhyā</t>
  </si>
  <si>
    <t xml:space="preserve">antaḥkhyā</t>
  </si>
  <si>
    <t xml:space="preserve">anukhyā</t>
  </si>
  <si>
    <t xml:space="preserve">parākhyā</t>
  </si>
  <si>
    <t xml:space="preserve">samparikhyā</t>
  </si>
  <si>
    <t xml:space="preserve">udākhyā</t>
  </si>
  <si>
    <t xml:space="preserve">upakhyā</t>
  </si>
  <si>
    <t xml:space="preserve">bhañj</t>
  </si>
  <si>
    <t xml:space="preserve">prabhañj</t>
  </si>
  <si>
    <t xml:space="preserve">sambhañj</t>
  </si>
  <si>
    <t xml:space="preserve">avabhañj</t>
  </si>
  <si>
    <t xml:space="preserve">vibhañj</t>
  </si>
  <si>
    <t xml:space="preserve">abhibhañj</t>
  </si>
  <si>
    <t xml:space="preserve">abhisaṁbhañj</t>
  </si>
  <si>
    <t xml:space="preserve">paribhañj</t>
  </si>
  <si>
    <t xml:space="preserve">pratibhañj</t>
  </si>
  <si>
    <t xml:space="preserve">pravibhañj</t>
  </si>
  <si>
    <t xml:space="preserve">saṁprabhañj</t>
  </si>
  <si>
    <t xml:space="preserve">vinirbhañj</t>
  </si>
  <si>
    <t xml:space="preserve">nibhañj</t>
  </si>
  <si>
    <t xml:space="preserve">nirbhañj</t>
  </si>
  <si>
    <t xml:space="preserve">kīrtay</t>
  </si>
  <si>
    <t xml:space="preserve">prakīrtay</t>
  </si>
  <si>
    <t xml:space="preserve">parikīrtay</t>
  </si>
  <si>
    <t xml:space="preserve">saṁkīrtay</t>
  </si>
  <si>
    <t xml:space="preserve">anukīrtay</t>
  </si>
  <si>
    <t xml:space="preserve">saṁprakīrtay</t>
  </si>
  <si>
    <t xml:space="preserve">samparikīrtay</t>
  </si>
  <si>
    <t xml:space="preserve">samanukīrtay</t>
  </si>
  <si>
    <t xml:space="preserve">apakīrtay</t>
  </si>
  <si>
    <t xml:space="preserve">samabhikīrtay</t>
  </si>
  <si>
    <t xml:space="preserve">utkīrtay</t>
  </si>
  <si>
    <t xml:space="preserve">śuc</t>
  </si>
  <si>
    <t xml:space="preserve">anuśuc</t>
  </si>
  <si>
    <t xml:space="preserve">pariśuc</t>
  </si>
  <si>
    <t xml:space="preserve">praśuc</t>
  </si>
  <si>
    <t xml:space="preserve">abhiśuc</t>
  </si>
  <si>
    <t xml:space="preserve">saṁśuc</t>
  </si>
  <si>
    <t xml:space="preserve">samanuśuc</t>
  </si>
  <si>
    <t xml:space="preserve">niśuc</t>
  </si>
  <si>
    <t xml:space="preserve">ucchuc</t>
  </si>
  <si>
    <t xml:space="preserve">upaśuc</t>
  </si>
  <si>
    <t xml:space="preserve">āśuc</t>
  </si>
  <si>
    <t xml:space="preserve">anupraśuc</t>
  </si>
  <si>
    <t xml:space="preserve">niḥśuc</t>
  </si>
  <si>
    <t xml:space="preserve">pratiśuc</t>
  </si>
  <si>
    <t xml:space="preserve">vṛ</t>
  </si>
  <si>
    <t xml:space="preserve">saṁvṛ</t>
  </si>
  <si>
    <t xml:space="preserve">samāvṛ</t>
  </si>
  <si>
    <t xml:space="preserve">vivṛ</t>
  </si>
  <si>
    <t xml:space="preserve">abhisaṁvṛ</t>
  </si>
  <si>
    <t xml:space="preserve">parinirvṛ</t>
  </si>
  <si>
    <t xml:space="preserve">apāvṛ</t>
  </si>
  <si>
    <t xml:space="preserve">pravṛ</t>
  </si>
  <si>
    <t xml:space="preserve">apavṛ</t>
  </si>
  <si>
    <t xml:space="preserve">parīvṛ</t>
  </si>
  <si>
    <t xml:space="preserve">āvṛ</t>
  </si>
  <si>
    <t xml:space="preserve">abhivṛ</t>
  </si>
  <si>
    <t xml:space="preserve">nivṛ</t>
  </si>
  <si>
    <t xml:space="preserve">vyāvṛ</t>
  </si>
  <si>
    <t xml:space="preserve">apivṛ</t>
  </si>
  <si>
    <t xml:space="preserve">nirvṛ</t>
  </si>
  <si>
    <t xml:space="preserve">pratyāvṛ</t>
  </si>
  <si>
    <t xml:space="preserve">samparivṛ</t>
  </si>
  <si>
    <t xml:space="preserve">udvṛ</t>
  </si>
  <si>
    <t xml:space="preserve">anuvṛ</t>
  </si>
  <si>
    <t xml:space="preserve">anusaṁvṛ</t>
  </si>
  <si>
    <t xml:space="preserve">parivṛ</t>
  </si>
  <si>
    <t xml:space="preserve">paryāvṛ</t>
  </si>
  <si>
    <t xml:space="preserve">prāvṛ</t>
  </si>
  <si>
    <t xml:space="preserve">samupāvṛ</t>
  </si>
  <si>
    <t xml:space="preserve">vinirvṛ</t>
  </si>
  <si>
    <t xml:space="preserve">samapāvṛ</t>
  </si>
  <si>
    <t xml:space="preserve">upāvṛ</t>
  </si>
  <si>
    <t xml:space="preserve">upanivṛ</t>
  </si>
  <si>
    <t xml:space="preserve">prativṛ</t>
  </si>
  <si>
    <t xml:space="preserve">lip</t>
  </si>
  <si>
    <t xml:space="preserve">upalip</t>
  </si>
  <si>
    <t xml:space="preserve">pralip</t>
  </si>
  <si>
    <t xml:space="preserve">ālip</t>
  </si>
  <si>
    <t xml:space="preserve">vilip</t>
  </si>
  <si>
    <t xml:space="preserve">anulip</t>
  </si>
  <si>
    <t xml:space="preserve">avalip</t>
  </si>
  <si>
    <t xml:space="preserve">saṁlip</t>
  </si>
  <si>
    <t xml:space="preserve">parilip</t>
  </si>
  <si>
    <t xml:space="preserve">samālip</t>
  </si>
  <si>
    <t xml:space="preserve">nirlip</t>
  </si>
  <si>
    <t xml:space="preserve">nilip</t>
  </si>
  <si>
    <t xml:space="preserve">paryupalip</t>
  </si>
  <si>
    <t xml:space="preserve">pravilip</t>
  </si>
  <si>
    <t xml:space="preserve">ullip</t>
  </si>
  <si>
    <t xml:space="preserve">abhilip</t>
  </si>
  <si>
    <t xml:space="preserve">samullip</t>
  </si>
  <si>
    <t xml:space="preserve">jval</t>
  </si>
  <si>
    <t xml:space="preserve">prajval</t>
  </si>
  <si>
    <t xml:space="preserve">ujjval</t>
  </si>
  <si>
    <t xml:space="preserve">samprajval</t>
  </si>
  <si>
    <t xml:space="preserve">saṁjval</t>
  </si>
  <si>
    <t xml:space="preserve">samujjval</t>
  </si>
  <si>
    <t xml:space="preserve">abhijval</t>
  </si>
  <si>
    <t xml:space="preserve">vijval</t>
  </si>
  <si>
    <t xml:space="preserve">abhiprajval</t>
  </si>
  <si>
    <t xml:space="preserve">parijval</t>
  </si>
  <si>
    <t xml:space="preserve">pratijval</t>
  </si>
  <si>
    <t xml:space="preserve">abhivijval</t>
  </si>
  <si>
    <t xml:space="preserve">nirjval</t>
  </si>
  <si>
    <t xml:space="preserve">projjval</t>
  </si>
  <si>
    <t xml:space="preserve">abhyavajval</t>
  </si>
  <si>
    <t xml:space="preserve">abhyujjval</t>
  </si>
  <si>
    <t xml:space="preserve">atiprajval</t>
  </si>
  <si>
    <t xml:space="preserve">duṣ</t>
  </si>
  <si>
    <t xml:space="preserve">praduṣ</t>
  </si>
  <si>
    <t xml:space="preserve">saṁduṣ</t>
  </si>
  <si>
    <t xml:space="preserve">sampraduṣ</t>
  </si>
  <si>
    <t xml:space="preserve">vipraduṣ</t>
  </si>
  <si>
    <t xml:space="preserve">anuduṣ</t>
  </si>
  <si>
    <t xml:space="preserve">pratiduṣ</t>
  </si>
  <si>
    <t xml:space="preserve">viduṣ</t>
  </si>
  <si>
    <t xml:space="preserve">upaduṣ</t>
  </si>
  <si>
    <t xml:space="preserve">arcay</t>
  </si>
  <si>
    <t xml:space="preserve">abhyarcay</t>
  </si>
  <si>
    <t xml:space="preserve">samabhyarcay</t>
  </si>
  <si>
    <t xml:space="preserve">samarcay</t>
  </si>
  <si>
    <t xml:space="preserve">pratyarcay</t>
  </si>
  <si>
    <t xml:space="preserve">pratyabhyarcay</t>
  </si>
  <si>
    <t xml:space="preserve">tuṣ</t>
  </si>
  <si>
    <t xml:space="preserve">saṁtuṣ</t>
  </si>
  <si>
    <t xml:space="preserve">parituṣ</t>
  </si>
  <si>
    <t xml:space="preserve">abhituṣ</t>
  </si>
  <si>
    <t xml:space="preserve">anutuṣ</t>
  </si>
  <si>
    <t xml:space="preserve">parisaṁtuṣ</t>
  </si>
  <si>
    <t xml:space="preserve">pratuṣ</t>
  </si>
  <si>
    <t xml:space="preserve">sampratuṣ</t>
  </si>
  <si>
    <t xml:space="preserve">upatuṣ</t>
  </si>
  <si>
    <t xml:space="preserve">samparituṣ</t>
  </si>
  <si>
    <t xml:space="preserve">kalpay</t>
  </si>
  <si>
    <t xml:space="preserve">prakalpay</t>
  </si>
  <si>
    <t xml:space="preserve">parikalpay</t>
  </si>
  <si>
    <t xml:space="preserve">saṁkalpay</t>
  </si>
  <si>
    <t xml:space="preserve">vikalpay</t>
  </si>
  <si>
    <t xml:space="preserve">upakalpay</t>
  </si>
  <si>
    <t xml:space="preserve">avakalpay</t>
  </si>
  <si>
    <t xml:space="preserve">anukalpay</t>
  </si>
  <si>
    <t xml:space="preserve">samprakalpay</t>
  </si>
  <si>
    <t xml:space="preserve">samupakalpay</t>
  </si>
  <si>
    <t xml:space="preserve">abhikalpay</t>
  </si>
  <si>
    <t xml:space="preserve">prativikalpay</t>
  </si>
  <si>
    <t xml:space="preserve">ākalpay</t>
  </si>
  <si>
    <t xml:space="preserve">adhikalpay</t>
  </si>
  <si>
    <t xml:space="preserve">samanukalpay</t>
  </si>
  <si>
    <t xml:space="preserve">upasaṁkalpay</t>
  </si>
  <si>
    <t xml:space="preserve">utkalpay</t>
  </si>
  <si>
    <t xml:space="preserve">rudh</t>
  </si>
  <si>
    <t xml:space="preserve">virudh</t>
  </si>
  <si>
    <t xml:space="preserve">nirudh</t>
  </si>
  <si>
    <t xml:space="preserve">avarudh</t>
  </si>
  <si>
    <t xml:space="preserve">saṁrudh</t>
  </si>
  <si>
    <t xml:space="preserve">uparudh</t>
  </si>
  <si>
    <t xml:space="preserve">anurudh</t>
  </si>
  <si>
    <t xml:space="preserve">saṁnirudh</t>
  </si>
  <si>
    <t xml:space="preserve">aparudh</t>
  </si>
  <si>
    <t xml:space="preserve">pratirudh</t>
  </si>
  <si>
    <t xml:space="preserve">ārudh</t>
  </si>
  <si>
    <t xml:space="preserve">prativirudh</t>
  </si>
  <si>
    <t xml:space="preserve">parirudh</t>
  </si>
  <si>
    <t xml:space="preserve">prarudh</t>
  </si>
  <si>
    <t xml:space="preserve">pratisaṁrudh</t>
  </si>
  <si>
    <t xml:space="preserve">pratyavarudh</t>
  </si>
  <si>
    <t xml:space="preserve">abhirudh</t>
  </si>
  <si>
    <t xml:space="preserve">abhisaṁrudh</t>
  </si>
  <si>
    <t xml:space="preserve">atisaṁrudh</t>
  </si>
  <si>
    <t xml:space="preserve">samanurudh</t>
  </si>
  <si>
    <t xml:space="preserve">samuparudh</t>
  </si>
  <si>
    <t xml:space="preserve">udrudh</t>
  </si>
  <si>
    <t xml:space="preserve">vinirudh</t>
  </si>
  <si>
    <t xml:space="preserve">samārudh</t>
  </si>
  <si>
    <t xml:space="preserve">samavarudh</t>
  </si>
  <si>
    <t xml:space="preserve">samprarudh</t>
  </si>
  <si>
    <t xml:space="preserve">upanirudh</t>
  </si>
  <si>
    <t xml:space="preserve">upasaṁrudh</t>
  </si>
  <si>
    <t xml:space="preserve">vyaparudh</t>
  </si>
  <si>
    <t xml:space="preserve">pīḍay</t>
  </si>
  <si>
    <t xml:space="preserve">prapīḍay</t>
  </si>
  <si>
    <t xml:space="preserve">nipīḍay</t>
  </si>
  <si>
    <t xml:space="preserve">sampīḍay</t>
  </si>
  <si>
    <t xml:space="preserve">niṣpīḍay</t>
  </si>
  <si>
    <t xml:space="preserve">abhipīḍay</t>
  </si>
  <si>
    <t xml:space="preserve">paripīḍay</t>
  </si>
  <si>
    <t xml:space="preserve">avapīḍay</t>
  </si>
  <si>
    <t xml:space="preserve">utpīḍay</t>
  </si>
  <si>
    <t xml:space="preserve">atipīḍay</t>
  </si>
  <si>
    <t xml:space="preserve">upapīḍay</t>
  </si>
  <si>
    <t xml:space="preserve">āpīḍay</t>
  </si>
  <si>
    <t xml:space="preserve">pratipīḍay</t>
  </si>
  <si>
    <t xml:space="preserve">upanipīḍay</t>
  </si>
  <si>
    <t xml:space="preserve">abhinipīḍay</t>
  </si>
  <si>
    <t xml:space="preserve">abhiprapīḍay</t>
  </si>
  <si>
    <t xml:space="preserve">samprapīḍay</t>
  </si>
  <si>
    <t xml:space="preserve">viniṣpīḍay</t>
  </si>
  <si>
    <t xml:space="preserve">anupīḍay</t>
  </si>
  <si>
    <t xml:space="preserve">parinipīḍay</t>
  </si>
  <si>
    <t xml:space="preserve">samāpīḍay</t>
  </si>
  <si>
    <t xml:space="preserve">samabhipīḍay</t>
  </si>
  <si>
    <t xml:space="preserve">samavapīḍay</t>
  </si>
  <si>
    <t xml:space="preserve">samutpīḍay</t>
  </si>
  <si>
    <t xml:space="preserve">vinipīḍay</t>
  </si>
  <si>
    <t xml:space="preserve">pātay</t>
  </si>
  <si>
    <t xml:space="preserve">nipātay</t>
  </si>
  <si>
    <t xml:space="preserve">vinipātay</t>
  </si>
  <si>
    <t xml:space="preserve">saṁnipātay</t>
  </si>
  <si>
    <t xml:space="preserve">atipātay</t>
  </si>
  <si>
    <t xml:space="preserve">abhipātay</t>
  </si>
  <si>
    <t xml:space="preserve">avapātay</t>
  </si>
  <si>
    <t xml:space="preserve">saṁpātay</t>
  </si>
  <si>
    <t xml:space="preserve">vipātay</t>
  </si>
  <si>
    <t xml:space="preserve">āpātay</t>
  </si>
  <si>
    <t xml:space="preserve">utpātay</t>
  </si>
  <si>
    <t xml:space="preserve">anupātay</t>
  </si>
  <si>
    <t xml:space="preserve">niṣpātay</t>
  </si>
  <si>
    <t xml:space="preserve">prapātay</t>
  </si>
  <si>
    <t xml:space="preserve">paripātay</t>
  </si>
  <si>
    <t xml:space="preserve">pratipātay</t>
  </si>
  <si>
    <t xml:space="preserve">pratyavapātay</t>
  </si>
  <si>
    <t xml:space="preserve">samutpātay</t>
  </si>
  <si>
    <t xml:space="preserve">upapātay</t>
  </si>
  <si>
    <t xml:space="preserve">vyāpātay</t>
  </si>
  <si>
    <t xml:space="preserve">abhinipātay</t>
  </si>
  <si>
    <t xml:space="preserve">parāpātay</t>
  </si>
  <si>
    <t xml:space="preserve">praṇipātay</t>
  </si>
  <si>
    <t xml:space="preserve">upanipātay</t>
  </si>
  <si>
    <t xml:space="preserve">mad</t>
  </si>
  <si>
    <t xml:space="preserve">unmad</t>
  </si>
  <si>
    <t xml:space="preserve">pramad</t>
  </si>
  <si>
    <t xml:space="preserve">sammad</t>
  </si>
  <si>
    <t xml:space="preserve">anumad</t>
  </si>
  <si>
    <t xml:space="preserve">vimad</t>
  </si>
  <si>
    <t xml:space="preserve">abhimad</t>
  </si>
  <si>
    <t xml:space="preserve">atimad</t>
  </si>
  <si>
    <t xml:space="preserve">saṁpramad</t>
  </si>
  <si>
    <t xml:space="preserve">āmad</t>
  </si>
  <si>
    <t xml:space="preserve">abhisaṁmad</t>
  </si>
  <si>
    <t xml:space="preserve">anupramad</t>
  </si>
  <si>
    <t xml:space="preserve">parimad</t>
  </si>
  <si>
    <t xml:space="preserve">abhipramad</t>
  </si>
  <si>
    <t xml:space="preserve">pronmad</t>
  </si>
  <si>
    <t xml:space="preserve">upamad</t>
  </si>
  <si>
    <t xml:space="preserve">upanimad</t>
  </si>
  <si>
    <t xml:space="preserve">viś</t>
  </si>
  <si>
    <t xml:space="preserve">praviś</t>
  </si>
  <si>
    <t xml:space="preserve">āviś</t>
  </si>
  <si>
    <t xml:space="preserve">upaviś</t>
  </si>
  <si>
    <t xml:space="preserve">samāviś</t>
  </si>
  <si>
    <t xml:space="preserve">niviś</t>
  </si>
  <si>
    <t xml:space="preserve">anupraviś</t>
  </si>
  <si>
    <t xml:space="preserve">saṁviś</t>
  </si>
  <si>
    <t xml:space="preserve">saṁniviś</t>
  </si>
  <si>
    <t xml:space="preserve">abhiniviś</t>
  </si>
  <si>
    <t xml:space="preserve">samupaviś</t>
  </si>
  <si>
    <t xml:space="preserve">upopaviś</t>
  </si>
  <si>
    <t xml:space="preserve">sampraviś</t>
  </si>
  <si>
    <t xml:space="preserve">nirviś</t>
  </si>
  <si>
    <t xml:space="preserve">abhisaṁviś</t>
  </si>
  <si>
    <t xml:space="preserve">upaniviś</t>
  </si>
  <si>
    <t xml:space="preserve">upāviś</t>
  </si>
  <si>
    <t xml:space="preserve">anuviś</t>
  </si>
  <si>
    <t xml:space="preserve">viniviś</t>
  </si>
  <si>
    <t xml:space="preserve">abhyāviś</t>
  </si>
  <si>
    <t xml:space="preserve">anvāviś</t>
  </si>
  <si>
    <t xml:space="preserve">pratyupaviś</t>
  </si>
  <si>
    <t xml:space="preserve">abhiviś</t>
  </si>
  <si>
    <t xml:space="preserve">paryupaviś</t>
  </si>
  <si>
    <t xml:space="preserve">anuniviś</t>
  </si>
  <si>
    <t xml:space="preserve">pariviś</t>
  </si>
  <si>
    <t xml:space="preserve">pratipraviś</t>
  </si>
  <si>
    <t xml:space="preserve">abhipraviś</t>
  </si>
  <si>
    <t xml:space="preserve">abhyupaviś</t>
  </si>
  <si>
    <t xml:space="preserve">adhisaṁviś</t>
  </si>
  <si>
    <t xml:space="preserve">pariṇiviś</t>
  </si>
  <si>
    <t xml:space="preserve">pratiniviś</t>
  </si>
  <si>
    <t xml:space="preserve">pratisaṁviś</t>
  </si>
  <si>
    <t xml:space="preserve">pratyāviś</t>
  </si>
  <si>
    <t xml:space="preserve">samanuviś</t>
  </si>
  <si>
    <t xml:space="preserve">samanupraviś</t>
  </si>
  <si>
    <t xml:space="preserve">viviś</t>
  </si>
  <si>
    <t xml:space="preserve">anūpaviś</t>
  </si>
  <si>
    <t xml:space="preserve">anusaṁviś</t>
  </si>
  <si>
    <t xml:space="preserve">anuviviś</t>
  </si>
  <si>
    <t xml:space="preserve">adhiviś</t>
  </si>
  <si>
    <t xml:space="preserve">nirāviś</t>
  </si>
  <si>
    <t xml:space="preserve">nyāviś</t>
  </si>
  <si>
    <t xml:space="preserve">prāviś</t>
  </si>
  <si>
    <t xml:space="preserve">samupāvis</t>
  </si>
  <si>
    <t xml:space="preserve">vyāviś</t>
  </si>
  <si>
    <t xml:space="preserve">vyupaviś</t>
  </si>
  <si>
    <t xml:space="preserve">kṣi</t>
  </si>
  <si>
    <t xml:space="preserve">parikṣi</t>
  </si>
  <si>
    <t xml:space="preserve">prakṣi</t>
  </si>
  <si>
    <t xml:space="preserve">saṁkṣi</t>
  </si>
  <si>
    <t xml:space="preserve">upakṣi</t>
  </si>
  <si>
    <t xml:space="preserve">apakṣi</t>
  </si>
  <si>
    <t xml:space="preserve">adhikṣi</t>
  </si>
  <si>
    <t xml:space="preserve">vikṣi</t>
  </si>
  <si>
    <t xml:space="preserve">ākṣi</t>
  </si>
  <si>
    <t xml:space="preserve">anukṣi</t>
  </si>
  <si>
    <t xml:space="preserve">pratikṣi</t>
  </si>
  <si>
    <t xml:space="preserve">avakṣi</t>
  </si>
  <si>
    <t xml:space="preserve">niḥkṣi</t>
  </si>
  <si>
    <t xml:space="preserve">svap</t>
  </si>
  <si>
    <t xml:space="preserve">prasvap</t>
  </si>
  <si>
    <t xml:space="preserve">saṁsvap</t>
  </si>
  <si>
    <t xml:space="preserve">saṁprasvap</t>
  </si>
  <si>
    <t xml:space="preserve">avasvap</t>
  </si>
  <si>
    <t xml:space="preserve">abhiprasvap</t>
  </si>
  <si>
    <t xml:space="preserve">samāsup</t>
  </si>
  <si>
    <t xml:space="preserve">nisvap</t>
  </si>
  <si>
    <t xml:space="preserve">niḥṣvap</t>
  </si>
  <si>
    <t xml:space="preserve">vadh</t>
  </si>
  <si>
    <t xml:space="preserve">nivadh</t>
  </si>
  <si>
    <t xml:space="preserve">apavadh</t>
  </si>
  <si>
    <t xml:space="preserve">prativadh</t>
  </si>
  <si>
    <t xml:space="preserve">āvadh</t>
  </si>
  <si>
    <t xml:space="preserve">abhivadh</t>
  </si>
  <si>
    <t xml:space="preserve">nirvadh</t>
  </si>
  <si>
    <t xml:space="preserve">parāvadh</t>
  </si>
  <si>
    <t xml:space="preserve">pravadh</t>
  </si>
  <si>
    <t xml:space="preserve">abhyāvadh</t>
  </si>
  <si>
    <t xml:space="preserve">upavadh</t>
  </si>
  <si>
    <t xml:space="preserve">udvadh</t>
  </si>
  <si>
    <t xml:space="preserve">vivadh</t>
  </si>
  <si>
    <t xml:space="preserve">yojay</t>
  </si>
  <si>
    <t xml:space="preserve">prayojay</t>
  </si>
  <si>
    <t xml:space="preserve">niyojay</t>
  </si>
  <si>
    <t xml:space="preserve">saṁyojay</t>
  </si>
  <si>
    <t xml:space="preserve">viniyojay</t>
  </si>
  <si>
    <t xml:space="preserve">upayojay</t>
  </si>
  <si>
    <t xml:space="preserve">viyojay</t>
  </si>
  <si>
    <t xml:space="preserve">saṁprayojay</t>
  </si>
  <si>
    <t xml:space="preserve">udyojay</t>
  </si>
  <si>
    <t xml:space="preserve">āyojay</t>
  </si>
  <si>
    <t xml:space="preserve">abhiyojay</t>
  </si>
  <si>
    <t xml:space="preserve">saṁniyojay</t>
  </si>
  <si>
    <t xml:space="preserve">pariyojay</t>
  </si>
  <si>
    <t xml:space="preserve">pratiyojay</t>
  </si>
  <si>
    <t xml:space="preserve">viprayojay</t>
  </si>
  <si>
    <t xml:space="preserve">abhiniyojay</t>
  </si>
  <si>
    <t xml:space="preserve">anuyojay</t>
  </si>
  <si>
    <t xml:space="preserve">atiyojay</t>
  </si>
  <si>
    <t xml:space="preserve">pratyabhiyojay</t>
  </si>
  <si>
    <t xml:space="preserve">samāyojay</t>
  </si>
  <si>
    <t xml:space="preserve">samudyojay</t>
  </si>
  <si>
    <t xml:space="preserve">upasaṁyojay</t>
  </si>
  <si>
    <t xml:space="preserve">abhisaṁyojay</t>
  </si>
  <si>
    <t xml:space="preserve">spṛś</t>
  </si>
  <si>
    <t xml:space="preserve">upaspṛś</t>
  </si>
  <si>
    <t xml:space="preserve">saṁspṛś</t>
  </si>
  <si>
    <t xml:space="preserve">samupaspṛs</t>
  </si>
  <si>
    <t xml:space="preserve">abhispṛś</t>
  </si>
  <si>
    <t xml:space="preserve">parispṛś</t>
  </si>
  <si>
    <t xml:space="preserve">āspṛś</t>
  </si>
  <si>
    <t xml:space="preserve">abhisaṁspṛś</t>
  </si>
  <si>
    <t xml:space="preserve">anuspṛś</t>
  </si>
  <si>
    <t xml:space="preserve">nispṛś</t>
  </si>
  <si>
    <t xml:space="preserve">parisaṁspṛś</t>
  </si>
  <si>
    <t xml:space="preserve">pratyupaspṛś</t>
  </si>
  <si>
    <t xml:space="preserve">samabhispṛś</t>
  </si>
  <si>
    <t xml:space="preserve">upāspṛś</t>
  </si>
  <si>
    <t xml:space="preserve">vispṛś</t>
  </si>
  <si>
    <t xml:space="preserve">adhispṛś</t>
  </si>
  <si>
    <t xml:space="preserve">paryupaspṛś</t>
  </si>
  <si>
    <t xml:space="preserve">sampraspṛś</t>
  </si>
  <si>
    <t xml:space="preserve">utspṛś</t>
  </si>
  <si>
    <t xml:space="preserve">śam</t>
  </si>
  <si>
    <t xml:space="preserve">praśam</t>
  </si>
  <si>
    <t xml:space="preserve">upaśam</t>
  </si>
  <si>
    <t xml:space="preserve">saṁśam</t>
  </si>
  <si>
    <t xml:space="preserve">niśam</t>
  </si>
  <si>
    <t xml:space="preserve">vyupaśam</t>
  </si>
  <si>
    <t xml:space="preserve">anuniśam</t>
  </si>
  <si>
    <t xml:space="preserve">saṁpraśam</t>
  </si>
  <si>
    <t xml:space="preserve">pratiśam</t>
  </si>
  <si>
    <t xml:space="preserve">samupaśam</t>
  </si>
  <si>
    <t xml:space="preserve">abhyupaśam</t>
  </si>
  <si>
    <t xml:space="preserve">avaśam</t>
  </si>
  <si>
    <t xml:space="preserve">abhiśam</t>
  </si>
  <si>
    <t xml:space="preserve">abhiniśam</t>
  </si>
  <si>
    <t xml:space="preserve">anuśam</t>
  </si>
  <si>
    <t xml:space="preserve">upaniśam</t>
  </si>
  <si>
    <t xml:space="preserve">viniśam</t>
  </si>
  <si>
    <t xml:space="preserve">dhṛ</t>
  </si>
  <si>
    <t xml:space="preserve">vidhṛ</t>
  </si>
  <si>
    <t xml:space="preserve">avadhṛ</t>
  </si>
  <si>
    <t xml:space="preserve">ādhṛ</t>
  </si>
  <si>
    <t xml:space="preserve">saṁdhṛ</t>
  </si>
  <si>
    <t xml:space="preserve">paridhṛ</t>
  </si>
  <si>
    <t xml:space="preserve">abhidhṛ</t>
  </si>
  <si>
    <t xml:space="preserve">nidhṛ</t>
  </si>
  <si>
    <t xml:space="preserve">pradhṛ</t>
  </si>
  <si>
    <t xml:space="preserve">anūpadhṛ</t>
  </si>
  <si>
    <t xml:space="preserve">anūddhṛ</t>
  </si>
  <si>
    <t xml:space="preserve">nirdhṛ</t>
  </si>
  <si>
    <t xml:space="preserve">nyādhṛ</t>
  </si>
  <si>
    <t xml:space="preserve">budh</t>
  </si>
  <si>
    <t xml:space="preserve">nibudh</t>
  </si>
  <si>
    <t xml:space="preserve">prabudh</t>
  </si>
  <si>
    <t xml:space="preserve">pratibudh</t>
  </si>
  <si>
    <t xml:space="preserve">avabudh</t>
  </si>
  <si>
    <t xml:space="preserve">abhisaṁbudh</t>
  </si>
  <si>
    <t xml:space="preserve">sambudh</t>
  </si>
  <si>
    <t xml:space="preserve">vibudh</t>
  </si>
  <si>
    <t xml:space="preserve">anubudh</t>
  </si>
  <si>
    <t xml:space="preserve">prativibudh</t>
  </si>
  <si>
    <t xml:space="preserve">udbudh</t>
  </si>
  <si>
    <t xml:space="preserve">paribudh</t>
  </si>
  <si>
    <t xml:space="preserve">samavabudh</t>
  </si>
  <si>
    <t xml:space="preserve">samprabudh</t>
  </si>
  <si>
    <t xml:space="preserve">saṁnibudh</t>
  </si>
  <si>
    <t xml:space="preserve">pratinibudh</t>
  </si>
  <si>
    <t xml:space="preserve">pratisaṁbudh</t>
  </si>
  <si>
    <t xml:space="preserve">saṁpratibudh</t>
  </si>
  <si>
    <t xml:space="preserve">vinibudh</t>
  </si>
  <si>
    <t xml:space="preserve">viprabudh</t>
  </si>
  <si>
    <t xml:space="preserve">ābudh</t>
  </si>
  <si>
    <t xml:space="preserve">abhiprabudh</t>
  </si>
  <si>
    <t xml:space="preserve">abhivibudh</t>
  </si>
  <si>
    <t xml:space="preserve">dhyā</t>
  </si>
  <si>
    <t xml:space="preserve">ādhyā</t>
  </si>
  <si>
    <t xml:space="preserve">abhidhyai</t>
  </si>
  <si>
    <t xml:space="preserve">pradhyā</t>
  </si>
  <si>
    <t xml:space="preserve">anudhyā</t>
  </si>
  <si>
    <t xml:space="preserve">apadhyā</t>
  </si>
  <si>
    <t xml:space="preserve">nidhyā</t>
  </si>
  <si>
    <t xml:space="preserve">avadhyā</t>
  </si>
  <si>
    <t xml:space="preserve">upanidhyā</t>
  </si>
  <si>
    <t xml:space="preserve">samabhidhyā</t>
  </si>
  <si>
    <t xml:space="preserve">nirdhyā</t>
  </si>
  <si>
    <t xml:space="preserve">saṁdhyā</t>
  </si>
  <si>
    <t xml:space="preserve">samanudhyā</t>
  </si>
  <si>
    <t xml:space="preserve">abhinidhyai</t>
  </si>
  <si>
    <t xml:space="preserve">praṇidhyā</t>
  </si>
  <si>
    <t xml:space="preserve">samādhyā</t>
  </si>
  <si>
    <t xml:space="preserve">samapadhyā</t>
  </si>
  <si>
    <t xml:space="preserve">saṁpradhyā</t>
  </si>
  <si>
    <t xml:space="preserve">upadhyā</t>
  </si>
  <si>
    <t xml:space="preserve">atidhyai</t>
  </si>
  <si>
    <t xml:space="preserve">piṣ</t>
  </si>
  <si>
    <t xml:space="preserve">sampiṣ</t>
  </si>
  <si>
    <t xml:space="preserve">niṣpiṣ</t>
  </si>
  <si>
    <t xml:space="preserve">viniṣpiṣ</t>
  </si>
  <si>
    <t xml:space="preserve">pratipiṣ</t>
  </si>
  <si>
    <t xml:space="preserve">prapiṣ</t>
  </si>
  <si>
    <t xml:space="preserve">utpiṣ</t>
  </si>
  <si>
    <t xml:space="preserve">nipiṣ</t>
  </si>
  <si>
    <t xml:space="preserve">paripiṣ</t>
  </si>
  <si>
    <t xml:space="preserve">āpiṣ</t>
  </si>
  <si>
    <t xml:space="preserve">abhipiṣ</t>
  </si>
  <si>
    <t xml:space="preserve">anusaṁpiṣ</t>
  </si>
  <si>
    <t xml:space="preserve">avapiṣ</t>
  </si>
  <si>
    <t xml:space="preserve">samutpiṣ</t>
  </si>
  <si>
    <t xml:space="preserve">saṁnipiṣ</t>
  </si>
  <si>
    <t xml:space="preserve">vipiṣ</t>
  </si>
  <si>
    <t xml:space="preserve">vinipiṣ</t>
  </si>
  <si>
    <t xml:space="preserve">abhipratipiṣ</t>
  </si>
  <si>
    <t xml:space="preserve">anupiṣ</t>
  </si>
  <si>
    <t xml:space="preserve">dru</t>
  </si>
  <si>
    <t xml:space="preserve">abhidru</t>
  </si>
  <si>
    <t xml:space="preserve">pradru</t>
  </si>
  <si>
    <t xml:space="preserve">vidru</t>
  </si>
  <si>
    <t xml:space="preserve">upadru</t>
  </si>
  <si>
    <t xml:space="preserve">ādru</t>
  </si>
  <si>
    <t xml:space="preserve">samabhidru</t>
  </si>
  <si>
    <t xml:space="preserve">samupadru</t>
  </si>
  <si>
    <t xml:space="preserve">vipradru</t>
  </si>
  <si>
    <t xml:space="preserve">sampradru</t>
  </si>
  <si>
    <t xml:space="preserve">samādru</t>
  </si>
  <si>
    <t xml:space="preserve">anudru</t>
  </si>
  <si>
    <t xml:space="preserve">atidru</t>
  </si>
  <si>
    <t xml:space="preserve">apadru</t>
  </si>
  <si>
    <t xml:space="preserve">abhyādru</t>
  </si>
  <si>
    <t xml:space="preserve">prādru</t>
  </si>
  <si>
    <t xml:space="preserve">saṁdru</t>
  </si>
  <si>
    <t xml:space="preserve">abhividru</t>
  </si>
  <si>
    <t xml:space="preserve">abhyatidru</t>
  </si>
  <si>
    <t xml:space="preserve">pravidru</t>
  </si>
  <si>
    <t xml:space="preserve">samavadru</t>
  </si>
  <si>
    <t xml:space="preserve">anvādru</t>
  </si>
  <si>
    <t xml:space="preserve">avadru</t>
  </si>
  <si>
    <t xml:space="preserve">nirdru</t>
  </si>
  <si>
    <t xml:space="preserve">parādru</t>
  </si>
  <si>
    <t xml:space="preserve">paridru</t>
  </si>
  <si>
    <t xml:space="preserve">paryādru</t>
  </si>
  <si>
    <t xml:space="preserve">pratividru</t>
  </si>
  <si>
    <t xml:space="preserve">pratyādru</t>
  </si>
  <si>
    <t xml:space="preserve">pratyupadru</t>
  </si>
  <si>
    <t xml:space="preserve">samabhipradru</t>
  </si>
  <si>
    <t xml:space="preserve">samanudru</t>
  </si>
  <si>
    <t xml:space="preserve">samprādru</t>
  </si>
  <si>
    <t xml:space="preserve">saṁvidru</t>
  </si>
  <si>
    <t xml:space="preserve">uddru</t>
  </si>
  <si>
    <t xml:space="preserve">vyapadru</t>
  </si>
  <si>
    <t xml:space="preserve">abhipradru</t>
  </si>
  <si>
    <t xml:space="preserve">abhyuddru</t>
  </si>
  <si>
    <t xml:space="preserve">acchādru</t>
  </si>
  <si>
    <t xml:space="preserve">anūddru</t>
  </si>
  <si>
    <t xml:space="preserve">adhidru</t>
  </si>
  <si>
    <t xml:space="preserve">opadru</t>
  </si>
  <si>
    <t xml:space="preserve">pratidru</t>
  </si>
  <si>
    <t xml:space="preserve">samuddru</t>
  </si>
  <si>
    <t xml:space="preserve">udādru</t>
  </si>
  <si>
    <t xml:space="preserve">upādru</t>
  </si>
  <si>
    <t xml:space="preserve">viparidru</t>
  </si>
  <si>
    <t xml:space="preserve">vyavadru</t>
  </si>
  <si>
    <t xml:space="preserve">muh</t>
  </si>
  <si>
    <t xml:space="preserve">vimuh</t>
  </si>
  <si>
    <t xml:space="preserve">sammuh</t>
  </si>
  <si>
    <t xml:space="preserve">pramuh</t>
  </si>
  <si>
    <t xml:space="preserve">sampramuh</t>
  </si>
  <si>
    <t xml:space="preserve">parimuh</t>
  </si>
  <si>
    <t xml:space="preserve">abhimuh</t>
  </si>
  <si>
    <t xml:space="preserve">abhisaṁmuh</t>
  </si>
  <si>
    <t xml:space="preserve">anumuh</t>
  </si>
  <si>
    <t xml:space="preserve">vipramuh</t>
  </si>
  <si>
    <t xml:space="preserve">visaṁmuh</t>
  </si>
  <si>
    <t xml:space="preserve">vyāmuh</t>
  </si>
  <si>
    <t xml:space="preserve">bhakṣay</t>
  </si>
  <si>
    <t xml:space="preserve">saṁbhakṣay</t>
  </si>
  <si>
    <t xml:space="preserve">paribhakṣay</t>
  </si>
  <si>
    <t xml:space="preserve">prabhakṣay</t>
  </si>
  <si>
    <t xml:space="preserve">pratibhakṣay</t>
  </si>
  <si>
    <t xml:space="preserve">vyavabhakṣay</t>
  </si>
  <si>
    <t xml:space="preserve">jap</t>
  </si>
  <si>
    <t xml:space="preserve">prajap</t>
  </si>
  <si>
    <t xml:space="preserve">upajap</t>
  </si>
  <si>
    <t xml:space="preserve">saṁjap</t>
  </si>
  <si>
    <t xml:space="preserve">abhijap</t>
  </si>
  <si>
    <t xml:space="preserve">anujap</t>
  </si>
  <si>
    <t xml:space="preserve">parijap</t>
  </si>
  <si>
    <t xml:space="preserve">ājap</t>
  </si>
  <si>
    <t xml:space="preserve">pratijap</t>
  </si>
  <si>
    <t xml:space="preserve">bhaj</t>
  </si>
  <si>
    <t xml:space="preserve">vibhaj</t>
  </si>
  <si>
    <t xml:space="preserve">saṁvibhaj</t>
  </si>
  <si>
    <t xml:space="preserve">pravibhaj</t>
  </si>
  <si>
    <t xml:space="preserve">ābhaj</t>
  </si>
  <si>
    <t xml:space="preserve">nirbhaj</t>
  </si>
  <si>
    <t xml:space="preserve">sambhaj</t>
  </si>
  <si>
    <t xml:space="preserve">anubhaj</t>
  </si>
  <si>
    <t xml:space="preserve">anuvibhaj</t>
  </si>
  <si>
    <t xml:space="preserve">apabhaj</t>
  </si>
  <si>
    <t xml:space="preserve">abhivibhaj</t>
  </si>
  <si>
    <t xml:space="preserve">anvābhaj</t>
  </si>
  <si>
    <t xml:space="preserve">prabhaj</t>
  </si>
  <si>
    <t xml:space="preserve">pratibhaj</t>
  </si>
  <si>
    <t xml:space="preserve">abhibhaj</t>
  </si>
  <si>
    <t xml:space="preserve">paribhaj</t>
  </si>
  <si>
    <t xml:space="preserve">prativibhaj</t>
  </si>
  <si>
    <t xml:space="preserve">upabhaj</t>
  </si>
  <si>
    <t xml:space="preserve">bhī</t>
  </si>
  <si>
    <t xml:space="preserve">vibhī</t>
  </si>
  <si>
    <t xml:space="preserve">prabhī</t>
  </si>
  <si>
    <t xml:space="preserve">pṛ</t>
  </si>
  <si>
    <t xml:space="preserve">sampṛ</t>
  </si>
  <si>
    <t xml:space="preserve">paripṛ</t>
  </si>
  <si>
    <r>
      <rPr>
        <sz val="10"/>
        <rFont val="Arial"/>
        <family val="2"/>
        <charset val="204"/>
      </rPr>
      <t xml:space="preserve">āp</t>
    </r>
    <r>
      <rPr>
        <sz val="10"/>
        <rFont val="Microsoft YaHei"/>
        <family val="2"/>
        <charset val="204"/>
      </rPr>
      <t xml:space="preserve">￞</t>
    </r>
  </si>
  <si>
    <t xml:space="preserve">pratipṛ</t>
  </si>
  <si>
    <t xml:space="preserve">samāpṛ</t>
  </si>
  <si>
    <t xml:space="preserve">abhipṛ</t>
  </si>
  <si>
    <t xml:space="preserve">āpṛ</t>
  </si>
  <si>
    <t xml:space="preserve">saṁparipṛ</t>
  </si>
  <si>
    <t xml:space="preserve">atipṛ</t>
  </si>
  <si>
    <r>
      <rPr>
        <sz val="10"/>
        <rFont val="Arial"/>
        <family val="2"/>
        <charset val="204"/>
      </rPr>
      <t xml:space="preserve">prap</t>
    </r>
    <r>
      <rPr>
        <sz val="10"/>
        <rFont val="Microsoft YaHei"/>
        <family val="2"/>
        <charset val="204"/>
      </rPr>
      <t xml:space="preserve">￞</t>
    </r>
  </si>
  <si>
    <t xml:space="preserve">nipṛ</t>
  </si>
  <si>
    <t xml:space="preserve">saṁpratipṛ</t>
  </si>
  <si>
    <t xml:space="preserve">abhiprapṛ</t>
  </si>
  <si>
    <t xml:space="preserve">anupṛ</t>
  </si>
  <si>
    <t xml:space="preserve">apapṛ</t>
  </si>
  <si>
    <t xml:space="preserve">niṣpṛ</t>
  </si>
  <si>
    <r>
      <rPr>
        <sz val="10"/>
        <rFont val="Arial"/>
        <family val="2"/>
        <charset val="204"/>
      </rPr>
      <t xml:space="preserve">atip</t>
    </r>
    <r>
      <rPr>
        <sz val="10"/>
        <rFont val="Microsoft YaHei"/>
        <family val="2"/>
        <charset val="204"/>
      </rPr>
      <t xml:space="preserve">￞</t>
    </r>
  </si>
  <si>
    <t xml:space="preserve">upapṛ</t>
  </si>
  <si>
    <t xml:space="preserve">dīp</t>
  </si>
  <si>
    <t xml:space="preserve">pradīp</t>
  </si>
  <si>
    <t xml:space="preserve">ādīp</t>
  </si>
  <si>
    <t xml:space="preserve">saṁpradīp</t>
  </si>
  <si>
    <t xml:space="preserve">saṁdīp</t>
  </si>
  <si>
    <t xml:space="preserve">uddīp</t>
  </si>
  <si>
    <t xml:space="preserve">pratyuddīp</t>
  </si>
  <si>
    <t xml:space="preserve">paridīp</t>
  </si>
  <si>
    <t xml:space="preserve">samuddīp</t>
  </si>
  <si>
    <t xml:space="preserve">vidīp</t>
  </si>
  <si>
    <t xml:space="preserve">abhidīp</t>
  </si>
  <si>
    <t xml:space="preserve">avadīp</t>
  </si>
  <si>
    <t xml:space="preserve">upādīp</t>
  </si>
  <si>
    <t xml:space="preserve">hṛṣ</t>
  </si>
  <si>
    <t xml:space="preserve">prahṛṣ</t>
  </si>
  <si>
    <t xml:space="preserve">saṁhṛṣ</t>
  </si>
  <si>
    <t xml:space="preserve">samprahṛṣ</t>
  </si>
  <si>
    <t xml:space="preserve">parihṛṣ</t>
  </si>
  <si>
    <t xml:space="preserve">āhṛṣ</t>
  </si>
  <si>
    <t xml:space="preserve">atihṛṣ</t>
  </si>
  <si>
    <t xml:space="preserve">pratisaṁhṛṣ</t>
  </si>
  <si>
    <t xml:space="preserve">abhihṛṣ</t>
  </si>
  <si>
    <t xml:space="preserve">abhisaṁhṛṣ</t>
  </si>
  <si>
    <t xml:space="preserve">apahṛṣ</t>
  </si>
  <si>
    <t xml:space="preserve">parisaṁhṛṣ</t>
  </si>
  <si>
    <t xml:space="preserve">vihṛṣ</t>
  </si>
  <si>
    <t xml:space="preserve">nihṛṣ</t>
  </si>
  <si>
    <t xml:space="preserve">pratihṛṣ</t>
  </si>
  <si>
    <t xml:space="preserve">uddhṛṣ</t>
  </si>
  <si>
    <t xml:space="preserve">vraj</t>
  </si>
  <si>
    <t xml:space="preserve">pravraj</t>
  </si>
  <si>
    <t xml:space="preserve">anuvraj</t>
  </si>
  <si>
    <t xml:space="preserve">āvraj</t>
  </si>
  <si>
    <t xml:space="preserve">parivraj</t>
  </si>
  <si>
    <t xml:space="preserve">abhivraj</t>
  </si>
  <si>
    <t xml:space="preserve">upavraj</t>
  </si>
  <si>
    <t xml:space="preserve">anupravraj</t>
  </si>
  <si>
    <t xml:space="preserve">ativraj</t>
  </si>
  <si>
    <t xml:space="preserve">samanuvraj</t>
  </si>
  <si>
    <t xml:space="preserve">abhipravraj</t>
  </si>
  <si>
    <t xml:space="preserve">udāvraj</t>
  </si>
  <si>
    <t xml:space="preserve">udvraj</t>
  </si>
  <si>
    <t xml:space="preserve">anusaṁvraj</t>
  </si>
  <si>
    <t xml:space="preserve">pratyāvraj</t>
  </si>
  <si>
    <t xml:space="preserve">saṁvraj</t>
  </si>
  <si>
    <t xml:space="preserve">pratyupāvraj</t>
  </si>
  <si>
    <t xml:space="preserve">samāvraj</t>
  </si>
  <si>
    <t xml:space="preserve">upasaṁvraj</t>
  </si>
  <si>
    <t xml:space="preserve">apavraj</t>
  </si>
  <si>
    <t xml:space="preserve">nirvraj</t>
  </si>
  <si>
    <t xml:space="preserve">prativraj</t>
  </si>
  <si>
    <t xml:space="preserve">pratyudāvraj</t>
  </si>
  <si>
    <t xml:space="preserve">pratyupavraj</t>
  </si>
  <si>
    <t xml:space="preserve">pratyudvraj</t>
  </si>
  <si>
    <t xml:space="preserve">upāvraj</t>
  </si>
  <si>
    <t xml:space="preserve">vipravraj</t>
  </si>
  <si>
    <t xml:space="preserve">vyativraj</t>
  </si>
  <si>
    <t xml:space="preserve">sthāpay</t>
  </si>
  <si>
    <t xml:space="preserve">pratiṣṭhāpay</t>
  </si>
  <si>
    <t xml:space="preserve">saṁsthāpay</t>
  </si>
  <si>
    <t xml:space="preserve">utthāpay</t>
  </si>
  <si>
    <t xml:space="preserve">prasthāpay</t>
  </si>
  <si>
    <t xml:space="preserve">vyavasthāpay</t>
  </si>
  <si>
    <t xml:space="preserve">avasthāpay</t>
  </si>
  <si>
    <t xml:space="preserve">āsthāpay</t>
  </si>
  <si>
    <t xml:space="preserve">upasthāpay</t>
  </si>
  <si>
    <t xml:space="preserve">samutthāpay</t>
  </si>
  <si>
    <t xml:space="preserve">paryavasthāpay</t>
  </si>
  <si>
    <t xml:space="preserve">samavasthāpay</t>
  </si>
  <si>
    <t xml:space="preserve">vyutthāpay</t>
  </si>
  <si>
    <t xml:space="preserve">adhiṣṭhāpay</t>
  </si>
  <si>
    <t xml:space="preserve">abhiprasthāpay</t>
  </si>
  <si>
    <t xml:space="preserve">parisaṁsthāpay</t>
  </si>
  <si>
    <t xml:space="preserve">samupasthāpay</t>
  </si>
  <si>
    <t xml:space="preserve">abhisaṁsthāpay</t>
  </si>
  <si>
    <t xml:space="preserve">pratyupasthāpay</t>
  </si>
  <si>
    <t xml:space="preserve">saṁprasthāpay</t>
  </si>
  <si>
    <t xml:space="preserve">anuṣṭhāpay</t>
  </si>
  <si>
    <t xml:space="preserve">pariṣṭhāpay</t>
  </si>
  <si>
    <t xml:space="preserve">protthāpay</t>
  </si>
  <si>
    <t xml:space="preserve">samāsthāpay</t>
  </si>
  <si>
    <t xml:space="preserve">saṁpratisthāpay</t>
  </si>
  <si>
    <t xml:space="preserve">viniṣṭhāpay</t>
  </si>
  <si>
    <t xml:space="preserve">vyapasthāpay</t>
  </si>
  <si>
    <t xml:space="preserve">abhyupasthāpay</t>
  </si>
  <si>
    <t xml:space="preserve">anuprasthāpay</t>
  </si>
  <si>
    <t xml:space="preserve">anusaṁsthāpay</t>
  </si>
  <si>
    <t xml:space="preserve">anuvyāsthāpay</t>
  </si>
  <si>
    <t xml:space="preserve">niṣṭhāpay</t>
  </si>
  <si>
    <t xml:space="preserve">pariniṣṭhāpay</t>
  </si>
  <si>
    <t xml:space="preserve">vyāsthāpay</t>
  </si>
  <si>
    <t xml:space="preserve">janay</t>
  </si>
  <si>
    <t xml:space="preserve">saṁjanay</t>
  </si>
  <si>
    <t xml:space="preserve">prajanay</t>
  </si>
  <si>
    <t xml:space="preserve">upajanay</t>
  </si>
  <si>
    <t xml:space="preserve">vijanay</t>
  </si>
  <si>
    <t xml:space="preserve">samupajanay</t>
  </si>
  <si>
    <t xml:space="preserve">ājanay</t>
  </si>
  <si>
    <t xml:space="preserve">abhijanay</t>
  </si>
  <si>
    <t xml:space="preserve">anujanay</t>
  </si>
  <si>
    <t xml:space="preserve">anuprajanay</t>
  </si>
  <si>
    <t xml:space="preserve">dham</t>
  </si>
  <si>
    <t xml:space="preserve">vidham</t>
  </si>
  <si>
    <t xml:space="preserve">pradham</t>
  </si>
  <si>
    <t xml:space="preserve">ādham</t>
  </si>
  <si>
    <t xml:space="preserve">upadham</t>
  </si>
  <si>
    <t xml:space="preserve">nirdham</t>
  </si>
  <si>
    <t xml:space="preserve">paridham</t>
  </si>
  <si>
    <t xml:space="preserve">saṁdham</t>
  </si>
  <si>
    <t xml:space="preserve">samādham</t>
  </si>
  <si>
    <t xml:space="preserve">apadham</t>
  </si>
  <si>
    <t xml:space="preserve">avadham</t>
  </si>
  <si>
    <t xml:space="preserve">upādham</t>
  </si>
  <si>
    <t xml:space="preserve">atyādham</t>
  </si>
  <si>
    <t xml:space="preserve">samupadham</t>
  </si>
  <si>
    <t xml:space="preserve">vinirdham</t>
  </si>
  <si>
    <t xml:space="preserve">abhidham</t>
  </si>
  <si>
    <t xml:space="preserve">abhisaṁdham</t>
  </si>
  <si>
    <t xml:space="preserve">anudham</t>
  </si>
  <si>
    <t xml:space="preserve">apidham</t>
  </si>
  <si>
    <t xml:space="preserve">parādham</t>
  </si>
  <si>
    <t xml:space="preserve">uddham</t>
  </si>
  <si>
    <t xml:space="preserve">darśay</t>
  </si>
  <si>
    <t xml:space="preserve">pradarśay</t>
  </si>
  <si>
    <t xml:space="preserve">saṁdarśay</t>
  </si>
  <si>
    <t xml:space="preserve">upadarśay</t>
  </si>
  <si>
    <t xml:space="preserve">vidarśay</t>
  </si>
  <si>
    <t xml:space="preserve">nidarśay</t>
  </si>
  <si>
    <t xml:space="preserve">anudarśay</t>
  </si>
  <si>
    <t xml:space="preserve">saṁpradarśay</t>
  </si>
  <si>
    <t xml:space="preserve">ādarśay</t>
  </si>
  <si>
    <t xml:space="preserve">abhidarśay</t>
  </si>
  <si>
    <t xml:space="preserve">pratidarśay</t>
  </si>
  <si>
    <t xml:space="preserve">abhisaṁdarśay</t>
  </si>
  <si>
    <t xml:space="preserve">anupradarśay</t>
  </si>
  <si>
    <t xml:space="preserve">abhividarśay</t>
  </si>
  <si>
    <t xml:space="preserve">paridarśay</t>
  </si>
  <si>
    <t xml:space="preserve">samupadarśay</t>
  </si>
  <si>
    <t xml:space="preserve">upapradarśay</t>
  </si>
  <si>
    <t xml:space="preserve">naś</t>
  </si>
  <si>
    <t xml:space="preserve">vinaś</t>
  </si>
  <si>
    <t xml:space="preserve">praṇaś</t>
  </si>
  <si>
    <t xml:space="preserve">vipraṇaś</t>
  </si>
  <si>
    <t xml:space="preserve">unnaś</t>
  </si>
  <si>
    <t xml:space="preserve">saṁpraṇaś</t>
  </si>
  <si>
    <t xml:space="preserve">saṁnaś</t>
  </si>
  <si>
    <t xml:space="preserve">anuvinaś</t>
  </si>
  <si>
    <t xml:space="preserve">parīṇaś</t>
  </si>
  <si>
    <t xml:space="preserve">nirṇaś</t>
  </si>
  <si>
    <t xml:space="preserve">abhinaś</t>
  </si>
  <si>
    <t xml:space="preserve">acchānaś</t>
  </si>
  <si>
    <t xml:space="preserve">apanaś</t>
  </si>
  <si>
    <t xml:space="preserve">atipraṇaś</t>
  </si>
  <si>
    <t xml:space="preserve">avanaś</t>
  </si>
  <si>
    <t xml:space="preserve">pravinaś</t>
  </si>
  <si>
    <t xml:space="preserve">yudh</t>
  </si>
  <si>
    <t xml:space="preserve">pratiyudh</t>
  </si>
  <si>
    <t xml:space="preserve">prayudh</t>
  </si>
  <si>
    <t xml:space="preserve">saṁyudh</t>
  </si>
  <si>
    <t xml:space="preserve">samprayudh</t>
  </si>
  <si>
    <t xml:space="preserve">abhiyudh</t>
  </si>
  <si>
    <t xml:space="preserve">niyudh</t>
  </si>
  <si>
    <t xml:space="preserve">āyudh</t>
  </si>
  <si>
    <t xml:space="preserve">anuyudh</t>
  </si>
  <si>
    <t xml:space="preserve">udyudh</t>
  </si>
  <si>
    <t xml:space="preserve">prāyudh</t>
  </si>
  <si>
    <t xml:space="preserve">pratisaṁyudh</t>
  </si>
  <si>
    <t xml:space="preserve">vṛdh</t>
  </si>
  <si>
    <t xml:space="preserve">vivṛdh</t>
  </si>
  <si>
    <t xml:space="preserve">pravṛdh</t>
  </si>
  <si>
    <t xml:space="preserve">saṁvṛdh</t>
  </si>
  <si>
    <t xml:space="preserve">abhivṛdh</t>
  </si>
  <si>
    <t xml:space="preserve">atipravṛdh</t>
  </si>
  <si>
    <t xml:space="preserve">sampravṛdh</t>
  </si>
  <si>
    <t xml:space="preserve">abhipravṛdh</t>
  </si>
  <si>
    <t xml:space="preserve">parivṛdh</t>
  </si>
  <si>
    <t xml:space="preserve">abhisaṁvṛdh</t>
  </si>
  <si>
    <t xml:space="preserve">ativṛdh</t>
  </si>
  <si>
    <t xml:space="preserve">udvṛdh</t>
  </si>
  <si>
    <t xml:space="preserve">anuvṛdh</t>
  </si>
  <si>
    <t xml:space="preserve">anupravṛdh</t>
  </si>
  <si>
    <t xml:space="preserve">atisaṁvṛdh</t>
  </si>
  <si>
    <t xml:space="preserve">prativṛdh</t>
  </si>
  <si>
    <t xml:space="preserve">āvṛdh</t>
  </si>
  <si>
    <t xml:space="preserve">adhivṛdh</t>
  </si>
  <si>
    <t xml:space="preserve">samabhivṛdh</t>
  </si>
  <si>
    <t xml:space="preserve">saṁvivṛdh</t>
  </si>
  <si>
    <t xml:space="preserve">sādhay</t>
  </si>
  <si>
    <t xml:space="preserve">prasādhay</t>
  </si>
  <si>
    <t xml:space="preserve">saṁsādhay</t>
  </si>
  <si>
    <t xml:space="preserve">upasādhay</t>
  </si>
  <si>
    <t xml:space="preserve">susādhay</t>
  </si>
  <si>
    <t xml:space="preserve">anusādhay</t>
  </si>
  <si>
    <t xml:space="preserve">parisādhay</t>
  </si>
  <si>
    <t xml:space="preserve">samprasādhay</t>
  </si>
  <si>
    <t xml:space="preserve">anusaṁsādhay</t>
  </si>
  <si>
    <t xml:space="preserve">pratisādhay</t>
  </si>
  <si>
    <t xml:space="preserve">prī</t>
  </si>
  <si>
    <t xml:space="preserve">samprī</t>
  </si>
  <si>
    <t xml:space="preserve">āprī</t>
  </si>
  <si>
    <t xml:space="preserve">vyāprī</t>
  </si>
  <si>
    <t xml:space="preserve">pariprī</t>
  </si>
  <si>
    <t xml:space="preserve">abhiprī</t>
  </si>
  <si>
    <t xml:space="preserve">sev</t>
  </si>
  <si>
    <t xml:space="preserve">niṣev</t>
  </si>
  <si>
    <t xml:space="preserve">upasev</t>
  </si>
  <si>
    <t xml:space="preserve">āsev</t>
  </si>
  <si>
    <t xml:space="preserve">saṁsev</t>
  </si>
  <si>
    <t xml:space="preserve">atisev</t>
  </si>
  <si>
    <t xml:space="preserve">pariṣev</t>
  </si>
  <si>
    <t xml:space="preserve">samupasev</t>
  </si>
  <si>
    <t xml:space="preserve">abhisev</t>
  </si>
  <si>
    <t xml:space="preserve">anusev</t>
  </si>
  <si>
    <t xml:space="preserve">saṁniṣev</t>
  </si>
  <si>
    <t xml:space="preserve">pratisev</t>
  </si>
  <si>
    <t xml:space="preserve">samāsev</t>
  </si>
  <si>
    <t xml:space="preserve">upaniṣev</t>
  </si>
  <si>
    <t xml:space="preserve">avasev</t>
  </si>
  <si>
    <t xml:space="preserve">pariniṣev</t>
  </si>
  <si>
    <t xml:space="preserve">prasev</t>
  </si>
  <si>
    <t xml:space="preserve">vyatisev</t>
  </si>
  <si>
    <t xml:space="preserve">abhyupasev</t>
  </si>
  <si>
    <t xml:space="preserve">pratyāsev</t>
  </si>
  <si>
    <t xml:space="preserve">jṛ</t>
  </si>
  <si>
    <t xml:space="preserve">parijṛ</t>
  </si>
  <si>
    <r>
      <rPr>
        <sz val="10"/>
        <rFont val="Arial"/>
        <family val="2"/>
        <charset val="204"/>
      </rPr>
      <t xml:space="preserve">praj</t>
    </r>
    <r>
      <rPr>
        <sz val="10"/>
        <rFont val="Microsoft YaHei"/>
        <family val="2"/>
        <charset val="204"/>
      </rPr>
      <t xml:space="preserve">￞</t>
    </r>
  </si>
  <si>
    <t xml:space="preserve">saṁjṛ</t>
  </si>
  <si>
    <t xml:space="preserve">vijṛ</t>
  </si>
  <si>
    <t xml:space="preserve">nirjṛ</t>
  </si>
  <si>
    <t xml:space="preserve">samavajṛ</t>
  </si>
  <si>
    <t xml:space="preserve">bhṛ</t>
  </si>
  <si>
    <t xml:space="preserve">sambhṛ</t>
  </si>
  <si>
    <t xml:space="preserve">ābhṛ</t>
  </si>
  <si>
    <t xml:space="preserve">prabhṛ</t>
  </si>
  <si>
    <t xml:space="preserve">udbhṛ</t>
  </si>
  <si>
    <t xml:space="preserve">vibhṛ</t>
  </si>
  <si>
    <t xml:space="preserve">pratibhṛ</t>
  </si>
  <si>
    <t xml:space="preserve">prābhṛ</t>
  </si>
  <si>
    <t xml:space="preserve">parābhṛ</t>
  </si>
  <si>
    <t xml:space="preserve">upasaṁbhṛ</t>
  </si>
  <si>
    <t xml:space="preserve">apabhṛ</t>
  </si>
  <si>
    <t xml:space="preserve">upabhṛ</t>
  </si>
  <si>
    <t xml:space="preserve">avabhṛ</t>
  </si>
  <si>
    <t xml:space="preserve">abhisaṁbhṛ</t>
  </si>
  <si>
    <t xml:space="preserve">anubhṛ</t>
  </si>
  <si>
    <t xml:space="preserve">atibhṛ</t>
  </si>
  <si>
    <t xml:space="preserve">samābhṛ</t>
  </si>
  <si>
    <t xml:space="preserve">abhibhṛ</t>
  </si>
  <si>
    <t xml:space="preserve">abhiprabhṛ</t>
  </si>
  <si>
    <t xml:space="preserve">adhyābhṛ</t>
  </si>
  <si>
    <t xml:space="preserve">adhyudbhṛ</t>
  </si>
  <si>
    <t xml:space="preserve">nirbhṛ</t>
  </si>
  <si>
    <t xml:space="preserve">paribhṛ</t>
  </si>
  <si>
    <t xml:space="preserve">paryābhṛ</t>
  </si>
  <si>
    <t xml:space="preserve">pū</t>
  </si>
  <si>
    <t xml:space="preserve">utpū</t>
  </si>
  <si>
    <t xml:space="preserve">paripū</t>
  </si>
  <si>
    <t xml:space="preserve">niṣpū</t>
  </si>
  <si>
    <t xml:space="preserve">prapū</t>
  </si>
  <si>
    <t xml:space="preserve">nipū</t>
  </si>
  <si>
    <t xml:space="preserve">sampū</t>
  </si>
  <si>
    <t xml:space="preserve">vipū</t>
  </si>
  <si>
    <t xml:space="preserve">āpū</t>
  </si>
  <si>
    <t xml:space="preserve">abhiniṣpū</t>
  </si>
  <si>
    <t xml:space="preserve">atipū</t>
  </si>
  <si>
    <t xml:space="preserve">pratiniṣpū</t>
  </si>
  <si>
    <t xml:space="preserve">abhipū</t>
  </si>
  <si>
    <t xml:space="preserve">abhisampū</t>
  </si>
  <si>
    <t xml:space="preserve">anupū</t>
  </si>
  <si>
    <t xml:space="preserve">parāpū</t>
  </si>
  <si>
    <t xml:space="preserve">samāpū</t>
  </si>
  <si>
    <t xml:space="preserve">bhāṣ</t>
  </si>
  <si>
    <t xml:space="preserve">abhibhāṣ</t>
  </si>
  <si>
    <t xml:space="preserve">pratibhāṣ</t>
  </si>
  <si>
    <t xml:space="preserve">sambhāṣ</t>
  </si>
  <si>
    <t xml:space="preserve">ābhāṣ</t>
  </si>
  <si>
    <t xml:space="preserve">prabhāṣ</t>
  </si>
  <si>
    <t xml:space="preserve">paribhāṣ</t>
  </si>
  <si>
    <t xml:space="preserve">samābhāṣ</t>
  </si>
  <si>
    <t xml:space="preserve">anubhāṣ</t>
  </si>
  <si>
    <t xml:space="preserve">vibhāṣ</t>
  </si>
  <si>
    <t xml:space="preserve">vyābhāṣ</t>
  </si>
  <si>
    <t xml:space="preserve">adhibhāṣ</t>
  </si>
  <si>
    <t xml:space="preserve">samabhibhāṣ</t>
  </si>
  <si>
    <t xml:space="preserve">samprabhāṣ</t>
  </si>
  <si>
    <t xml:space="preserve">pratyavabhāṣ</t>
  </si>
  <si>
    <t xml:space="preserve">avabhāṣ</t>
  </si>
  <si>
    <t xml:space="preserve">pratyanubhāṣ</t>
  </si>
  <si>
    <t xml:space="preserve">apabhāṣ</t>
  </si>
  <si>
    <t xml:space="preserve">sampratibhāṣ</t>
  </si>
  <si>
    <t xml:space="preserve">viprabhāṣ</t>
  </si>
  <si>
    <t xml:space="preserve">saṁvibhāṣ</t>
  </si>
  <si>
    <t xml:space="preserve">vah</t>
  </si>
  <si>
    <t xml:space="preserve">udvah</t>
  </si>
  <si>
    <t xml:space="preserve">āvah</t>
  </si>
  <si>
    <t xml:space="preserve">nirvivah</t>
  </si>
  <si>
    <t xml:space="preserve">apavah</t>
  </si>
  <si>
    <t xml:space="preserve">pravah</t>
  </si>
  <si>
    <t xml:space="preserve">udāvah</t>
  </si>
  <si>
    <t xml:space="preserve">saṁvah</t>
  </si>
  <si>
    <t xml:space="preserve">vivah</t>
  </si>
  <si>
    <t xml:space="preserve">adhivah</t>
  </si>
  <si>
    <t xml:space="preserve">upavah</t>
  </si>
  <si>
    <t xml:space="preserve">nirvah</t>
  </si>
  <si>
    <t xml:space="preserve">samudvah</t>
  </si>
  <si>
    <t xml:space="preserve">abhivah</t>
  </si>
  <si>
    <t xml:space="preserve">ativah</t>
  </si>
  <si>
    <t xml:space="preserve">parivah</t>
  </si>
  <si>
    <t xml:space="preserve">parisaṁvah</t>
  </si>
  <si>
    <t xml:space="preserve">samudāvah</t>
  </si>
  <si>
    <t xml:space="preserve">samupavah</t>
  </si>
  <si>
    <t xml:space="preserve">nivah</t>
  </si>
  <si>
    <t xml:space="preserve">samāvah</t>
  </si>
  <si>
    <t xml:space="preserve">abhyāvah</t>
  </si>
  <si>
    <t xml:space="preserve">vyapavah</t>
  </si>
  <si>
    <t xml:space="preserve">nirāvah</t>
  </si>
  <si>
    <t xml:space="preserve">anuvah</t>
  </si>
  <si>
    <t xml:space="preserve">anupravah</t>
  </si>
  <si>
    <t xml:space="preserve">anusaṁvah</t>
  </si>
  <si>
    <t xml:space="preserve">pravivah</t>
  </si>
  <si>
    <t xml:space="preserve">samapavah</t>
  </si>
  <si>
    <t xml:space="preserve">saṁvivah</t>
  </si>
  <si>
    <t xml:space="preserve">abhipravah</t>
  </si>
  <si>
    <t xml:space="preserve">anvāvah</t>
  </si>
  <si>
    <t xml:space="preserve">atipravah</t>
  </si>
  <si>
    <t xml:space="preserve">parāvah</t>
  </si>
  <si>
    <t xml:space="preserve">prativah</t>
  </si>
  <si>
    <t xml:space="preserve">pratyapavah</t>
  </si>
  <si>
    <t xml:space="preserve">prodvah</t>
  </si>
  <si>
    <t xml:space="preserve">upāvah</t>
  </si>
  <si>
    <t xml:space="preserve">paryupās</t>
  </si>
  <si>
    <t xml:space="preserve">adhyās</t>
  </si>
  <si>
    <t xml:space="preserve">samās</t>
  </si>
  <si>
    <t xml:space="preserve">anvās</t>
  </si>
  <si>
    <t xml:space="preserve">udās</t>
  </si>
  <si>
    <t xml:space="preserve">samupās</t>
  </si>
  <si>
    <t xml:space="preserve">pratisamās</t>
  </si>
  <si>
    <t xml:space="preserve">samadhyās</t>
  </si>
  <si>
    <t xml:space="preserve">paryās</t>
  </si>
  <si>
    <t xml:space="preserve">abhyupās</t>
  </si>
  <si>
    <t xml:space="preserve">pratyās</t>
  </si>
  <si>
    <t xml:space="preserve">varjay</t>
  </si>
  <si>
    <t xml:space="preserve">vivarjay</t>
  </si>
  <si>
    <t xml:space="preserve">parivarjay</t>
  </si>
  <si>
    <t xml:space="preserve">āvarjay</t>
  </si>
  <si>
    <t xml:space="preserve">apavarjay</t>
  </si>
  <si>
    <t xml:space="preserve">saṁvarjay</t>
  </si>
  <si>
    <t xml:space="preserve">abhivarjay</t>
  </si>
  <si>
    <t xml:space="preserve">adhivarjay</t>
  </si>
  <si>
    <t xml:space="preserve">samāvarjay</t>
  </si>
  <si>
    <t xml:space="preserve">samapavarjay</t>
  </si>
  <si>
    <t xml:space="preserve">samparivarjay</t>
  </si>
  <si>
    <t xml:space="preserve">upavarjay</t>
  </si>
  <si>
    <t xml:space="preserve">vyāvarjay</t>
  </si>
  <si>
    <t xml:space="preserve">avavarjay</t>
  </si>
  <si>
    <t xml:space="preserve">vyapavarjay</t>
  </si>
  <si>
    <t xml:space="preserve">cintay</t>
  </si>
  <si>
    <t xml:space="preserve">vicintay</t>
  </si>
  <si>
    <t xml:space="preserve">saṁcintay</t>
  </si>
  <si>
    <t xml:space="preserve">anucintay</t>
  </si>
  <si>
    <t xml:space="preserve">paricintay</t>
  </si>
  <si>
    <t xml:space="preserve">abhicintay</t>
  </si>
  <si>
    <t xml:space="preserve">pracintay</t>
  </si>
  <si>
    <t xml:space="preserve">anuvicintay</t>
  </si>
  <si>
    <t xml:space="preserve">pravicintay</t>
  </si>
  <si>
    <t xml:space="preserve">samanucintay</t>
  </si>
  <si>
    <t xml:space="preserve">anusaṁcintay</t>
  </si>
  <si>
    <t xml:space="preserve">ācintay</t>
  </si>
  <si>
    <t xml:space="preserve">abhisaṁcintay</t>
  </si>
  <si>
    <t xml:space="preserve">abhivicintay</t>
  </si>
  <si>
    <t xml:space="preserve">avacintay</t>
  </si>
  <si>
    <t xml:space="preserve">pariniścintay</t>
  </si>
  <si>
    <t xml:space="preserve">praticintay</t>
  </si>
  <si>
    <t xml:space="preserve">upacintay</t>
  </si>
  <si>
    <t xml:space="preserve">saṁvicintay</t>
  </si>
  <si>
    <t xml:space="preserve">vipracintay</t>
  </si>
  <si>
    <t xml:space="preserve">ram</t>
  </si>
  <si>
    <t xml:space="preserve">niram</t>
  </si>
  <si>
    <t xml:space="preserve">viram</t>
  </si>
  <si>
    <t xml:space="preserve">uparam</t>
  </si>
  <si>
    <t xml:space="preserve">abhiram</t>
  </si>
  <si>
    <t xml:space="preserve">upāram</t>
  </si>
  <si>
    <t xml:space="preserve">āram</t>
  </si>
  <si>
    <t xml:space="preserve">prativiram</t>
  </si>
  <si>
    <t xml:space="preserve">vyuparam</t>
  </si>
  <si>
    <t xml:space="preserve">anuram</t>
  </si>
  <si>
    <t xml:space="preserve">saṁram</t>
  </si>
  <si>
    <t xml:space="preserve">avaram</t>
  </si>
  <si>
    <t xml:space="preserve">praviram</t>
  </si>
  <si>
    <t xml:space="preserve">samāram</t>
  </si>
  <si>
    <t xml:space="preserve">vyupāram</t>
  </si>
  <si>
    <t xml:space="preserve">pariram</t>
  </si>
  <si>
    <t xml:space="preserve">pratiram</t>
  </si>
  <si>
    <t xml:space="preserve">upāvaram</t>
  </si>
  <si>
    <t xml:space="preserve">udram</t>
  </si>
  <si>
    <t xml:space="preserve">śaṁs</t>
  </si>
  <si>
    <t xml:space="preserve">praśaṁs</t>
  </si>
  <si>
    <t xml:space="preserve">āśaṁs</t>
  </si>
  <si>
    <t xml:space="preserve">abhiśaṁs</t>
  </si>
  <si>
    <t xml:space="preserve">anuśaṁs</t>
  </si>
  <si>
    <t xml:space="preserve">atiśaṁs</t>
  </si>
  <si>
    <t xml:space="preserve">saṁśaṁs</t>
  </si>
  <si>
    <t xml:space="preserve">viśaṁs</t>
  </si>
  <si>
    <t xml:space="preserve">abhipraśaṁs</t>
  </si>
  <si>
    <t xml:space="preserve">saṁpraśaṁs</t>
  </si>
  <si>
    <t xml:space="preserve">anupraśaṁs</t>
  </si>
  <si>
    <t xml:space="preserve">niśaṁs</t>
  </si>
  <si>
    <t xml:space="preserve">niḥśaṁs</t>
  </si>
  <si>
    <t xml:space="preserve">pratiśaṁs</t>
  </si>
  <si>
    <t xml:space="preserve">samabhipraśaṁs</t>
  </si>
  <si>
    <t xml:space="preserve">upāśaṁs</t>
  </si>
  <si>
    <t xml:space="preserve">upasaṁśaṁs</t>
  </si>
  <si>
    <t xml:space="preserve">abhiviśaṁs</t>
  </si>
  <si>
    <t xml:space="preserve">atipraśaṁs</t>
  </si>
  <si>
    <t xml:space="preserve">pratyāśaṁs</t>
  </si>
  <si>
    <t xml:space="preserve">samāśaṁs</t>
  </si>
  <si>
    <t xml:space="preserve">samatipraśaṁs</t>
  </si>
  <si>
    <t xml:space="preserve">udāśaṁs</t>
  </si>
  <si>
    <t xml:space="preserve">ucchaṁs</t>
  </si>
  <si>
    <t xml:space="preserve">marday</t>
  </si>
  <si>
    <t xml:space="preserve">vimarday</t>
  </si>
  <si>
    <t xml:space="preserve">saṁmarday</t>
  </si>
  <si>
    <t xml:space="preserve">parimarday</t>
  </si>
  <si>
    <t xml:space="preserve">pramarday</t>
  </si>
  <si>
    <t xml:space="preserve">avamarday</t>
  </si>
  <si>
    <t xml:space="preserve">saṁpramarday</t>
  </si>
  <si>
    <t xml:space="preserve">āmarday</t>
  </si>
  <si>
    <t xml:space="preserve">abhimarday</t>
  </si>
  <si>
    <t xml:space="preserve">abhivimarday</t>
  </si>
  <si>
    <t xml:space="preserve">pronmarday</t>
  </si>
  <si>
    <t xml:space="preserve">saṁparimarday</t>
  </si>
  <si>
    <t xml:space="preserve">unmarday</t>
  </si>
  <si>
    <t xml:space="preserve">bhāvay</t>
  </si>
  <si>
    <t xml:space="preserve">sambhāvay</t>
  </si>
  <si>
    <t xml:space="preserve">vibhāvay</t>
  </si>
  <si>
    <t xml:space="preserve">paribhāvay</t>
  </si>
  <si>
    <t xml:space="preserve">prabhāvay</t>
  </si>
  <si>
    <t xml:space="preserve">udbhāvay</t>
  </si>
  <si>
    <t xml:space="preserve">anubhāvay</t>
  </si>
  <si>
    <t xml:space="preserve">parābhāvay</t>
  </si>
  <si>
    <t xml:space="preserve">tirobhāvay</t>
  </si>
  <si>
    <t xml:space="preserve">atibhāvay</t>
  </si>
  <si>
    <t xml:space="preserve">āvirbhāvay</t>
  </si>
  <si>
    <t xml:space="preserve">saṁprabhāvay</t>
  </si>
  <si>
    <t xml:space="preserve">prādurbhāvay</t>
  </si>
  <si>
    <t xml:space="preserve">pravibhāvay</t>
  </si>
  <si>
    <t xml:space="preserve">abhyāsībhāvay</t>
  </si>
  <si>
    <t xml:space="preserve">avabhāvay</t>
  </si>
  <si>
    <t xml:space="preserve">parivibhāvay</t>
  </si>
  <si>
    <t xml:space="preserve">pratibhāvay</t>
  </si>
  <si>
    <t xml:space="preserve">prativibhāvay</t>
  </si>
  <si>
    <t xml:space="preserve">purobhāvay</t>
  </si>
  <si>
    <t xml:space="preserve">saṁparibhāvay</t>
  </si>
  <si>
    <t xml:space="preserve">saṁvibhāvay</t>
  </si>
  <si>
    <t xml:space="preserve">tanmayībhāvay</t>
  </si>
  <si>
    <t xml:space="preserve">abhisaṁbhāvay</t>
  </si>
  <si>
    <t xml:space="preserve">snā</t>
  </si>
  <si>
    <t xml:space="preserve">prasnā</t>
  </si>
  <si>
    <t xml:space="preserve">saṁsnā</t>
  </si>
  <si>
    <t xml:space="preserve">niṣṇā</t>
  </si>
  <si>
    <t xml:space="preserve">parisnā</t>
  </si>
  <si>
    <t xml:space="preserve">utsnā</t>
  </si>
  <si>
    <t xml:space="preserve">dhāray</t>
  </si>
  <si>
    <t xml:space="preserve">avadhāray</t>
  </si>
  <si>
    <t xml:space="preserve">upadhāray</t>
  </si>
  <si>
    <t xml:space="preserve">saṁdhāray</t>
  </si>
  <si>
    <t xml:space="preserve">sampradhāray</t>
  </si>
  <si>
    <t xml:space="preserve">vidhāray</t>
  </si>
  <si>
    <t xml:space="preserve">nirdhāray</t>
  </si>
  <si>
    <t xml:space="preserve">pradhāray</t>
  </si>
  <si>
    <t xml:space="preserve">nidhāray</t>
  </si>
  <si>
    <t xml:space="preserve">antardhāray</t>
  </si>
  <si>
    <t xml:space="preserve">ādhāray</t>
  </si>
  <si>
    <t xml:space="preserve">abhidhāray</t>
  </si>
  <si>
    <t xml:space="preserve">apadhāray</t>
  </si>
  <si>
    <t xml:space="preserve">pratidhāray</t>
  </si>
  <si>
    <t xml:space="preserve">saṁnidhāray</t>
  </si>
  <si>
    <t xml:space="preserve">saṁvidhāray</t>
  </si>
  <si>
    <t xml:space="preserve">anūpadhāray</t>
  </si>
  <si>
    <t xml:space="preserve">adhidhāray</t>
  </si>
  <si>
    <t xml:space="preserve">paridhāray</t>
  </si>
  <si>
    <t xml:space="preserve">vinidhāray</t>
  </si>
  <si>
    <t xml:space="preserve">vyavadhāray</t>
  </si>
  <si>
    <t xml:space="preserve">stu</t>
  </si>
  <si>
    <t xml:space="preserve">saṁstu</t>
  </si>
  <si>
    <t xml:space="preserve">abhiṣṭu</t>
  </si>
  <si>
    <t xml:space="preserve">prastu</t>
  </si>
  <si>
    <t xml:space="preserve">upastu</t>
  </si>
  <si>
    <t xml:space="preserve">atiṣṭu</t>
  </si>
  <si>
    <t xml:space="preserve">āstu</t>
  </si>
  <si>
    <t xml:space="preserve">abhisaṁstu</t>
  </si>
  <si>
    <t xml:space="preserve">samabhiṣṭu</t>
  </si>
  <si>
    <t xml:space="preserve">anuṣṭu</t>
  </si>
  <si>
    <t xml:space="preserve">parisaṁstu</t>
  </si>
  <si>
    <t xml:space="preserve">pratiṣṭu</t>
  </si>
  <si>
    <t xml:space="preserve">abhiprastu</t>
  </si>
  <si>
    <t xml:space="preserve">pariṣṭu</t>
  </si>
  <si>
    <t xml:space="preserve">viṣṭu</t>
  </si>
  <si>
    <t xml:space="preserve">kāray</t>
  </si>
  <si>
    <t xml:space="preserve">ākāray</t>
  </si>
  <si>
    <t xml:space="preserve">saṁskāray</t>
  </si>
  <si>
    <t xml:space="preserve">prakāray</t>
  </si>
  <si>
    <t xml:space="preserve">saṁkāray</t>
  </si>
  <si>
    <t xml:space="preserve">pratikāray</t>
  </si>
  <si>
    <t xml:space="preserve">alaṁkāray</t>
  </si>
  <si>
    <t xml:space="preserve">anukāray</t>
  </si>
  <si>
    <t xml:space="preserve">pratisaṁskāray</t>
  </si>
  <si>
    <t xml:space="preserve">puṭakāray</t>
  </si>
  <si>
    <t xml:space="preserve">satkāray</t>
  </si>
  <si>
    <t xml:space="preserve">upakāray</t>
  </si>
  <si>
    <t xml:space="preserve">vikāray</t>
  </si>
  <si>
    <t xml:space="preserve">viniṣkāray</t>
  </si>
  <si>
    <t xml:space="preserve">vyadh</t>
  </si>
  <si>
    <t xml:space="preserve">prativyadh</t>
  </si>
  <si>
    <t xml:space="preserve">apavyadh</t>
  </si>
  <si>
    <t xml:space="preserve">āvyadh</t>
  </si>
  <si>
    <t xml:space="preserve">ativyadh</t>
  </si>
  <si>
    <t xml:space="preserve">anuvyadh</t>
  </si>
  <si>
    <t xml:space="preserve">pravyadh</t>
  </si>
  <si>
    <t xml:space="preserve">abhivyadh</t>
  </si>
  <si>
    <t xml:space="preserve">vyāvyadh</t>
  </si>
  <si>
    <t xml:space="preserve">nirvyadh</t>
  </si>
  <si>
    <t xml:space="preserve">vipravyadh</t>
  </si>
  <si>
    <t xml:space="preserve">samāvyadh</t>
  </si>
  <si>
    <t xml:space="preserve">saṁvyadh</t>
  </si>
  <si>
    <t xml:space="preserve">udvyadh</t>
  </si>
  <si>
    <t xml:space="preserve">vyapavyadh</t>
  </si>
  <si>
    <t xml:space="preserve">vivyadh</t>
  </si>
  <si>
    <t xml:space="preserve">nivyadh</t>
  </si>
  <si>
    <t xml:space="preserve">avavyadh</t>
  </si>
  <si>
    <t xml:space="preserve">abhisaṁvyadh</t>
  </si>
  <si>
    <t xml:space="preserve">adhivyadh</t>
  </si>
  <si>
    <t xml:space="preserve">parivyadh</t>
  </si>
  <si>
    <t xml:space="preserve">upavyadh</t>
  </si>
  <si>
    <t xml:space="preserve">adhinivyadh</t>
  </si>
  <si>
    <t xml:space="preserve">nyāvyadh</t>
  </si>
  <si>
    <t xml:space="preserve">parāvyadh</t>
  </si>
  <si>
    <t xml:space="preserve">krudh</t>
  </si>
  <si>
    <t xml:space="preserve">saṁkrudh</t>
  </si>
  <si>
    <t xml:space="preserve">abhikrudh</t>
  </si>
  <si>
    <t xml:space="preserve">abhisaṁkrudh</t>
  </si>
  <si>
    <t xml:space="preserve">samabhikrudh</t>
  </si>
  <si>
    <t xml:space="preserve">ākrudh</t>
  </si>
  <si>
    <t xml:space="preserve">prakrudh</t>
  </si>
  <si>
    <t xml:space="preserve">pratikrudh</t>
  </si>
  <si>
    <t xml:space="preserve">parikrudh</t>
  </si>
  <si>
    <t xml:space="preserve">śak</t>
  </si>
  <si>
    <t xml:space="preserve">viśak</t>
  </si>
  <si>
    <t xml:space="preserve">pariśak</t>
  </si>
  <si>
    <t xml:space="preserve">upaśak</t>
  </si>
  <si>
    <t xml:space="preserve">vyatiśak</t>
  </si>
  <si>
    <t xml:space="preserve">āśak</t>
  </si>
  <si>
    <t xml:space="preserve">anuśak</t>
  </si>
  <si>
    <t xml:space="preserve">praśak</t>
  </si>
  <si>
    <t xml:space="preserve">pratiśak</t>
  </si>
  <si>
    <t xml:space="preserve">saṁśak</t>
  </si>
  <si>
    <t xml:space="preserve">āp</t>
  </si>
  <si>
    <t xml:space="preserve">prāp</t>
  </si>
  <si>
    <t xml:space="preserve">avāp</t>
  </si>
  <si>
    <t xml:space="preserve">samprāp</t>
  </si>
  <si>
    <t xml:space="preserve">vyāp</t>
  </si>
  <si>
    <t xml:space="preserve">anuprāp</t>
  </si>
  <si>
    <t xml:space="preserve">samāp</t>
  </si>
  <si>
    <t xml:space="preserve">paryāp</t>
  </si>
  <si>
    <t xml:space="preserve">paryavāp</t>
  </si>
  <si>
    <t xml:space="preserve">samavāp</t>
  </si>
  <si>
    <t xml:space="preserve">samanuprāp</t>
  </si>
  <si>
    <t xml:space="preserve">upāp</t>
  </si>
  <si>
    <t xml:space="preserve">parisamāp</t>
  </si>
  <si>
    <t xml:space="preserve">anusamprāp</t>
  </si>
  <si>
    <t xml:space="preserve">upasaṁprāp</t>
  </si>
  <si>
    <t xml:space="preserve">abhivyāp</t>
  </si>
  <si>
    <t xml:space="preserve">abhisamprāp</t>
  </si>
  <si>
    <t xml:space="preserve">udāp</t>
  </si>
  <si>
    <t xml:space="preserve">abhyāp</t>
  </si>
  <si>
    <t xml:space="preserve">abhiprāp</t>
  </si>
  <si>
    <t xml:space="preserve">anvāp</t>
  </si>
  <si>
    <t xml:space="preserve">pariprāp</t>
  </si>
  <si>
    <t xml:space="preserve">prasamāp</t>
  </si>
  <si>
    <t xml:space="preserve">samabhivyāp</t>
  </si>
  <si>
    <t xml:space="preserve">samāvāp</t>
  </si>
  <si>
    <t xml:space="preserve">saṁvyāp</t>
  </si>
  <si>
    <t xml:space="preserve">udavāp</t>
  </si>
  <si>
    <t xml:space="preserve">pratyāp</t>
  </si>
  <si>
    <t xml:space="preserve">pratyavāp</t>
  </si>
  <si>
    <t xml:space="preserve">samparyāp</t>
  </si>
  <si>
    <t xml:space="preserve">upaprāp</t>
  </si>
  <si>
    <t xml:space="preserve">tap</t>
  </si>
  <si>
    <t xml:space="preserve">saṁtap</t>
  </si>
  <si>
    <t xml:space="preserve">abhitap</t>
  </si>
  <si>
    <t xml:space="preserve">pratap</t>
  </si>
  <si>
    <t xml:space="preserve">paritap</t>
  </si>
  <si>
    <t xml:space="preserve">anutap</t>
  </si>
  <si>
    <t xml:space="preserve">abhisaṁtap</t>
  </si>
  <si>
    <t xml:space="preserve">upatap</t>
  </si>
  <si>
    <t xml:space="preserve">uttap</t>
  </si>
  <si>
    <t xml:space="preserve">niṣṭap</t>
  </si>
  <si>
    <t xml:space="preserve">ātap</t>
  </si>
  <si>
    <t xml:space="preserve">pratitap</t>
  </si>
  <si>
    <t xml:space="preserve">abhipratap</t>
  </si>
  <si>
    <t xml:space="preserve">atitap</t>
  </si>
  <si>
    <t xml:space="preserve">avatap</t>
  </si>
  <si>
    <t xml:space="preserve">parisaṁtap</t>
  </si>
  <si>
    <t xml:space="preserve">samanutap</t>
  </si>
  <si>
    <t xml:space="preserve">samupatap</t>
  </si>
  <si>
    <t xml:space="preserve">nitap</t>
  </si>
  <si>
    <t xml:space="preserve">saṁparitap</t>
  </si>
  <si>
    <t xml:space="preserve">saṁpratap</t>
  </si>
  <si>
    <t xml:space="preserve">vitap</t>
  </si>
  <si>
    <t xml:space="preserve">viparitap</t>
  </si>
  <si>
    <t xml:space="preserve">abhyātap</t>
  </si>
  <si>
    <t xml:space="preserve">pratyanutap</t>
  </si>
  <si>
    <t xml:space="preserve">rakṣ</t>
  </si>
  <si>
    <t xml:space="preserve">parirakṣ</t>
  </si>
  <si>
    <t xml:space="preserve">abhirakṣ</t>
  </si>
  <si>
    <t xml:space="preserve">saṁrakṣ</t>
  </si>
  <si>
    <t xml:space="preserve">anurakṣ</t>
  </si>
  <si>
    <t xml:space="preserve">ārakṣ</t>
  </si>
  <si>
    <t xml:space="preserve">samanurakṣ</t>
  </si>
  <si>
    <t xml:space="preserve">prarakṣ</t>
  </si>
  <si>
    <t xml:space="preserve">pratirakṣ</t>
  </si>
  <si>
    <t xml:space="preserve">virakṣ</t>
  </si>
  <si>
    <t xml:space="preserve">samparirakṣ</t>
  </si>
  <si>
    <t xml:space="preserve">hu</t>
  </si>
  <si>
    <t xml:space="preserve">āhu</t>
  </si>
  <si>
    <t xml:space="preserve">abhihu</t>
  </si>
  <si>
    <t xml:space="preserve">prahu</t>
  </si>
  <si>
    <t xml:space="preserve">upahu</t>
  </si>
  <si>
    <t xml:space="preserve">apahu</t>
  </si>
  <si>
    <t xml:space="preserve">nirhu</t>
  </si>
  <si>
    <t xml:space="preserve">pratihu</t>
  </si>
  <si>
    <t xml:space="preserve">adhihu</t>
  </si>
  <si>
    <t xml:space="preserve">avahu</t>
  </si>
  <si>
    <t xml:space="preserve">saṁhu</t>
  </si>
  <si>
    <t xml:space="preserve">sidh</t>
  </si>
  <si>
    <t xml:space="preserve">prasidh</t>
  </si>
  <si>
    <t xml:space="preserve">pratiṣidh</t>
  </si>
  <si>
    <t xml:space="preserve">saṁsidh</t>
  </si>
  <si>
    <t xml:space="preserve">niṣidh</t>
  </si>
  <si>
    <t xml:space="preserve">apasidh</t>
  </si>
  <si>
    <t xml:space="preserve">abhisidh</t>
  </si>
  <si>
    <t xml:space="preserve">āsidh</t>
  </si>
  <si>
    <t xml:space="preserve">vipratiṣidh</t>
  </si>
  <si>
    <t xml:space="preserve">abhiṣidh</t>
  </si>
  <si>
    <t xml:space="preserve">anusidh</t>
  </si>
  <si>
    <t xml:space="preserve">saṁprasidh</t>
  </si>
  <si>
    <t xml:space="preserve">sampratiṣidh</t>
  </si>
  <si>
    <t xml:space="preserve">upasidh</t>
  </si>
  <si>
    <t xml:space="preserve">utsidh</t>
  </si>
  <si>
    <t xml:space="preserve">vyāsidh</t>
  </si>
  <si>
    <t xml:space="preserve">avasidh</t>
  </si>
  <si>
    <t xml:space="preserve">niḥṣidh</t>
  </si>
  <si>
    <t xml:space="preserve">nī</t>
  </si>
  <si>
    <t xml:space="preserve">ānī</t>
  </si>
  <si>
    <t xml:space="preserve">vinī</t>
  </si>
  <si>
    <t xml:space="preserve">praṇī</t>
  </si>
  <si>
    <t xml:space="preserve">upanī</t>
  </si>
  <si>
    <t xml:space="preserve">apanī</t>
  </si>
  <si>
    <t xml:space="preserve">samānī</t>
  </si>
  <si>
    <t xml:space="preserve">anunī</t>
  </si>
  <si>
    <t xml:space="preserve">pariṇī</t>
  </si>
  <si>
    <t xml:space="preserve">unnī</t>
  </si>
  <si>
    <t xml:space="preserve">samudānī</t>
  </si>
  <si>
    <t xml:space="preserve">vyapanī</t>
  </si>
  <si>
    <t xml:space="preserve">nirṇī</t>
  </si>
  <si>
    <t xml:space="preserve">avanī</t>
  </si>
  <si>
    <t xml:space="preserve">ninī</t>
  </si>
  <si>
    <t xml:space="preserve">abhinī</t>
  </si>
  <si>
    <t xml:space="preserve">saṁnī</t>
  </si>
  <si>
    <t xml:space="preserve">upānī</t>
  </si>
  <si>
    <t xml:space="preserve">udānī</t>
  </si>
  <si>
    <t xml:space="preserve">abhivinī</t>
  </si>
  <si>
    <t xml:space="preserve">pratyānī</t>
  </si>
  <si>
    <t xml:space="preserve">samupānī</t>
  </si>
  <si>
    <t xml:space="preserve">atinī</t>
  </si>
  <si>
    <t xml:space="preserve">pratinī</t>
  </si>
  <si>
    <t xml:space="preserve">samunnī</t>
  </si>
  <si>
    <t xml:space="preserve">samupanī</t>
  </si>
  <si>
    <t xml:space="preserve">sampraṇī</t>
  </si>
  <si>
    <t xml:space="preserve">pratisamānī</t>
  </si>
  <si>
    <t xml:space="preserve">pratyanunī</t>
  </si>
  <si>
    <t xml:space="preserve">samavanī</t>
  </si>
  <si>
    <t xml:space="preserve">apinī</t>
  </si>
  <si>
    <t xml:space="preserve">anvānī</t>
  </si>
  <si>
    <t xml:space="preserve">paryāṇī</t>
  </si>
  <si>
    <t xml:space="preserve">prāṇī</t>
  </si>
  <si>
    <t xml:space="preserve">samavaninī</t>
  </si>
  <si>
    <t xml:space="preserve">upaninī</t>
  </si>
  <si>
    <t xml:space="preserve">vinirṇī</t>
  </si>
  <si>
    <t xml:space="preserve">vipraṇī</t>
  </si>
  <si>
    <t xml:space="preserve">abhisaṁnī</t>
  </si>
  <si>
    <t xml:space="preserve">abhyānī</t>
  </si>
  <si>
    <t xml:space="preserve">abhyanunī</t>
  </si>
  <si>
    <t xml:space="preserve">abhyavanī</t>
  </si>
  <si>
    <t xml:space="preserve">abhyudānī</t>
  </si>
  <si>
    <t xml:space="preserve">abhyunnī</t>
  </si>
  <si>
    <t xml:space="preserve">anuvinī</t>
  </si>
  <si>
    <t xml:space="preserve">apānī</t>
  </si>
  <si>
    <t xml:space="preserve">nyānī</t>
  </si>
  <si>
    <t xml:space="preserve">paryanunī</t>
  </si>
  <si>
    <t xml:space="preserve">prativinī</t>
  </si>
  <si>
    <t xml:space="preserve">pratyupānī</t>
  </si>
  <si>
    <t xml:space="preserve">pronnī</t>
  </si>
  <si>
    <t xml:space="preserve">upānvānī</t>
  </si>
  <si>
    <t xml:space="preserve">vyānī</t>
  </si>
  <si>
    <t xml:space="preserve">abhininī</t>
  </si>
  <si>
    <t xml:space="preserve">abhipraṇī</t>
  </si>
  <si>
    <t xml:space="preserve">abhyatinī</t>
  </si>
  <si>
    <t xml:space="preserve">acchānī</t>
  </si>
  <si>
    <t xml:space="preserve">anūnnī</t>
  </si>
  <si>
    <t xml:space="preserve">anupariṇī</t>
  </si>
  <si>
    <t xml:space="preserve">atipraṇī</t>
  </si>
  <si>
    <t xml:space="preserve">adhinī</t>
  </si>
  <si>
    <t xml:space="preserve">avaninī</t>
  </si>
  <si>
    <t xml:space="preserve">parāṇī</t>
  </si>
  <si>
    <t xml:space="preserve">paripraṇī</t>
  </si>
  <si>
    <t xml:space="preserve">pinī</t>
  </si>
  <si>
    <t xml:space="preserve">prābhiṇī</t>
  </si>
  <si>
    <t xml:space="preserve">pratiparāṇī</t>
  </si>
  <si>
    <t xml:space="preserve">samabhyānī</t>
  </si>
  <si>
    <t xml:space="preserve">saṁninī</t>
  </si>
  <si>
    <t xml:space="preserve">saṁvinī</t>
  </si>
  <si>
    <t xml:space="preserve">upasaṁparāṇī</t>
  </si>
  <si>
    <t xml:space="preserve">uponnī</t>
  </si>
  <si>
    <t xml:space="preserve">vyatinī</t>
  </si>
  <si>
    <t xml:space="preserve">vyavanī</t>
  </si>
  <si>
    <t xml:space="preserve">vyunnī</t>
  </si>
  <si>
    <t xml:space="preserve">vyupanī</t>
  </si>
  <si>
    <t xml:space="preserve">bhid</t>
  </si>
  <si>
    <t xml:space="preserve">nirbhid</t>
  </si>
  <si>
    <t xml:space="preserve">vibhid</t>
  </si>
  <si>
    <t xml:space="preserve">prabhid</t>
  </si>
  <si>
    <t xml:space="preserve">sambhid</t>
  </si>
  <si>
    <t xml:space="preserve">vinirbhid</t>
  </si>
  <si>
    <t xml:space="preserve">udbhid</t>
  </si>
  <si>
    <t xml:space="preserve">parābhid</t>
  </si>
  <si>
    <t xml:space="preserve">avabhid</t>
  </si>
  <si>
    <t xml:space="preserve">prodbhid</t>
  </si>
  <si>
    <t xml:space="preserve">paribhid</t>
  </si>
  <si>
    <t xml:space="preserve">pratibhid</t>
  </si>
  <si>
    <t xml:space="preserve">abhinirbhid</t>
  </si>
  <si>
    <t xml:space="preserve">nibhid</t>
  </si>
  <si>
    <t xml:space="preserve">samudbhid</t>
  </si>
  <si>
    <t xml:space="preserve">pravibhid</t>
  </si>
  <si>
    <t xml:space="preserve">vyatibhid</t>
  </si>
  <si>
    <t xml:space="preserve">ābhid</t>
  </si>
  <si>
    <t xml:space="preserve">anubhid</t>
  </si>
  <si>
    <t xml:space="preserve">anusambhid</t>
  </si>
  <si>
    <t xml:space="preserve">apabhid</t>
  </si>
  <si>
    <t xml:space="preserve">upaprabhid</t>
  </si>
  <si>
    <t xml:space="preserve">upasaṁbhid</t>
  </si>
  <si>
    <t xml:space="preserve">sṛj</t>
  </si>
  <si>
    <t xml:space="preserve">utsṛj</t>
  </si>
  <si>
    <t xml:space="preserve">visṛj</t>
  </si>
  <si>
    <t xml:space="preserve">saṁsṛj</t>
  </si>
  <si>
    <t xml:space="preserve">samutsṛj</t>
  </si>
  <si>
    <t xml:space="preserve">avasṛj</t>
  </si>
  <si>
    <t xml:space="preserve">upasṛj</t>
  </si>
  <si>
    <t xml:space="preserve">nisṛj</t>
  </si>
  <si>
    <t xml:space="preserve">atisṛj</t>
  </si>
  <si>
    <t xml:space="preserve">prasṛj</t>
  </si>
  <si>
    <t xml:space="preserve">anusṛj</t>
  </si>
  <si>
    <t xml:space="preserve">pratisaṁsṛj</t>
  </si>
  <si>
    <t xml:space="preserve">abhisṛj</t>
  </si>
  <si>
    <t xml:space="preserve">samavasṛj</t>
  </si>
  <si>
    <t xml:space="preserve">abhyatisṛj</t>
  </si>
  <si>
    <t xml:space="preserve">upāvasṛj</t>
  </si>
  <si>
    <t xml:space="preserve">upasaṁsṛj</t>
  </si>
  <si>
    <t xml:space="preserve">vyavasṛj</t>
  </si>
  <si>
    <t xml:space="preserve">abhivisṛj</t>
  </si>
  <si>
    <t xml:space="preserve">saṁnisṛj</t>
  </si>
  <si>
    <t xml:space="preserve">abhyavasṛj</t>
  </si>
  <si>
    <t xml:space="preserve">anvavasṛj</t>
  </si>
  <si>
    <t xml:space="preserve">niḥsṛj</t>
  </si>
  <si>
    <t xml:space="preserve">samāsṛj</t>
  </si>
  <si>
    <t xml:space="preserve">abhyutsṛj</t>
  </si>
  <si>
    <t xml:space="preserve">pratisṛj</t>
  </si>
  <si>
    <t xml:space="preserve">āsṛj</t>
  </si>
  <si>
    <t xml:space="preserve">abhisaṁsṛj</t>
  </si>
  <si>
    <t xml:space="preserve">anusaṁsṛj</t>
  </si>
  <si>
    <t xml:space="preserve">anuvisṛj</t>
  </si>
  <si>
    <t xml:space="preserve">apisṛj</t>
  </si>
  <si>
    <t xml:space="preserve">apotsṛj</t>
  </si>
  <si>
    <t xml:space="preserve">adhisṛj</t>
  </si>
  <si>
    <t xml:space="preserve">niravasṛj</t>
  </si>
  <si>
    <t xml:space="preserve">parāsṛj</t>
  </si>
  <si>
    <t xml:space="preserve">parisaṁsṛj</t>
  </si>
  <si>
    <t xml:space="preserve">pratinisṛj</t>
  </si>
  <si>
    <t xml:space="preserve">pratiniḥsṛj</t>
  </si>
  <si>
    <t xml:space="preserve">prativisṛj</t>
  </si>
  <si>
    <t xml:space="preserve">pravisṛj</t>
  </si>
  <si>
    <t xml:space="preserve">samatisṛj</t>
  </si>
  <si>
    <t xml:space="preserve">saṁprasṛj</t>
  </si>
  <si>
    <t xml:space="preserve">upāsṛj</t>
  </si>
  <si>
    <t xml:space="preserve">viniḥsṛj</t>
  </si>
  <si>
    <t xml:space="preserve">viprasṛj</t>
  </si>
  <si>
    <t xml:space="preserve">vyavāsṛj</t>
  </si>
  <si>
    <t xml:space="preserve">vyutsṛj</t>
  </si>
  <si>
    <t xml:space="preserve">abhiniḥsṛj</t>
  </si>
  <si>
    <t xml:space="preserve">abhyanusṛj</t>
  </si>
  <si>
    <t xml:space="preserve">anūtsṛj</t>
  </si>
  <si>
    <t xml:space="preserve">atyavasṛj</t>
  </si>
  <si>
    <t xml:space="preserve">nyavasṛj</t>
  </si>
  <si>
    <t xml:space="preserve">paryutsṛj</t>
  </si>
  <si>
    <t xml:space="preserve">pratyavasṛj</t>
  </si>
  <si>
    <t xml:space="preserve">protsṛj</t>
  </si>
  <si>
    <t xml:space="preserve">saṁvisṛj</t>
  </si>
  <si>
    <t xml:space="preserve">udvisṛj</t>
  </si>
  <si>
    <t xml:space="preserve">vyapasṛj</t>
  </si>
  <si>
    <t xml:space="preserve">chid</t>
  </si>
  <si>
    <t xml:space="preserve">vicchid</t>
  </si>
  <si>
    <t xml:space="preserve">ācchid</t>
  </si>
  <si>
    <t xml:space="preserve">saṁchid</t>
  </si>
  <si>
    <t xml:space="preserve">ucchid</t>
  </si>
  <si>
    <t xml:space="preserve">avacchid</t>
  </si>
  <si>
    <t xml:space="preserve">paricchid</t>
  </si>
  <si>
    <t xml:space="preserve">pracchid</t>
  </si>
  <si>
    <t xml:space="preserve">samucchid</t>
  </si>
  <si>
    <t xml:space="preserve">vyavacchid</t>
  </si>
  <si>
    <t xml:space="preserve">vyucchid</t>
  </si>
  <si>
    <t xml:space="preserve">samācchid</t>
  </si>
  <si>
    <t xml:space="preserve">anucchid</t>
  </si>
  <si>
    <t xml:space="preserve">apacchid</t>
  </si>
  <si>
    <t xml:space="preserve">paryavacchid</t>
  </si>
  <si>
    <t xml:space="preserve">praticchid</t>
  </si>
  <si>
    <t xml:space="preserve">upacchid</t>
  </si>
  <si>
    <t xml:space="preserve">viparicchid</t>
  </si>
  <si>
    <t xml:space="preserve">antaśchid</t>
  </si>
  <si>
    <t xml:space="preserve">avāchid</t>
  </si>
  <si>
    <t xml:space="preserve">avapracchid</t>
  </si>
  <si>
    <t xml:space="preserve">samapacchid</t>
  </si>
  <si>
    <t xml:space="preserve">sampracchid</t>
  </si>
  <si>
    <t xml:space="preserve">pac</t>
  </si>
  <si>
    <t xml:space="preserve">vipac</t>
  </si>
  <si>
    <t xml:space="preserve">prapac</t>
  </si>
  <si>
    <t xml:space="preserve">paripac</t>
  </si>
  <si>
    <t xml:space="preserve">saṁpac</t>
  </si>
  <si>
    <t xml:space="preserve">abhipac</t>
  </si>
  <si>
    <t xml:space="preserve">abhiprapac</t>
  </si>
  <si>
    <t xml:space="preserve">samprapac</t>
  </si>
  <si>
    <t xml:space="preserve">abhisampac</t>
  </si>
  <si>
    <t xml:space="preserve">anupac</t>
  </si>
  <si>
    <t xml:space="preserve">jīv</t>
  </si>
  <si>
    <t xml:space="preserve">upajīv</t>
  </si>
  <si>
    <t xml:space="preserve">anujīv</t>
  </si>
  <si>
    <t xml:space="preserve">saṁjīv</t>
  </si>
  <si>
    <t xml:space="preserve">ājīv</t>
  </si>
  <si>
    <t xml:space="preserve">atijīv</t>
  </si>
  <si>
    <t xml:space="preserve">pratyujjīv</t>
  </si>
  <si>
    <t xml:space="preserve">abhyujjīv</t>
  </si>
  <si>
    <t xml:space="preserve">prajīv</t>
  </si>
  <si>
    <t xml:space="preserve">ujjīv</t>
  </si>
  <si>
    <t xml:space="preserve">vijīv</t>
  </si>
  <si>
    <t xml:space="preserve">yaj</t>
  </si>
  <si>
    <t xml:space="preserve">āyaj</t>
  </si>
  <si>
    <t xml:space="preserve">saṁyaj</t>
  </si>
  <si>
    <t xml:space="preserve">abhiyaj</t>
  </si>
  <si>
    <t xml:space="preserve">avayaj</t>
  </si>
  <si>
    <t xml:space="preserve">pariyaj</t>
  </si>
  <si>
    <t xml:space="preserve">atiyaj</t>
  </si>
  <si>
    <t xml:space="preserve">prayaj</t>
  </si>
  <si>
    <t xml:space="preserve">anuyaj</t>
  </si>
  <si>
    <t xml:space="preserve">apayaj</t>
  </si>
  <si>
    <t xml:space="preserve">atyupayaj</t>
  </si>
  <si>
    <t xml:space="preserve">niravayaj</t>
  </si>
  <si>
    <t xml:space="preserve">pratiyaj</t>
  </si>
  <si>
    <t xml:space="preserve">upayaj</t>
  </si>
  <si>
    <t xml:space="preserve">dah</t>
  </si>
  <si>
    <t xml:space="preserve">nirdah</t>
  </si>
  <si>
    <t xml:space="preserve">pradah</t>
  </si>
  <si>
    <t xml:space="preserve">vidah</t>
  </si>
  <si>
    <t xml:space="preserve">saṁdah</t>
  </si>
  <si>
    <t xml:space="preserve">paridah</t>
  </si>
  <si>
    <t xml:space="preserve">vinirdah</t>
  </si>
  <si>
    <t xml:space="preserve">anudah</t>
  </si>
  <si>
    <t xml:space="preserve">avadah</t>
  </si>
  <si>
    <t xml:space="preserve">pratidah</t>
  </si>
  <si>
    <t xml:space="preserve">sampradah</t>
  </si>
  <si>
    <t xml:space="preserve">upadah</t>
  </si>
  <si>
    <t xml:space="preserve">abhidah</t>
  </si>
  <si>
    <t xml:space="preserve">ādah</t>
  </si>
  <si>
    <t xml:space="preserve">abhyavadah</t>
  </si>
  <si>
    <t xml:space="preserve">apidah</t>
  </si>
  <si>
    <t xml:space="preserve">nidah</t>
  </si>
  <si>
    <t xml:space="preserve">vipradah</t>
  </si>
  <si>
    <t xml:space="preserve">vyatisaṁdah</t>
  </si>
  <si>
    <t xml:space="preserve">anunirdah</t>
  </si>
  <si>
    <t xml:space="preserve">anusaṁdah</t>
  </si>
  <si>
    <t xml:space="preserve">apadah</t>
  </si>
  <si>
    <t xml:space="preserve">atidah</t>
  </si>
  <si>
    <t xml:space="preserve">samparidah</t>
  </si>
  <si>
    <t xml:space="preserve">i</t>
  </si>
  <si>
    <t xml:space="preserve">e</t>
  </si>
  <si>
    <t xml:space="preserve">atī</t>
  </si>
  <si>
    <t xml:space="preserve">udi</t>
  </si>
  <si>
    <t xml:space="preserve">same</t>
  </si>
  <si>
    <t xml:space="preserve">adhī</t>
  </si>
  <si>
    <t xml:space="preserve">pre</t>
  </si>
  <si>
    <t xml:space="preserve">abhye</t>
  </si>
  <si>
    <t xml:space="preserve">ape</t>
  </si>
  <si>
    <t xml:space="preserve">abhī</t>
  </si>
  <si>
    <t xml:space="preserve">sami</t>
  </si>
  <si>
    <t xml:space="preserve">abhyupe</t>
  </si>
  <si>
    <t xml:space="preserve">abhipre</t>
  </si>
  <si>
    <t xml:space="preserve">vyatī</t>
  </si>
  <si>
    <t xml:space="preserve">samave</t>
  </si>
  <si>
    <t xml:space="preserve">anvi</t>
  </si>
  <si>
    <t xml:space="preserve">antari</t>
  </si>
  <si>
    <t xml:space="preserve">pare</t>
  </si>
  <si>
    <t xml:space="preserve">samudi</t>
  </si>
  <si>
    <t xml:space="preserve">vyape</t>
  </si>
  <si>
    <t xml:space="preserve">apī</t>
  </si>
  <si>
    <t xml:space="preserve">samupe</t>
  </si>
  <si>
    <t xml:space="preserve">abhyudi</t>
  </si>
  <si>
    <t xml:space="preserve">samabhye</t>
  </si>
  <si>
    <t xml:space="preserve">samatī</t>
  </si>
  <si>
    <t xml:space="preserve">niri</t>
  </si>
  <si>
    <t xml:space="preserve">pratye</t>
  </si>
  <si>
    <t xml:space="preserve">anvave</t>
  </si>
  <si>
    <t xml:space="preserve">pratyudi</t>
  </si>
  <si>
    <t xml:space="preserve">abhiparī</t>
  </si>
  <si>
    <t xml:space="preserve">ude</t>
  </si>
  <si>
    <t xml:space="preserve">abhyatī</t>
  </si>
  <si>
    <t xml:space="preserve">anuparī</t>
  </si>
  <si>
    <t xml:space="preserve">parye</t>
  </si>
  <si>
    <t xml:space="preserve">upapre</t>
  </si>
  <si>
    <t xml:space="preserve">anupre</t>
  </si>
  <si>
    <t xml:space="preserve">anve</t>
  </si>
  <si>
    <t xml:space="preserve">prādhī</t>
  </si>
  <si>
    <t xml:space="preserve">abhisami</t>
  </si>
  <si>
    <t xml:space="preserve">abhisame</t>
  </si>
  <si>
    <t xml:space="preserve">apodi</t>
  </si>
  <si>
    <t xml:space="preserve">prodi</t>
  </si>
  <si>
    <t xml:space="preserve">samabhī</t>
  </si>
  <si>
    <t xml:space="preserve">nire</t>
  </si>
  <si>
    <t xml:space="preserve">sampre</t>
  </si>
  <si>
    <t xml:space="preserve">saṁpare</t>
  </si>
  <si>
    <t xml:space="preserve">abhyave</t>
  </si>
  <si>
    <t xml:space="preserve">anusami</t>
  </si>
  <si>
    <t xml:space="preserve">paryave</t>
  </si>
  <si>
    <t xml:space="preserve">samadhī</t>
  </si>
  <si>
    <t xml:space="preserve">sampratī</t>
  </si>
  <si>
    <t xml:space="preserve">anūde</t>
  </si>
  <si>
    <t xml:space="preserve">pratyave</t>
  </si>
  <si>
    <t xml:space="preserve">samparī</t>
  </si>
  <si>
    <t xml:space="preserve">upasame</t>
  </si>
  <si>
    <t xml:space="preserve">vipare</t>
  </si>
  <si>
    <t xml:space="preserve">vyave</t>
  </si>
  <si>
    <t xml:space="preserve">abhipratī</t>
  </si>
  <si>
    <t xml:space="preserve">anūdi</t>
  </si>
  <si>
    <t xml:space="preserve">pratyupe</t>
  </si>
  <si>
    <t xml:space="preserve">pravī</t>
  </si>
  <si>
    <t xml:space="preserve">samabhipre</t>
  </si>
  <si>
    <t xml:space="preserve">upode</t>
  </si>
  <si>
    <t xml:space="preserve">viparī</t>
  </si>
  <si>
    <t xml:space="preserve">vipre</t>
  </si>
  <si>
    <t xml:space="preserve">anuparye</t>
  </si>
  <si>
    <t xml:space="preserve">apātī</t>
  </si>
  <si>
    <t xml:space="preserve">ave</t>
  </si>
  <si>
    <t xml:space="preserve">nye</t>
  </si>
  <si>
    <t xml:space="preserve">paripre</t>
  </si>
  <si>
    <t xml:space="preserve">paryupe</t>
  </si>
  <si>
    <t xml:space="preserve">pratiparī</t>
  </si>
  <si>
    <t xml:space="preserve">samanvi</t>
  </si>
  <si>
    <t xml:space="preserve">upe</t>
  </si>
  <si>
    <t xml:space="preserve">upasami</t>
  </si>
  <si>
    <t xml:space="preserve">upāve</t>
  </si>
  <si>
    <t xml:space="preserve">vyatisami</t>
  </si>
  <si>
    <t xml:space="preserve">abhipare</t>
  </si>
  <si>
    <t xml:space="preserve">abhipratye</t>
  </si>
  <si>
    <t xml:space="preserve">abhipratyave</t>
  </si>
  <si>
    <t xml:space="preserve">abhyude</t>
  </si>
  <si>
    <t xml:space="preserve">acchāi</t>
  </si>
  <si>
    <t xml:space="preserve">anupare</t>
  </si>
  <si>
    <t xml:space="preserve">anuvī</t>
  </si>
  <si>
    <t xml:space="preserve">anuvyave</t>
  </si>
  <si>
    <t xml:space="preserve">anvatī</t>
  </si>
  <si>
    <t xml:space="preserve">apapare</t>
  </si>
  <si>
    <t xml:space="preserve">apapre</t>
  </si>
  <si>
    <t xml:space="preserve">āpratī</t>
  </si>
  <si>
    <t xml:space="preserve">parisame</t>
  </si>
  <si>
    <t xml:space="preserve">pratipare</t>
  </si>
  <si>
    <t xml:space="preserve">prativiparī</t>
  </si>
  <si>
    <t xml:space="preserve">pratyadhī</t>
  </si>
  <si>
    <t xml:space="preserve">samabhyave</t>
  </si>
  <si>
    <t xml:space="preserve">samabhyupe</t>
  </si>
  <si>
    <t xml:space="preserve">udabhī</t>
  </si>
  <si>
    <t xml:space="preserve">upapare</t>
  </si>
  <si>
    <t xml:space="preserve">upātī</t>
  </si>
  <si>
    <t xml:space="preserve">upodi</t>
  </si>
  <si>
    <t xml:space="preserve">viniri</t>
  </si>
  <si>
    <t xml:space="preserve">vyupe</t>
  </si>
  <si>
    <t xml:space="preserve">śudh</t>
  </si>
  <si>
    <t xml:space="preserve">viśudh</t>
  </si>
  <si>
    <t xml:space="preserve">pariśudh</t>
  </si>
  <si>
    <t xml:space="preserve">saṁśudh</t>
  </si>
  <si>
    <t xml:space="preserve">parisaṁśudh</t>
  </si>
  <si>
    <t xml:space="preserve">upaśudh</t>
  </si>
  <si>
    <t xml:space="preserve">abhipraśudh</t>
  </si>
  <si>
    <t xml:space="preserve">arh</t>
  </si>
  <si>
    <t xml:space="preserve">abhyarh</t>
  </si>
  <si>
    <t xml:space="preserve">atyarh</t>
  </si>
  <si>
    <t xml:space="preserve">prārh</t>
  </si>
  <si>
    <t xml:space="preserve">bandh</t>
  </si>
  <si>
    <t xml:space="preserve">nibandh</t>
  </si>
  <si>
    <t xml:space="preserve">sambandh</t>
  </si>
  <si>
    <t xml:space="preserve">ābandh</t>
  </si>
  <si>
    <t xml:space="preserve">anubandh</t>
  </si>
  <si>
    <t xml:space="preserve">pratibandh</t>
  </si>
  <si>
    <t xml:space="preserve">vibandh</t>
  </si>
  <si>
    <t xml:space="preserve">avabandh</t>
  </si>
  <si>
    <t xml:space="preserve">abhisambandh</t>
  </si>
  <si>
    <t xml:space="preserve">udbandh</t>
  </si>
  <si>
    <t xml:space="preserve">nirbandh</t>
  </si>
  <si>
    <t xml:space="preserve">prabandh</t>
  </si>
  <si>
    <t xml:space="preserve">upanibandh</t>
  </si>
  <si>
    <t xml:space="preserve">samanubandh</t>
  </si>
  <si>
    <t xml:space="preserve">paribandh</t>
  </si>
  <si>
    <t xml:space="preserve">vinibandh</t>
  </si>
  <si>
    <t xml:space="preserve">saṁnibandh</t>
  </si>
  <si>
    <t xml:space="preserve">upabandh</t>
  </si>
  <si>
    <t xml:space="preserve">abhibandh</t>
  </si>
  <si>
    <t xml:space="preserve">anusaṁbandh</t>
  </si>
  <si>
    <t xml:space="preserve">pravibandh</t>
  </si>
  <si>
    <t xml:space="preserve">prodbadh</t>
  </si>
  <si>
    <t xml:space="preserve">samābandh</t>
  </si>
  <si>
    <t xml:space="preserve">samudbandh</t>
  </si>
  <si>
    <t xml:space="preserve">vinirbandh</t>
  </si>
  <si>
    <t xml:space="preserve">apibandh</t>
  </si>
  <si>
    <t xml:space="preserve">upasaṁbandh</t>
  </si>
  <si>
    <t xml:space="preserve">vṛt</t>
  </si>
  <si>
    <t xml:space="preserve">pravṛt</t>
  </si>
  <si>
    <t xml:space="preserve">nivṛt</t>
  </si>
  <si>
    <t xml:space="preserve">saṁvṛt</t>
  </si>
  <si>
    <t xml:space="preserve">anuvṛt</t>
  </si>
  <si>
    <t xml:space="preserve">abhivṛt</t>
  </si>
  <si>
    <t xml:space="preserve">parivṛt</t>
  </si>
  <si>
    <t xml:space="preserve">āvṛt</t>
  </si>
  <si>
    <t xml:space="preserve">ativṛt</t>
  </si>
  <si>
    <t xml:space="preserve">vinivṛt</t>
  </si>
  <si>
    <t xml:space="preserve">sampravṛt</t>
  </si>
  <si>
    <t xml:space="preserve">upāvṛt</t>
  </si>
  <si>
    <t xml:space="preserve">vivṛt</t>
  </si>
  <si>
    <t xml:space="preserve">nirvṛt</t>
  </si>
  <si>
    <t xml:space="preserve">saṁnivṛt</t>
  </si>
  <si>
    <t xml:space="preserve">vyāvṛt</t>
  </si>
  <si>
    <t xml:space="preserve">abhinirvṛt</t>
  </si>
  <si>
    <t xml:space="preserve">udvṛt</t>
  </si>
  <si>
    <t xml:space="preserve">parāvṛt</t>
  </si>
  <si>
    <t xml:space="preserve">samāvṛt</t>
  </si>
  <si>
    <t xml:space="preserve">pratinivṛt</t>
  </si>
  <si>
    <t xml:space="preserve">upavṛt</t>
  </si>
  <si>
    <t xml:space="preserve">samparivṛt</t>
  </si>
  <si>
    <t xml:space="preserve">apavṛt</t>
  </si>
  <si>
    <t xml:space="preserve">vyativṛt</t>
  </si>
  <si>
    <t xml:space="preserve">atipravṛt</t>
  </si>
  <si>
    <t xml:space="preserve">abhyāvṛt</t>
  </si>
  <si>
    <t xml:space="preserve">abhipravṛt</t>
  </si>
  <si>
    <t xml:space="preserve">paryāvṛt</t>
  </si>
  <si>
    <t xml:space="preserve">samabhivṛt</t>
  </si>
  <si>
    <t xml:space="preserve">viparivṛt</t>
  </si>
  <si>
    <t xml:space="preserve">samanuvṛt</t>
  </si>
  <si>
    <t xml:space="preserve">vinirvṛt</t>
  </si>
  <si>
    <t xml:space="preserve">abhisamāvṛt</t>
  </si>
  <si>
    <t xml:space="preserve">anvāvṛt</t>
  </si>
  <si>
    <t xml:space="preserve">pratyāvṛt</t>
  </si>
  <si>
    <t xml:space="preserve">abhinivṛt</t>
  </si>
  <si>
    <t xml:space="preserve">anuparyāvṛt</t>
  </si>
  <si>
    <t xml:space="preserve">anupravṛt</t>
  </si>
  <si>
    <t xml:space="preserve">apāvṛt</t>
  </si>
  <si>
    <t xml:space="preserve">pratyudāvṛt</t>
  </si>
  <si>
    <t xml:space="preserve">samativṛt</t>
  </si>
  <si>
    <t xml:space="preserve">upanivṛt</t>
  </si>
  <si>
    <t xml:space="preserve">anuparivṛt</t>
  </si>
  <si>
    <t xml:space="preserve">udāvṛt</t>
  </si>
  <si>
    <t xml:space="preserve">abhiparyāvṛt</t>
  </si>
  <si>
    <t xml:space="preserve">abhyativṛt</t>
  </si>
  <si>
    <t xml:space="preserve">abhyupāvṛt</t>
  </si>
  <si>
    <t xml:space="preserve">adhivṛt</t>
  </si>
  <si>
    <t xml:space="preserve">paryupāvṛt</t>
  </si>
  <si>
    <t xml:space="preserve">prativṛt</t>
  </si>
  <si>
    <t xml:space="preserve">pratisaṁnivṛt</t>
  </si>
  <si>
    <t xml:space="preserve">prodvṛt</t>
  </si>
  <si>
    <t xml:space="preserve">samudvṛt</t>
  </si>
  <si>
    <t xml:space="preserve">samupavṛt</t>
  </si>
  <si>
    <t xml:space="preserve">viparyāvṛt</t>
  </si>
  <si>
    <t xml:space="preserve">vyapavṛt</t>
  </si>
  <si>
    <t xml:space="preserve">abhisaṁvṛt</t>
  </si>
  <si>
    <t xml:space="preserve">abhyavavṛt</t>
  </si>
  <si>
    <t xml:space="preserve">abhyupanivṛt</t>
  </si>
  <si>
    <t xml:space="preserve">acchāvṛt</t>
  </si>
  <si>
    <t xml:space="preserve">anuvivṛt</t>
  </si>
  <si>
    <t xml:space="preserve">apaparyāvṛt</t>
  </si>
  <si>
    <t xml:space="preserve">āpratinivṛt</t>
  </si>
  <si>
    <t xml:space="preserve">ativivṛt</t>
  </si>
  <si>
    <t xml:space="preserve">atyudvṛt</t>
  </si>
  <si>
    <t xml:space="preserve">adhisaṁvṛt</t>
  </si>
  <si>
    <t xml:space="preserve">parinivṛt</t>
  </si>
  <si>
    <t xml:space="preserve">pratiparyāvṛt</t>
  </si>
  <si>
    <t xml:space="preserve">samupāvṛt</t>
  </si>
  <si>
    <t xml:space="preserve">upaparyāvṛt</t>
  </si>
  <si>
    <t xml:space="preserve">upasamāvṛt</t>
  </si>
  <si>
    <t xml:space="preserve">tyaj</t>
  </si>
  <si>
    <t xml:space="preserve">parityaj</t>
  </si>
  <si>
    <t xml:space="preserve">saṁtyaj</t>
  </si>
  <si>
    <t xml:space="preserve">samparityaj</t>
  </si>
  <si>
    <t xml:space="preserve">samabhityaj</t>
  </si>
  <si>
    <t xml:space="preserve">abhisaṁtyaj</t>
  </si>
  <si>
    <t xml:space="preserve">abhityaj</t>
  </si>
  <si>
    <t xml:space="preserve">nistyaj</t>
  </si>
  <si>
    <t xml:space="preserve">uttyaj</t>
  </si>
  <si>
    <t xml:space="preserve">bhuj</t>
  </si>
  <si>
    <t xml:space="preserve">upabhuj</t>
  </si>
  <si>
    <t xml:space="preserve">paribhuj</t>
  </si>
  <si>
    <t xml:space="preserve">ābhuj</t>
  </si>
  <si>
    <t xml:space="preserve">nirbhuj</t>
  </si>
  <si>
    <t xml:space="preserve">sambhuj</t>
  </si>
  <si>
    <t xml:space="preserve">vibhuj</t>
  </si>
  <si>
    <t xml:space="preserve">prabhuj</t>
  </si>
  <si>
    <t xml:space="preserve">pratibhuj</t>
  </si>
  <si>
    <t xml:space="preserve">anubhuj</t>
  </si>
  <si>
    <t xml:space="preserve">samupabhuj</t>
  </si>
  <si>
    <t xml:space="preserve">avabhuj</t>
  </si>
  <si>
    <t xml:space="preserve">saṁbhuj</t>
  </si>
  <si>
    <t xml:space="preserve">vinirbhuj</t>
  </si>
  <si>
    <t xml:space="preserve">adhibhuj</t>
  </si>
  <si>
    <t xml:space="preserve">paryupabhuj</t>
  </si>
  <si>
    <t xml:space="preserve">samanubhuj</t>
  </si>
  <si>
    <t xml:space="preserve">nirvibhuj</t>
  </si>
  <si>
    <t xml:space="preserve">pratyavabhuj</t>
  </si>
  <si>
    <t xml:space="preserve">pravibhuj</t>
  </si>
  <si>
    <t xml:space="preserve">abhibhuj</t>
  </si>
  <si>
    <t xml:space="preserve">pratyupabhuj</t>
  </si>
  <si>
    <t xml:space="preserve">samābhuj</t>
  </si>
  <si>
    <t xml:space="preserve">nibhuj</t>
  </si>
  <si>
    <t xml:space="preserve">kṣip</t>
  </si>
  <si>
    <t xml:space="preserve">nikṣip</t>
  </si>
  <si>
    <t xml:space="preserve">vinikṣip</t>
  </si>
  <si>
    <t xml:space="preserve">prakṣip</t>
  </si>
  <si>
    <t xml:space="preserve">ākṣip</t>
  </si>
  <si>
    <t xml:space="preserve">vikṣip</t>
  </si>
  <si>
    <t xml:space="preserve">saṁkṣip</t>
  </si>
  <si>
    <t xml:space="preserve">utkṣip</t>
  </si>
  <si>
    <t xml:space="preserve">parikṣip</t>
  </si>
  <si>
    <t xml:space="preserve">samutkṣip</t>
  </si>
  <si>
    <t xml:space="preserve">niḥkṣip</t>
  </si>
  <si>
    <t xml:space="preserve">samākṣip</t>
  </si>
  <si>
    <t xml:space="preserve">vyākṣip</t>
  </si>
  <si>
    <t xml:space="preserve">pratikṣip</t>
  </si>
  <si>
    <t xml:space="preserve">adhikṣip</t>
  </si>
  <si>
    <t xml:space="preserve">avakṣip</t>
  </si>
  <si>
    <t xml:space="preserve">abhisaṁkṣip</t>
  </si>
  <si>
    <t xml:space="preserve">viniḥkṣip</t>
  </si>
  <si>
    <t xml:space="preserve">upakṣip</t>
  </si>
  <si>
    <t xml:space="preserve">abhikṣip</t>
  </si>
  <si>
    <t xml:space="preserve">upanikṣip</t>
  </si>
  <si>
    <t xml:space="preserve">abhyutkṣip</t>
  </si>
  <si>
    <t xml:space="preserve">apakṣip</t>
  </si>
  <si>
    <t xml:space="preserve">samprakṣip</t>
  </si>
  <si>
    <t xml:space="preserve">atikṣip</t>
  </si>
  <si>
    <t xml:space="preserve">adhivikṣip</t>
  </si>
  <si>
    <t xml:space="preserve">avākṣip</t>
  </si>
  <si>
    <t xml:space="preserve">protkṣip</t>
  </si>
  <si>
    <t xml:space="preserve">saṁparikṣip</t>
  </si>
  <si>
    <t xml:space="preserve">abhivikṣip</t>
  </si>
  <si>
    <t xml:space="preserve">parisaṁkṣip</t>
  </si>
  <si>
    <t xml:space="preserve">paryākṣip</t>
  </si>
  <si>
    <t xml:space="preserve">pratinikṣip</t>
  </si>
  <si>
    <t xml:space="preserve">samavakṣip</t>
  </si>
  <si>
    <t xml:space="preserve">samavākṣip</t>
  </si>
  <si>
    <t xml:space="preserve">saṁnikṣip</t>
  </si>
  <si>
    <t xml:space="preserve">upasaṁkṣip</t>
  </si>
  <si>
    <t xml:space="preserve">vyatikṣip</t>
  </si>
  <si>
    <t xml:space="preserve">parākṣip</t>
  </si>
  <si>
    <t xml:space="preserve">pracch</t>
  </si>
  <si>
    <t xml:space="preserve">paripracch</t>
  </si>
  <si>
    <t xml:space="preserve">āpracch</t>
  </si>
  <si>
    <t xml:space="preserve">anuprach</t>
  </si>
  <si>
    <t xml:space="preserve">sampracch</t>
  </si>
  <si>
    <t xml:space="preserve">abhiprach</t>
  </si>
  <si>
    <t xml:space="preserve">pratipracch</t>
  </si>
  <si>
    <t xml:space="preserve">vipracch</t>
  </si>
  <si>
    <t xml:space="preserve">atiprach</t>
  </si>
  <si>
    <t xml:space="preserve">samanupracch</t>
  </si>
  <si>
    <t xml:space="preserve">upapracch</t>
  </si>
  <si>
    <t xml:space="preserve">upasaṁprach</t>
  </si>
  <si>
    <t xml:space="preserve">samāpracch</t>
  </si>
  <si>
    <t xml:space="preserve">saṁparipracch</t>
  </si>
  <si>
    <t xml:space="preserve">abhyanuprach</t>
  </si>
  <si>
    <t xml:space="preserve">upāprach</t>
  </si>
  <si>
    <t xml:space="preserve">pat</t>
  </si>
  <si>
    <t xml:space="preserve">nipat</t>
  </si>
  <si>
    <t xml:space="preserve">āpat</t>
  </si>
  <si>
    <t xml:space="preserve">utpat</t>
  </si>
  <si>
    <t xml:space="preserve">praṇipat</t>
  </si>
  <si>
    <t xml:space="preserve">abhipat</t>
  </si>
  <si>
    <t xml:space="preserve">prapat</t>
  </si>
  <si>
    <t xml:space="preserve">sampat</t>
  </si>
  <si>
    <t xml:space="preserve">niṣpat</t>
  </si>
  <si>
    <t xml:space="preserve">samutpat</t>
  </si>
  <si>
    <t xml:space="preserve">saṁnipat</t>
  </si>
  <si>
    <t xml:space="preserve">paripat</t>
  </si>
  <si>
    <t xml:space="preserve">samāpat</t>
  </si>
  <si>
    <t xml:space="preserve">viniṣpat</t>
  </si>
  <si>
    <t xml:space="preserve">vipat</t>
  </si>
  <si>
    <t xml:space="preserve">avapat</t>
  </si>
  <si>
    <t xml:space="preserve">anupat</t>
  </si>
  <si>
    <t xml:space="preserve">parāpat</t>
  </si>
  <si>
    <t xml:space="preserve">atipat</t>
  </si>
  <si>
    <t xml:space="preserve">vinipat</t>
  </si>
  <si>
    <t xml:space="preserve">abhyāpat</t>
  </si>
  <si>
    <t xml:space="preserve">abhyutpat</t>
  </si>
  <si>
    <t xml:space="preserve">abhisampat</t>
  </si>
  <si>
    <t xml:space="preserve">abhiniṣpat</t>
  </si>
  <si>
    <t xml:space="preserve">abhyavapat</t>
  </si>
  <si>
    <t xml:space="preserve">anūtpat</t>
  </si>
  <si>
    <t xml:space="preserve">upanipat</t>
  </si>
  <si>
    <t xml:space="preserve">abhinipat</t>
  </si>
  <si>
    <t xml:space="preserve">anuparāpat</t>
  </si>
  <si>
    <t xml:space="preserve">parisaṁpat</t>
  </si>
  <si>
    <t xml:space="preserve">paryāpat</t>
  </si>
  <si>
    <t xml:space="preserve">pratipat</t>
  </si>
  <si>
    <t xml:space="preserve">upapat</t>
  </si>
  <si>
    <t xml:space="preserve">utprapat</t>
  </si>
  <si>
    <t xml:space="preserve">viparipat</t>
  </si>
  <si>
    <t xml:space="preserve">vyāpat</t>
  </si>
  <si>
    <t xml:space="preserve">vyapapat</t>
  </si>
  <si>
    <t xml:space="preserve">acchāpat</t>
  </si>
  <si>
    <t xml:space="preserve">anuprapat</t>
  </si>
  <si>
    <t xml:space="preserve">protpat</t>
  </si>
  <si>
    <t xml:space="preserve">samabhipat</t>
  </si>
  <si>
    <t xml:space="preserve">upāpat</t>
  </si>
  <si>
    <t xml:space="preserve">pūjay</t>
  </si>
  <si>
    <t xml:space="preserve">sampūjay</t>
  </si>
  <si>
    <t xml:space="preserve">abhipūjay</t>
  </si>
  <si>
    <t xml:space="preserve">pratipūjay</t>
  </si>
  <si>
    <t xml:space="preserve">prapūjay</t>
  </si>
  <si>
    <t xml:space="preserve">paripūjay</t>
  </si>
  <si>
    <t xml:space="preserve">abhisampūjay</t>
  </si>
  <si>
    <t xml:space="preserve">samabhipūjay</t>
  </si>
  <si>
    <t xml:space="preserve">sampratipūjay</t>
  </si>
  <si>
    <t xml:space="preserve">anupūjay</t>
  </si>
  <si>
    <t xml:space="preserve">samparipūjay</t>
  </si>
  <si>
    <t xml:space="preserve">samprapūjay</t>
  </si>
  <si>
    <t xml:space="preserve">supūjay</t>
  </si>
  <si>
    <t xml:space="preserve">āpūjay</t>
  </si>
  <si>
    <t xml:space="preserve">abhiprapūjay</t>
  </si>
  <si>
    <t xml:space="preserve">vad</t>
  </si>
  <si>
    <t xml:space="preserve">pravad</t>
  </si>
  <si>
    <t xml:space="preserve">abhivad</t>
  </si>
  <si>
    <t xml:space="preserve">vivad</t>
  </si>
  <si>
    <t xml:space="preserve">saṁvad</t>
  </si>
  <si>
    <t xml:space="preserve">anuvad</t>
  </si>
  <si>
    <t xml:space="preserve">ativad</t>
  </si>
  <si>
    <t xml:space="preserve">parivad</t>
  </si>
  <si>
    <t xml:space="preserve">upavad</t>
  </si>
  <si>
    <t xml:space="preserve">apavad</t>
  </si>
  <si>
    <t xml:space="preserve">prativad</t>
  </si>
  <si>
    <t xml:space="preserve">avavad</t>
  </si>
  <si>
    <t xml:space="preserve">āvad</t>
  </si>
  <si>
    <t xml:space="preserve">acchāvad</t>
  </si>
  <si>
    <t xml:space="preserve">vyavavad</t>
  </si>
  <si>
    <t xml:space="preserve">nirvad</t>
  </si>
  <si>
    <t xml:space="preserve">abhyativad</t>
  </si>
  <si>
    <t xml:space="preserve">visaṁvad</t>
  </si>
  <si>
    <t xml:space="preserve">anupravad</t>
  </si>
  <si>
    <t xml:space="preserve">abhinirvad</t>
  </si>
  <si>
    <t xml:space="preserve">nivad</t>
  </si>
  <si>
    <t xml:space="preserve">pratyabhivad</t>
  </si>
  <si>
    <t xml:space="preserve">pratyupavad</t>
  </si>
  <si>
    <t xml:space="preserve">sampravad</t>
  </si>
  <si>
    <t xml:space="preserve">saṁvivad</t>
  </si>
  <si>
    <t xml:space="preserve">upapravad</t>
  </si>
  <si>
    <t xml:space="preserve">udvad</t>
  </si>
  <si>
    <t xml:space="preserve">vipravad</t>
  </si>
  <si>
    <t xml:space="preserve">abhiparāvad</t>
  </si>
  <si>
    <t xml:space="preserve">abhyanuvad</t>
  </si>
  <si>
    <t xml:space="preserve">adhivad</t>
  </si>
  <si>
    <t xml:space="preserve">parāvad</t>
  </si>
  <si>
    <t xml:space="preserve">parisaṁvad</t>
  </si>
  <si>
    <t xml:space="preserve">pratisaṁvad</t>
  </si>
  <si>
    <t xml:space="preserve">samāvad</t>
  </si>
  <si>
    <t xml:space="preserve">car</t>
  </si>
  <si>
    <t xml:space="preserve">ācar</t>
  </si>
  <si>
    <t xml:space="preserve">vicar</t>
  </si>
  <si>
    <t xml:space="preserve">samācar</t>
  </si>
  <si>
    <t xml:space="preserve">upacar</t>
  </si>
  <si>
    <t xml:space="preserve">paricar</t>
  </si>
  <si>
    <t xml:space="preserve">saṁcar</t>
  </si>
  <si>
    <t xml:space="preserve">upācar</t>
  </si>
  <si>
    <t xml:space="preserve">pracar</t>
  </si>
  <si>
    <t xml:space="preserve">anucar</t>
  </si>
  <si>
    <t xml:space="preserve">uccar</t>
  </si>
  <si>
    <t xml:space="preserve">niścar</t>
  </si>
  <si>
    <t xml:space="preserve">samupācar</t>
  </si>
  <si>
    <t xml:space="preserve">abhicar</t>
  </si>
  <si>
    <t xml:space="preserve">samuccar</t>
  </si>
  <si>
    <t xml:space="preserve">anusaṁcar</t>
  </si>
  <si>
    <t xml:space="preserve">avacar</t>
  </si>
  <si>
    <t xml:space="preserve">vyabhicar</t>
  </si>
  <si>
    <t xml:space="preserve">pravicar</t>
  </si>
  <si>
    <t xml:space="preserve">vyuccar</t>
  </si>
  <si>
    <t xml:space="preserve">aticar</t>
  </si>
  <si>
    <t xml:space="preserve">viniścar</t>
  </si>
  <si>
    <t xml:space="preserve">anuvicar</t>
  </si>
  <si>
    <t xml:space="preserve">samudācar</t>
  </si>
  <si>
    <t xml:space="preserve">apacar</t>
  </si>
  <si>
    <t xml:space="preserve">udācar</t>
  </si>
  <si>
    <t xml:space="preserve">adhicar</t>
  </si>
  <si>
    <t xml:space="preserve">proccar</t>
  </si>
  <si>
    <t xml:space="preserve">sampracar</t>
  </si>
  <si>
    <t xml:space="preserve">adhyācar</t>
  </si>
  <si>
    <t xml:space="preserve">praticar</t>
  </si>
  <si>
    <t xml:space="preserve">abhisaṁcar</t>
  </si>
  <si>
    <t xml:space="preserve">abhivicar</t>
  </si>
  <si>
    <t xml:space="preserve">abhyācar</t>
  </si>
  <si>
    <t xml:space="preserve">anupracar</t>
  </si>
  <si>
    <t xml:space="preserve">anusamācar</t>
  </si>
  <si>
    <t xml:space="preserve">pratisaṁcar</t>
  </si>
  <si>
    <t xml:space="preserve">pratyācar</t>
  </si>
  <si>
    <t xml:space="preserve">saṁvicar</t>
  </si>
  <si>
    <t xml:space="preserve">vyācar</t>
  </si>
  <si>
    <t xml:space="preserve">vyapacar</t>
  </si>
  <si>
    <t xml:space="preserve">abhyavacar</t>
  </si>
  <si>
    <t xml:space="preserve">abhyuccar</t>
  </si>
  <si>
    <t xml:space="preserve">acchācar</t>
  </si>
  <si>
    <t xml:space="preserve">antaścar</t>
  </si>
  <si>
    <t xml:space="preserve">anusaṁvicar</t>
  </si>
  <si>
    <t xml:space="preserve">anuvyuccar</t>
  </si>
  <si>
    <t xml:space="preserve">anvācar</t>
  </si>
  <si>
    <t xml:space="preserve">anvavacar</t>
  </si>
  <si>
    <t xml:space="preserve">nyavacar</t>
  </si>
  <si>
    <t xml:space="preserve">parācar</t>
  </si>
  <si>
    <t xml:space="preserve">parivicar</t>
  </si>
  <si>
    <t xml:space="preserve">paryācar</t>
  </si>
  <si>
    <t xml:space="preserve">pratyabhicar</t>
  </si>
  <si>
    <t xml:space="preserve">samparicar</t>
  </si>
  <si>
    <t xml:space="preserve">upanyācar</t>
  </si>
  <si>
    <t xml:space="preserve">upasaṁcar</t>
  </si>
  <si>
    <t xml:space="preserve">vyaticar</t>
  </si>
  <si>
    <t xml:space="preserve">paś</t>
  </si>
  <si>
    <t xml:space="preserve">prapaś</t>
  </si>
  <si>
    <t xml:space="preserve">anupaś</t>
  </si>
  <si>
    <t xml:space="preserve">saṁpaś</t>
  </si>
  <si>
    <t xml:space="preserve">samanupaś</t>
  </si>
  <si>
    <t xml:space="preserve">vipaś</t>
  </si>
  <si>
    <t xml:space="preserve">abhipaś</t>
  </si>
  <si>
    <t xml:space="preserve">pratipaś</t>
  </si>
  <si>
    <t xml:space="preserve">utpaś</t>
  </si>
  <si>
    <t xml:space="preserve">paripaś</t>
  </si>
  <si>
    <t xml:space="preserve">avapaś</t>
  </si>
  <si>
    <t xml:space="preserve">anuvipaś</t>
  </si>
  <si>
    <t xml:space="preserve">prativipaś</t>
  </si>
  <si>
    <t xml:space="preserve">saṁprapaś</t>
  </si>
  <si>
    <t xml:space="preserve">saṁpratipaś</t>
  </si>
  <si>
    <t xml:space="preserve">āpaś</t>
  </si>
  <si>
    <t xml:space="preserve">abhiprapaś</t>
  </si>
  <si>
    <t xml:space="preserve">abhivipaś</t>
  </si>
  <si>
    <t xml:space="preserve">antaḥpaś</t>
  </si>
  <si>
    <t xml:space="preserve">atipaś</t>
  </si>
  <si>
    <t xml:space="preserve">parāpaś</t>
  </si>
  <si>
    <t xml:space="preserve">labh</t>
  </si>
  <si>
    <t xml:space="preserve">upalabh</t>
  </si>
  <si>
    <t xml:space="preserve">ālabh</t>
  </si>
  <si>
    <t xml:space="preserve">pratilabh</t>
  </si>
  <si>
    <t xml:space="preserve">upālabh</t>
  </si>
  <si>
    <t xml:space="preserve">vipralabh</t>
  </si>
  <si>
    <t xml:space="preserve">samālabh</t>
  </si>
  <si>
    <t xml:space="preserve">pralabh</t>
  </si>
  <si>
    <t xml:space="preserve">samupalabh</t>
  </si>
  <si>
    <t xml:space="preserve">anvālabh</t>
  </si>
  <si>
    <t xml:space="preserve">abhilabh</t>
  </si>
  <si>
    <t xml:space="preserve">prālabh</t>
  </si>
  <si>
    <t xml:space="preserve">saṁlabh</t>
  </si>
  <si>
    <t xml:space="preserve">abhyālabh</t>
  </si>
  <si>
    <t xml:space="preserve">paryālabh</t>
  </si>
  <si>
    <t xml:space="preserve">vilabh</t>
  </si>
  <si>
    <t xml:space="preserve">anulabh</t>
  </si>
  <si>
    <t xml:space="preserve">parilabh</t>
  </si>
  <si>
    <t xml:space="preserve">pratyālabh</t>
  </si>
  <si>
    <t xml:space="preserve">pravilabh</t>
  </si>
  <si>
    <t xml:space="preserve">muc</t>
  </si>
  <si>
    <t xml:space="preserve">vimuc</t>
  </si>
  <si>
    <t xml:space="preserve">pramuc</t>
  </si>
  <si>
    <t xml:space="preserve">nirmuc</t>
  </si>
  <si>
    <t xml:space="preserve">vinirmuc</t>
  </si>
  <si>
    <t xml:space="preserve">adhimuc</t>
  </si>
  <si>
    <t xml:space="preserve">pratimuc</t>
  </si>
  <si>
    <t xml:space="preserve">parimuc</t>
  </si>
  <si>
    <t xml:space="preserve">vipramuc</t>
  </si>
  <si>
    <t xml:space="preserve">āmuc</t>
  </si>
  <si>
    <t xml:space="preserve">unmuc</t>
  </si>
  <si>
    <t xml:space="preserve">avamuc</t>
  </si>
  <si>
    <t xml:space="preserve">atimuc</t>
  </si>
  <si>
    <t xml:space="preserve">pravimuc</t>
  </si>
  <si>
    <t xml:space="preserve">sampramuc</t>
  </si>
  <si>
    <t xml:space="preserve">abhinirmuc</t>
  </si>
  <si>
    <t xml:space="preserve">abhimuc</t>
  </si>
  <si>
    <t xml:space="preserve">samunmuc</t>
  </si>
  <si>
    <t xml:space="preserve">upamuc</t>
  </si>
  <si>
    <t xml:space="preserve">paryāmuc</t>
  </si>
  <si>
    <t xml:space="preserve">sammuc</t>
  </si>
  <si>
    <t xml:space="preserve">saṁpratimuc</t>
  </si>
  <si>
    <t xml:space="preserve">viparimuc</t>
  </si>
  <si>
    <t xml:space="preserve">vyavamuc</t>
  </si>
  <si>
    <t xml:space="preserve">anupramuc</t>
  </si>
  <si>
    <t xml:space="preserve">paripramuc</t>
  </si>
  <si>
    <t xml:space="preserve">pratipramuc</t>
  </si>
  <si>
    <t xml:space="preserve">vyāmuc</t>
  </si>
  <si>
    <t xml:space="preserve">vyapamuc</t>
  </si>
  <si>
    <t xml:space="preserve">ji</t>
  </si>
  <si>
    <t xml:space="preserve">viji</t>
  </si>
  <si>
    <t xml:space="preserve">nirji</t>
  </si>
  <si>
    <t xml:space="preserve">parāji</t>
  </si>
  <si>
    <t xml:space="preserve">vinirji</t>
  </si>
  <si>
    <t xml:space="preserve">avaji</t>
  </si>
  <si>
    <t xml:space="preserve">ujji</t>
  </si>
  <si>
    <t xml:space="preserve">abhiji</t>
  </si>
  <si>
    <t xml:space="preserve">saṁji</t>
  </si>
  <si>
    <t xml:space="preserve">praji</t>
  </si>
  <si>
    <t xml:space="preserve">abhinirji</t>
  </si>
  <si>
    <t xml:space="preserve">apaji</t>
  </si>
  <si>
    <t xml:space="preserve">āji</t>
  </si>
  <si>
    <t xml:space="preserve">pariji</t>
  </si>
  <si>
    <t xml:space="preserve">āsaṁji</t>
  </si>
  <si>
    <t xml:space="preserve">adhiji</t>
  </si>
  <si>
    <t xml:space="preserve">pratinirji</t>
  </si>
  <si>
    <t xml:space="preserve">abhyujji</t>
  </si>
  <si>
    <t xml:space="preserve">anūjji</t>
  </si>
  <si>
    <t xml:space="preserve">anuji</t>
  </si>
  <si>
    <t xml:space="preserve">atiji</t>
  </si>
  <si>
    <t xml:space="preserve">pratiji</t>
  </si>
  <si>
    <t xml:space="preserve">upaji</t>
  </si>
  <si>
    <t xml:space="preserve">vyatiji</t>
  </si>
  <si>
    <t xml:space="preserve">kathay</t>
  </si>
  <si>
    <t xml:space="preserve">saṁkathay</t>
  </si>
  <si>
    <t xml:space="preserve">prakathay</t>
  </si>
  <si>
    <t xml:space="preserve">parikathay</t>
  </si>
  <si>
    <t xml:space="preserve">vikathay</t>
  </si>
  <si>
    <t xml:space="preserve">smṛ</t>
  </si>
  <si>
    <t xml:space="preserve">anusmṛ</t>
  </si>
  <si>
    <t xml:space="preserve">saṁsmṛ</t>
  </si>
  <si>
    <t xml:space="preserve">vismṛ</t>
  </si>
  <si>
    <t xml:space="preserve">apasmṛ</t>
  </si>
  <si>
    <t xml:space="preserve">samanusmṛ</t>
  </si>
  <si>
    <t xml:space="preserve">anusaṁsmṛ</t>
  </si>
  <si>
    <t xml:space="preserve">prasmṛ</t>
  </si>
  <si>
    <t xml:space="preserve">pratismṛ</t>
  </si>
  <si>
    <t xml:space="preserve">pratyanusmṛ</t>
  </si>
  <si>
    <t xml:space="preserve">abhisaṁsmṛ</t>
  </si>
  <si>
    <t xml:space="preserve">parismṛ</t>
  </si>
  <si>
    <t xml:space="preserve">pratisaṁsmṛ</t>
  </si>
  <si>
    <t xml:space="preserve">upasmṛ</t>
  </si>
  <si>
    <t xml:space="preserve">vyapasmṛ</t>
  </si>
  <si>
    <t xml:space="preserve">man</t>
  </si>
  <si>
    <t xml:space="preserve">samman</t>
  </si>
  <si>
    <t xml:space="preserve">avaman</t>
  </si>
  <si>
    <t xml:space="preserve">abhiman</t>
  </si>
  <si>
    <t xml:space="preserve">anuman</t>
  </si>
  <si>
    <t xml:space="preserve">atiman</t>
  </si>
  <si>
    <t xml:space="preserve">abhisamman</t>
  </si>
  <si>
    <t xml:space="preserve">abhyavaman</t>
  </si>
  <si>
    <t xml:space="preserve">pariman</t>
  </si>
  <si>
    <t xml:space="preserve">samanuman</t>
  </si>
  <si>
    <t xml:space="preserve">abhipraman</t>
  </si>
  <si>
    <t xml:space="preserve">abhyanuman</t>
  </si>
  <si>
    <t xml:space="preserve">anusamman</t>
  </si>
  <si>
    <t xml:space="preserve">adhiman</t>
  </si>
  <si>
    <t xml:space="preserve">pratiman</t>
  </si>
  <si>
    <t xml:space="preserve">viman</t>
  </si>
  <si>
    <t xml:space="preserve">āman</t>
  </si>
  <si>
    <t xml:space="preserve">niman</t>
  </si>
  <si>
    <t xml:space="preserve">praman</t>
  </si>
  <si>
    <t xml:space="preserve">grah</t>
  </si>
  <si>
    <t xml:space="preserve">pratigrah</t>
  </si>
  <si>
    <t xml:space="preserve">parigrah</t>
  </si>
  <si>
    <t xml:space="preserve">pragrah</t>
  </si>
  <si>
    <t xml:space="preserve">nigrah</t>
  </si>
  <si>
    <t xml:space="preserve">saṁgrah</t>
  </si>
  <si>
    <t xml:space="preserve">anugrah</t>
  </si>
  <si>
    <t xml:space="preserve">udgrah</t>
  </si>
  <si>
    <t xml:space="preserve">vigrah</t>
  </si>
  <si>
    <t xml:space="preserve">upasaṁgrah</t>
  </si>
  <si>
    <t xml:space="preserve">upagrah</t>
  </si>
  <si>
    <t xml:space="preserve">avagrah</t>
  </si>
  <si>
    <t xml:space="preserve">abhigrah</t>
  </si>
  <si>
    <t xml:space="preserve">saṁnigrah</t>
  </si>
  <si>
    <t xml:space="preserve">sampragrah</t>
  </si>
  <si>
    <t xml:space="preserve">vinigrah</t>
  </si>
  <si>
    <t xml:space="preserve">anuparigrah</t>
  </si>
  <si>
    <t xml:space="preserve">pratisaṁgrah</t>
  </si>
  <si>
    <t xml:space="preserve">samparigrah</t>
  </si>
  <si>
    <t xml:space="preserve">āgrah</t>
  </si>
  <si>
    <t xml:space="preserve">apagrah</t>
  </si>
  <si>
    <t xml:space="preserve">apigrah</t>
  </si>
  <si>
    <t xml:space="preserve">samāgrah</t>
  </si>
  <si>
    <t xml:space="preserve">abhisaṁgrah</t>
  </si>
  <si>
    <t xml:space="preserve">atyudgrah</t>
  </si>
  <si>
    <t xml:space="preserve">pratyavagrah</t>
  </si>
  <si>
    <t xml:space="preserve">samanuparigrah</t>
  </si>
  <si>
    <t xml:space="preserve">abhipragrah</t>
  </si>
  <si>
    <t xml:space="preserve">anusaṁgrah</t>
  </si>
  <si>
    <t xml:space="preserve">atigrah</t>
  </si>
  <si>
    <t xml:space="preserve">nirgrah</t>
  </si>
  <si>
    <t xml:space="preserve">pratyudgrah</t>
  </si>
  <si>
    <t xml:space="preserve">upodgrah</t>
  </si>
  <si>
    <t xml:space="preserve">abhiparigrah</t>
  </si>
  <si>
    <t xml:space="preserve">āsaṁgrah</t>
  </si>
  <si>
    <t xml:space="preserve">paripragrah</t>
  </si>
  <si>
    <t xml:space="preserve">pratinigrah</t>
  </si>
  <si>
    <t xml:space="preserve">pratipragrah</t>
  </si>
  <si>
    <t xml:space="preserve">samanugrah</t>
  </si>
  <si>
    <t xml:space="preserve">sampratigrah</t>
  </si>
  <si>
    <t xml:space="preserve">samudgrah</t>
  </si>
  <si>
    <t xml:space="preserve">upāgrah</t>
  </si>
  <si>
    <t xml:space="preserve">upanigrah</t>
  </si>
  <si>
    <t xml:space="preserve">upapratigrah</t>
  </si>
  <si>
    <t xml:space="preserve">jñā</t>
  </si>
  <si>
    <t xml:space="preserve">vijñā</t>
  </si>
  <si>
    <t xml:space="preserve">anujñā</t>
  </si>
  <si>
    <t xml:space="preserve">pratijñā</t>
  </si>
  <si>
    <t xml:space="preserve">prajñā</t>
  </si>
  <si>
    <t xml:space="preserve">abhijñā</t>
  </si>
  <si>
    <t xml:space="preserve">ājñā</t>
  </si>
  <si>
    <t xml:space="preserve">abhyanujñā</t>
  </si>
  <si>
    <t xml:space="preserve">avajñā</t>
  </si>
  <si>
    <t xml:space="preserve">saṁjñā</t>
  </si>
  <si>
    <t xml:space="preserve">parijñā</t>
  </si>
  <si>
    <t xml:space="preserve">samanujñā</t>
  </si>
  <si>
    <t xml:space="preserve">pratyabhijñā</t>
  </si>
  <si>
    <t xml:space="preserve">samājñā</t>
  </si>
  <si>
    <t xml:space="preserve">samprajñā</t>
  </si>
  <si>
    <t xml:space="preserve">saṁvijñā</t>
  </si>
  <si>
    <t xml:space="preserve">nirjñā</t>
  </si>
  <si>
    <t xml:space="preserve">samabhijñā</t>
  </si>
  <si>
    <t xml:space="preserve">sampratijñā</t>
  </si>
  <si>
    <t xml:space="preserve">abhivijñā</t>
  </si>
  <si>
    <t xml:space="preserve">abhiprajñā</t>
  </si>
  <si>
    <t xml:space="preserve">anuprajñā</t>
  </si>
  <si>
    <t xml:space="preserve">paryavajñā</t>
  </si>
  <si>
    <t xml:space="preserve">prativijñā</t>
  </si>
  <si>
    <t xml:space="preserve">pratyabhyanujñā</t>
  </si>
  <si>
    <t xml:space="preserve">pratyanujñā</t>
  </si>
  <si>
    <t xml:space="preserve">pravijñā</t>
  </si>
  <si>
    <t xml:space="preserve">samavajñā</t>
  </si>
  <si>
    <t xml:space="preserve">samupajñā</t>
  </si>
  <si>
    <t xml:space="preserve">upajñā</t>
  </si>
  <si>
    <t xml:space="preserve">vinirjñā</t>
  </si>
  <si>
    <t xml:space="preserve">viprajñā</t>
  </si>
  <si>
    <t xml:space="preserve">vipratijñā</t>
  </si>
  <si>
    <t xml:space="preserve">abhisaṁjñā</t>
  </si>
  <si>
    <t xml:space="preserve">apajñā</t>
  </si>
  <si>
    <t xml:space="preserve">praṇijñā</t>
  </si>
  <si>
    <t xml:space="preserve">pratiprajñā</t>
  </si>
  <si>
    <t xml:space="preserve">pratisaṁjñā</t>
  </si>
  <si>
    <t xml:space="preserve">yā</t>
  </si>
  <si>
    <t xml:space="preserve">prayā</t>
  </si>
  <si>
    <t xml:space="preserve">āyā</t>
  </si>
  <si>
    <t xml:space="preserve">niryā</t>
  </si>
  <si>
    <t xml:space="preserve">anuyā</t>
  </si>
  <si>
    <t xml:space="preserve">abhiyā</t>
  </si>
  <si>
    <t xml:space="preserve">upayā</t>
  </si>
  <si>
    <t xml:space="preserve">samāyā</t>
  </si>
  <si>
    <t xml:space="preserve">pratyudyā</t>
  </si>
  <si>
    <t xml:space="preserve">apayā</t>
  </si>
  <si>
    <t xml:space="preserve">pratiyā</t>
  </si>
  <si>
    <t xml:space="preserve">upāyā</t>
  </si>
  <si>
    <t xml:space="preserve">samabhiyā</t>
  </si>
  <si>
    <t xml:space="preserve">viniryā</t>
  </si>
  <si>
    <t xml:space="preserve">saṁyā</t>
  </si>
  <si>
    <t xml:space="preserve">abhyāyā</t>
  </si>
  <si>
    <t xml:space="preserve">samprayā</t>
  </si>
  <si>
    <t xml:space="preserve">abhiniryā</t>
  </si>
  <si>
    <t xml:space="preserve">vyapayā</t>
  </si>
  <si>
    <t xml:space="preserve">pariyā</t>
  </si>
  <si>
    <t xml:space="preserve">udyā</t>
  </si>
  <si>
    <t xml:space="preserve">abhiprayā</t>
  </si>
  <si>
    <t xml:space="preserve">abhyudyā</t>
  </si>
  <si>
    <t xml:space="preserve">atiyā</t>
  </si>
  <si>
    <t xml:space="preserve">anuprayā</t>
  </si>
  <si>
    <t xml:space="preserve">pratyāyā</t>
  </si>
  <si>
    <t xml:space="preserve">samabhyāyā</t>
  </si>
  <si>
    <t xml:space="preserve">samupayā</t>
  </si>
  <si>
    <t xml:space="preserve">anusaṁyā</t>
  </si>
  <si>
    <t xml:space="preserve">pratiprayā</t>
  </si>
  <si>
    <t xml:space="preserve">samanuyā</t>
  </si>
  <si>
    <t xml:space="preserve">abhyupayā</t>
  </si>
  <si>
    <t xml:space="preserve">samupāyā</t>
  </si>
  <si>
    <t xml:space="preserve">avayā</t>
  </si>
  <si>
    <t xml:space="preserve">pratyapayā</t>
  </si>
  <si>
    <t xml:space="preserve">viyā</t>
  </si>
  <si>
    <t xml:space="preserve">viprayā</t>
  </si>
  <si>
    <t xml:space="preserve">vyatiyā</t>
  </si>
  <si>
    <t xml:space="preserve">prāyā</t>
  </si>
  <si>
    <t xml:space="preserve">pratiniryā</t>
  </si>
  <si>
    <t xml:space="preserve">pratyupayā</t>
  </si>
  <si>
    <t xml:space="preserve">samudyā</t>
  </si>
  <si>
    <t xml:space="preserve">parānuyā</t>
  </si>
  <si>
    <t xml:space="preserve">samatiyā</t>
  </si>
  <si>
    <t xml:space="preserve">abhisaṁyā</t>
  </si>
  <si>
    <t xml:space="preserve">abhisamāyā</t>
  </si>
  <si>
    <t xml:space="preserve">abhisamprayā</t>
  </si>
  <si>
    <t xml:space="preserve">abhyupāyā</t>
  </si>
  <si>
    <t xml:space="preserve">anupariyā</t>
  </si>
  <si>
    <t xml:space="preserve">anusamāyā</t>
  </si>
  <si>
    <t xml:space="preserve">anusamprayā</t>
  </si>
  <si>
    <t xml:space="preserve">atyāyā</t>
  </si>
  <si>
    <t xml:space="preserve">niyā</t>
  </si>
  <si>
    <t xml:space="preserve">pariprayā</t>
  </si>
  <si>
    <t xml:space="preserve">pratyabhiyā</t>
  </si>
  <si>
    <t xml:space="preserve">pratyabhiniryā</t>
  </si>
  <si>
    <t xml:space="preserve">saṁpratiyā</t>
  </si>
  <si>
    <t xml:space="preserve">udāyā</t>
  </si>
  <si>
    <t xml:space="preserve">upasaṁyā</t>
  </si>
  <si>
    <t xml:space="preserve">abhiviyā</t>
  </si>
  <si>
    <t xml:space="preserve">acchāyā</t>
  </si>
  <si>
    <t xml:space="preserve">adhiyā</t>
  </si>
  <si>
    <t xml:space="preserve">parāyā</t>
  </si>
  <si>
    <t xml:space="preserve">paryāyā</t>
  </si>
  <si>
    <t xml:space="preserve">pratiprāyā</t>
  </si>
  <si>
    <t xml:space="preserve">upaprayā</t>
  </si>
  <si>
    <t xml:space="preserve">upaprāyā</t>
  </si>
  <si>
    <t xml:space="preserve">upasaṁprayā</t>
  </si>
  <si>
    <t xml:space="preserve">upopayā</t>
  </si>
  <si>
    <t xml:space="preserve">yuj</t>
  </si>
  <si>
    <t xml:space="preserve">saṁyuj</t>
  </si>
  <si>
    <t xml:space="preserve">prayuj</t>
  </si>
  <si>
    <t xml:space="preserve">upayuj</t>
  </si>
  <si>
    <t xml:space="preserve">samāyuj</t>
  </si>
  <si>
    <t xml:space="preserve">niyuj</t>
  </si>
  <si>
    <t xml:space="preserve">abhiyuj</t>
  </si>
  <si>
    <t xml:space="preserve">viyuj</t>
  </si>
  <si>
    <t xml:space="preserve">samprayuj</t>
  </si>
  <si>
    <t xml:space="preserve">udyuj</t>
  </si>
  <si>
    <t xml:space="preserve">anuyuj</t>
  </si>
  <si>
    <t xml:space="preserve">pratisaṁyuj</t>
  </si>
  <si>
    <t xml:space="preserve">viniyuj</t>
  </si>
  <si>
    <t xml:space="preserve">viprayuj</t>
  </si>
  <si>
    <t xml:space="preserve">āyuj</t>
  </si>
  <si>
    <t xml:space="preserve">paryanuyuj</t>
  </si>
  <si>
    <t xml:space="preserve">atyupayuj</t>
  </si>
  <si>
    <t xml:space="preserve">samudyuj</t>
  </si>
  <si>
    <t xml:space="preserve">anuprayuj</t>
  </si>
  <si>
    <t xml:space="preserve">abhisaṁyuj</t>
  </si>
  <si>
    <t xml:space="preserve">saṁniyuj</t>
  </si>
  <si>
    <t xml:space="preserve">visaṁyuj</t>
  </si>
  <si>
    <t xml:space="preserve">anuniyuj</t>
  </si>
  <si>
    <t xml:space="preserve">pratyanuyuj</t>
  </si>
  <si>
    <t xml:space="preserve">samupayuj</t>
  </si>
  <si>
    <t xml:space="preserve">upasaṁyuj</t>
  </si>
  <si>
    <t xml:space="preserve">vyupayuj</t>
  </si>
  <si>
    <t xml:space="preserve">samanuyuj</t>
  </si>
  <si>
    <t xml:space="preserve">samupāyuj</t>
  </si>
  <si>
    <t xml:space="preserve">abhiprayuj</t>
  </si>
  <si>
    <t xml:space="preserve">abhyanuyuj</t>
  </si>
  <si>
    <t xml:space="preserve">apayuj</t>
  </si>
  <si>
    <t xml:space="preserve">atiprayuj</t>
  </si>
  <si>
    <t xml:space="preserve">adhiyuj</t>
  </si>
  <si>
    <t xml:space="preserve">pratiyuj</t>
  </si>
  <si>
    <t xml:space="preserve">pratiprayuj</t>
  </si>
  <si>
    <t xml:space="preserve">pratyabhiyuj</t>
  </si>
  <si>
    <t xml:space="preserve">upāyuj</t>
  </si>
  <si>
    <t xml:space="preserve">upaniyuj</t>
  </si>
  <si>
    <t xml:space="preserve">viniryuj</t>
  </si>
  <si>
    <t xml:space="preserve">vyāyuj</t>
  </si>
  <si>
    <t xml:space="preserve">ah</t>
  </si>
  <si>
    <t xml:space="preserve">prāh</t>
  </si>
  <si>
    <t xml:space="preserve">anvah</t>
  </si>
  <si>
    <t xml:space="preserve">pratyah</t>
  </si>
  <si>
    <t xml:space="preserve">nirah</t>
  </si>
  <si>
    <t xml:space="preserve">abhyah</t>
  </si>
  <si>
    <t xml:space="preserve">saṁprāh</t>
  </si>
  <si>
    <t xml:space="preserve">atyah</t>
  </si>
  <si>
    <t xml:space="preserve">adhyah</t>
  </si>
  <si>
    <t xml:space="preserve">saṁpratyah</t>
  </si>
  <si>
    <t xml:space="preserve">vyah</t>
  </si>
  <si>
    <t xml:space="preserve">vid</t>
  </si>
  <si>
    <t xml:space="preserve">anuvid</t>
  </si>
  <si>
    <t xml:space="preserve">nirvid</t>
  </si>
  <si>
    <t xml:space="preserve">pravid</t>
  </si>
  <si>
    <t xml:space="preserve">adhivid</t>
  </si>
  <si>
    <t xml:space="preserve">nivid</t>
  </si>
  <si>
    <t xml:space="preserve">parivid</t>
  </si>
  <si>
    <t xml:space="preserve">saṁvid</t>
  </si>
  <si>
    <t xml:space="preserve">abhivid</t>
  </si>
  <si>
    <t xml:space="preserve">āvid</t>
  </si>
  <si>
    <t xml:space="preserve">prativid</t>
  </si>
  <si>
    <t xml:space="preserve">apavid</t>
  </si>
  <si>
    <t xml:space="preserve">anusaṁvid</t>
  </si>
  <si>
    <t xml:space="preserve">vivid</t>
  </si>
  <si>
    <t xml:space="preserve">pratisaṁvid</t>
  </si>
  <si>
    <t xml:space="preserve">abhisaṁvid</t>
  </si>
  <si>
    <t xml:space="preserve">vyavavid</t>
  </si>
  <si>
    <t xml:space="preserve">han</t>
  </si>
  <si>
    <t xml:space="preserve">nihan</t>
  </si>
  <si>
    <t xml:space="preserve">abhihan</t>
  </si>
  <si>
    <t xml:space="preserve">āhan</t>
  </si>
  <si>
    <t xml:space="preserve">upahan</t>
  </si>
  <si>
    <t xml:space="preserve">saṁhan</t>
  </si>
  <si>
    <t xml:space="preserve">vinihan</t>
  </si>
  <si>
    <t xml:space="preserve">pratihan</t>
  </si>
  <si>
    <t xml:space="preserve">apahan</t>
  </si>
  <si>
    <t xml:space="preserve">uddhan</t>
  </si>
  <si>
    <t xml:space="preserve">vihan</t>
  </si>
  <si>
    <t xml:space="preserve">samāhan</t>
  </si>
  <si>
    <t xml:space="preserve">abhyāhan</t>
  </si>
  <si>
    <t xml:space="preserve">prahan</t>
  </si>
  <si>
    <t xml:space="preserve">parāhan</t>
  </si>
  <si>
    <t xml:space="preserve">vyāhan</t>
  </si>
  <si>
    <t xml:space="preserve">avahan</t>
  </si>
  <si>
    <t xml:space="preserve">samuddhan</t>
  </si>
  <si>
    <t xml:space="preserve">nirhan</t>
  </si>
  <si>
    <t xml:space="preserve">abhinihan</t>
  </si>
  <si>
    <t xml:space="preserve">pratyāhan</t>
  </si>
  <si>
    <t xml:space="preserve">viprahan</t>
  </si>
  <si>
    <t xml:space="preserve">parihan</t>
  </si>
  <si>
    <t xml:space="preserve">saṁnihan</t>
  </si>
  <si>
    <t xml:space="preserve">apāhan</t>
  </si>
  <si>
    <t xml:space="preserve">vinirhan</t>
  </si>
  <si>
    <t xml:space="preserve">visaṁhan</t>
  </si>
  <si>
    <t xml:space="preserve">abhiprahan</t>
  </si>
  <si>
    <t xml:space="preserve">abhisaṁhan</t>
  </si>
  <si>
    <t xml:space="preserve">anuhan</t>
  </si>
  <si>
    <t xml:space="preserve">pratisaṁhan</t>
  </si>
  <si>
    <t xml:space="preserve">pravihan</t>
  </si>
  <si>
    <t xml:space="preserve">samabhihan</t>
  </si>
  <si>
    <t xml:space="preserve">upāhan</t>
  </si>
  <si>
    <t xml:space="preserve">vyapahan</t>
  </si>
  <si>
    <t xml:space="preserve">anuvihan</t>
  </si>
  <si>
    <t xml:space="preserve">atihan</t>
  </si>
  <si>
    <t xml:space="preserve">nirāhan</t>
  </si>
  <si>
    <t xml:space="preserve">pariṇihan</t>
  </si>
  <si>
    <t xml:space="preserve">pratinihan</t>
  </si>
  <si>
    <t xml:space="preserve">saṁprahan</t>
  </si>
  <si>
    <t xml:space="preserve">vyatihan</t>
  </si>
  <si>
    <t xml:space="preserve">abhiparihan</t>
  </si>
  <si>
    <t xml:space="preserve">anvavahan</t>
  </si>
  <si>
    <t xml:space="preserve">apihan</t>
  </si>
  <si>
    <t xml:space="preserve">adhinirhan</t>
  </si>
  <si>
    <t xml:space="preserve">adhyavahan</t>
  </si>
  <si>
    <t xml:space="preserve">āvihan</t>
  </si>
  <si>
    <t xml:space="preserve">niprahan</t>
  </si>
  <si>
    <t xml:space="preserve">parinirhan</t>
  </si>
  <si>
    <t xml:space="preserve">praṇihan</t>
  </si>
  <si>
    <t xml:space="preserve">pratyavahan</t>
  </si>
  <si>
    <t xml:space="preserve">sampratihan</t>
  </si>
  <si>
    <t xml:space="preserve">udāhan</t>
  </si>
  <si>
    <t xml:space="preserve">upanihan</t>
  </si>
  <si>
    <t xml:space="preserve">jan</t>
  </si>
  <si>
    <t xml:space="preserve">saṁjan</t>
  </si>
  <si>
    <t xml:space="preserve">prajan</t>
  </si>
  <si>
    <t xml:space="preserve">upajan</t>
  </si>
  <si>
    <t xml:space="preserve">vijan</t>
  </si>
  <si>
    <t xml:space="preserve">abhijan</t>
  </si>
  <si>
    <t xml:space="preserve">nirjan</t>
  </si>
  <si>
    <t xml:space="preserve">samprajan</t>
  </si>
  <si>
    <t xml:space="preserve">ājan</t>
  </si>
  <si>
    <t xml:space="preserve">anujan</t>
  </si>
  <si>
    <t xml:space="preserve">samupajan</t>
  </si>
  <si>
    <t xml:space="preserve">anuprajan</t>
  </si>
  <si>
    <t xml:space="preserve">adhijan</t>
  </si>
  <si>
    <t xml:space="preserve">pratyājan</t>
  </si>
  <si>
    <t xml:space="preserve">avajan</t>
  </si>
  <si>
    <t xml:space="preserve">parijan</t>
  </si>
  <si>
    <t xml:space="preserve">abhiprajan</t>
  </si>
  <si>
    <t xml:space="preserve">samājan</t>
  </si>
  <si>
    <t xml:space="preserve">apaṇyījan</t>
  </si>
  <si>
    <t xml:space="preserve">pratisaṁjan</t>
  </si>
  <si>
    <t xml:space="preserve">samabhijan</t>
  </si>
  <si>
    <t xml:space="preserve">ujjan</t>
  </si>
  <si>
    <t xml:space="preserve">praprajan</t>
  </si>
  <si>
    <t xml:space="preserve">pratijan</t>
  </si>
  <si>
    <t xml:space="preserve">samanujan</t>
  </si>
  <si>
    <t xml:space="preserve">udājan</t>
  </si>
  <si>
    <t xml:space="preserve">upaprajan</t>
  </si>
  <si>
    <t xml:space="preserve">upasaṁjan</t>
  </si>
  <si>
    <t xml:space="preserve">sthā</t>
  </si>
  <si>
    <t xml:space="preserve">utthā</t>
  </si>
  <si>
    <t xml:space="preserve">āsthā</t>
  </si>
  <si>
    <t xml:space="preserve">upasthā</t>
  </si>
  <si>
    <t xml:space="preserve">pratiṣṭhā</t>
  </si>
  <si>
    <t xml:space="preserve">avasthā</t>
  </si>
  <si>
    <t xml:space="preserve">saṁsthā</t>
  </si>
  <si>
    <t xml:space="preserve">vyavasthā</t>
  </si>
  <si>
    <t xml:space="preserve">adhiṣṭhā</t>
  </si>
  <si>
    <t xml:space="preserve">prasthā</t>
  </si>
  <si>
    <t xml:space="preserve">anuṣṭhā</t>
  </si>
  <si>
    <t xml:space="preserve">samutthā</t>
  </si>
  <si>
    <t xml:space="preserve">samāsthā</t>
  </si>
  <si>
    <t xml:space="preserve">samprasthā</t>
  </si>
  <si>
    <t xml:space="preserve">samupasthā</t>
  </si>
  <si>
    <t xml:space="preserve">viṣṭhā</t>
  </si>
  <si>
    <t xml:space="preserve">pratyupasthā</t>
  </si>
  <si>
    <t xml:space="preserve">samavasthā</t>
  </si>
  <si>
    <t xml:space="preserve">niṣṭhā</t>
  </si>
  <si>
    <t xml:space="preserve">pratyutthā</t>
  </si>
  <si>
    <t xml:space="preserve">pariniṣṭhā</t>
  </si>
  <si>
    <t xml:space="preserve">paryavasthā</t>
  </si>
  <si>
    <t xml:space="preserve">paryupasthā</t>
  </si>
  <si>
    <t xml:space="preserve">abhyutthā</t>
  </si>
  <si>
    <t xml:space="preserve">vyutthā</t>
  </si>
  <si>
    <t xml:space="preserve">abhiṣṭhā</t>
  </si>
  <si>
    <t xml:space="preserve">abhisaṁprasthā</t>
  </si>
  <si>
    <t xml:space="preserve">viprasthā</t>
  </si>
  <si>
    <t xml:space="preserve">pariṣṭhā</t>
  </si>
  <si>
    <t xml:space="preserve">sampratiṣṭhā</t>
  </si>
  <si>
    <t xml:space="preserve">upotthā</t>
  </si>
  <si>
    <t xml:space="preserve">samadhiṣṭhā</t>
  </si>
  <si>
    <t xml:space="preserve">pratyavasthā</t>
  </si>
  <si>
    <t xml:space="preserve">abhiprasthā</t>
  </si>
  <si>
    <t xml:space="preserve">upāsthā</t>
  </si>
  <si>
    <t xml:space="preserve">anūtthā</t>
  </si>
  <si>
    <t xml:space="preserve">niḥṣṭhā</t>
  </si>
  <si>
    <t xml:space="preserve">saṁvyavasthā</t>
  </si>
  <si>
    <t xml:space="preserve">anusaṁsthā</t>
  </si>
  <si>
    <t xml:space="preserve">samanusthā</t>
  </si>
  <si>
    <t xml:space="preserve">abhyupasthā</t>
  </si>
  <si>
    <t xml:space="preserve">anuprasthā</t>
  </si>
  <si>
    <t xml:space="preserve">anupratiṣṭhā</t>
  </si>
  <si>
    <t xml:space="preserve">atiṣṭhā</t>
  </si>
  <si>
    <t xml:space="preserve">samupāsthā</t>
  </si>
  <si>
    <t xml:space="preserve">abhisaṁsthā</t>
  </si>
  <si>
    <t xml:space="preserve">abhyāsthā</t>
  </si>
  <si>
    <t xml:space="preserve">anūpasthā</t>
  </si>
  <si>
    <t xml:space="preserve">anvadhisthā</t>
  </si>
  <si>
    <t xml:space="preserve">apasthā</t>
  </si>
  <si>
    <t xml:space="preserve">apiṣṭhā</t>
  </si>
  <si>
    <t xml:space="preserve">adhyāsthā</t>
  </si>
  <si>
    <t xml:space="preserve">parisaṁsthā</t>
  </si>
  <si>
    <t xml:space="preserve">paridhiṣṭhā</t>
  </si>
  <si>
    <t xml:space="preserve">paryutthā</t>
  </si>
  <si>
    <t xml:space="preserve">pratisaṁsthā</t>
  </si>
  <si>
    <t xml:space="preserve">pratyāsthā</t>
  </si>
  <si>
    <t xml:space="preserve">pratyabhiprasthā</t>
  </si>
  <si>
    <t xml:space="preserve">protthā</t>
  </si>
  <si>
    <t xml:space="preserve">samadhiniṣṭhā</t>
  </si>
  <si>
    <t xml:space="preserve">saṁpratyavasthā</t>
  </si>
  <si>
    <t xml:space="preserve">saṁpratyupasthā</t>
  </si>
  <si>
    <t xml:space="preserve">upāvasthā</t>
  </si>
  <si>
    <t xml:space="preserve">vyāsthā</t>
  </si>
  <si>
    <t xml:space="preserve">abhiviṣṭhā</t>
  </si>
  <si>
    <t xml:space="preserve">antaḥsthā</t>
  </si>
  <si>
    <t xml:space="preserve">anuviṣṭhā</t>
  </si>
  <si>
    <t xml:space="preserve">anvāsthā</t>
  </si>
  <si>
    <t xml:space="preserve">anvavasthā</t>
  </si>
  <si>
    <t xml:space="preserve">apāsthā</t>
  </si>
  <si>
    <t xml:space="preserve">atiprasthā</t>
  </si>
  <si>
    <t xml:space="preserve">adhyutthā</t>
  </si>
  <si>
    <t xml:space="preserve">samabhiṣṭhā</t>
  </si>
  <si>
    <t xml:space="preserve">samabhyutthā</t>
  </si>
  <si>
    <t xml:space="preserve">udāsthā</t>
  </si>
  <si>
    <t xml:space="preserve">upasaṁsthā</t>
  </si>
  <si>
    <t xml:space="preserve">upaviṣṭhā</t>
  </si>
  <si>
    <t xml:space="preserve">brū</t>
  </si>
  <si>
    <t xml:space="preserve">prabrū</t>
  </si>
  <si>
    <t xml:space="preserve">anubrū</t>
  </si>
  <si>
    <t xml:space="preserve">vibrū</t>
  </si>
  <si>
    <t xml:space="preserve">pratibrū</t>
  </si>
  <si>
    <t xml:space="preserve">upabrū</t>
  </si>
  <si>
    <t xml:space="preserve">atibrū</t>
  </si>
  <si>
    <t xml:space="preserve">ābrū</t>
  </si>
  <si>
    <t xml:space="preserve">apabrū</t>
  </si>
  <si>
    <t xml:space="preserve">adhibrū</t>
  </si>
  <si>
    <t xml:space="preserve">nirbrū</t>
  </si>
  <si>
    <t xml:space="preserve">sambrū</t>
  </si>
  <si>
    <t xml:space="preserve">udbrū</t>
  </si>
  <si>
    <t xml:space="preserve">acchābrū</t>
  </si>
  <si>
    <t xml:space="preserve">paribrū</t>
  </si>
  <si>
    <t xml:space="preserve">pratiprabrū</t>
  </si>
  <si>
    <t xml:space="preserve">pratyābrū</t>
  </si>
  <si>
    <t xml:space="preserve">śru</t>
  </si>
  <si>
    <t xml:space="preserve">viśru</t>
  </si>
  <si>
    <t xml:space="preserve">pratiśru</t>
  </si>
  <si>
    <t xml:space="preserve">upaśru</t>
  </si>
  <si>
    <t xml:space="preserve">saṁśru</t>
  </si>
  <si>
    <t xml:space="preserve">anuśru</t>
  </si>
  <si>
    <t xml:space="preserve">pariśru</t>
  </si>
  <si>
    <t xml:space="preserve">abhiviśru</t>
  </si>
  <si>
    <t xml:space="preserve">āśru</t>
  </si>
  <si>
    <t xml:space="preserve">abhiśru</t>
  </si>
  <si>
    <t xml:space="preserve">pratisaṁśru</t>
  </si>
  <si>
    <t xml:space="preserve">samāśru</t>
  </si>
  <si>
    <t xml:space="preserve">samupaśru</t>
  </si>
  <si>
    <t xml:space="preserve">abhisaṁśru</t>
  </si>
  <si>
    <t xml:space="preserve">atipraśru</t>
  </si>
  <si>
    <t xml:space="preserve">praśru</t>
  </si>
  <si>
    <t xml:space="preserve">sampratiśru</t>
  </si>
  <si>
    <t xml:space="preserve">dṛś</t>
  </si>
  <si>
    <t xml:space="preserve">saṁdṛś</t>
  </si>
  <si>
    <t xml:space="preserve">pratidṛś</t>
  </si>
  <si>
    <t xml:space="preserve">vidṛś</t>
  </si>
  <si>
    <t xml:space="preserve">paridṛś</t>
  </si>
  <si>
    <t xml:space="preserve">pradṛś</t>
  </si>
  <si>
    <t xml:space="preserve">sampradṛś</t>
  </si>
  <si>
    <t xml:space="preserve">anudṛś</t>
  </si>
  <si>
    <t xml:space="preserve">abhidṛś</t>
  </si>
  <si>
    <t xml:space="preserve">upadṛś</t>
  </si>
  <si>
    <t xml:space="preserve">anusaṁdṛś</t>
  </si>
  <si>
    <t xml:space="preserve">ādṛś</t>
  </si>
  <si>
    <t xml:space="preserve">samupadṛś</t>
  </si>
  <si>
    <t xml:space="preserve">vipradṛś</t>
  </si>
  <si>
    <t xml:space="preserve">vyādṛś</t>
  </si>
  <si>
    <t xml:space="preserve">avadṛś</t>
  </si>
  <si>
    <t xml:space="preserve">parādṛś</t>
  </si>
  <si>
    <t xml:space="preserve">vyapadṛś</t>
  </si>
  <si>
    <t xml:space="preserve">gam</t>
  </si>
  <si>
    <t xml:space="preserve">āgam</t>
  </si>
  <si>
    <t xml:space="preserve">samāgam</t>
  </si>
  <si>
    <t xml:space="preserve">anugam</t>
  </si>
  <si>
    <t xml:space="preserve">adhigam</t>
  </si>
  <si>
    <t xml:space="preserve">upagam</t>
  </si>
  <si>
    <t xml:space="preserve">abhigam</t>
  </si>
  <si>
    <t xml:space="preserve">nirgam</t>
  </si>
  <si>
    <t xml:space="preserve">saṁgam</t>
  </si>
  <si>
    <t xml:space="preserve">upāgam</t>
  </si>
  <si>
    <t xml:space="preserve">vigam</t>
  </si>
  <si>
    <t xml:space="preserve">avagam</t>
  </si>
  <si>
    <t xml:space="preserve">abhyāgam</t>
  </si>
  <si>
    <t xml:space="preserve">udgam</t>
  </si>
  <si>
    <t xml:space="preserve">antargam</t>
  </si>
  <si>
    <t xml:space="preserve">samanvāgam</t>
  </si>
  <si>
    <t xml:space="preserve">pratyāgam</t>
  </si>
  <si>
    <t xml:space="preserve">apagam</t>
  </si>
  <si>
    <t xml:space="preserve">samupāgam</t>
  </si>
  <si>
    <t xml:space="preserve">parigam</t>
  </si>
  <si>
    <t xml:space="preserve">abhyupagam</t>
  </si>
  <si>
    <t xml:space="preserve">vinirgam</t>
  </si>
  <si>
    <t xml:space="preserve">pratigam</t>
  </si>
  <si>
    <t xml:space="preserve">pratyudgam</t>
  </si>
  <si>
    <t xml:space="preserve">abhyudgam</t>
  </si>
  <si>
    <t xml:space="preserve">vyapagam</t>
  </si>
  <si>
    <t xml:space="preserve">nigam</t>
  </si>
  <si>
    <t xml:space="preserve">upasaṁgam</t>
  </si>
  <si>
    <t xml:space="preserve">samudgam</t>
  </si>
  <si>
    <t xml:space="preserve">samadhigam</t>
  </si>
  <si>
    <t xml:space="preserve">pragam</t>
  </si>
  <si>
    <t xml:space="preserve">samanugam</t>
  </si>
  <si>
    <t xml:space="preserve">anvāgam</t>
  </si>
  <si>
    <t xml:space="preserve">paryāgam</t>
  </si>
  <si>
    <t xml:space="preserve">abhyupāgam</t>
  </si>
  <si>
    <t xml:space="preserve">vipragam</t>
  </si>
  <si>
    <t xml:space="preserve">atigam</t>
  </si>
  <si>
    <t xml:space="preserve">abhisaṁgam</t>
  </si>
  <si>
    <t xml:space="preserve">parāgam</t>
  </si>
  <si>
    <t xml:space="preserve">samabhigam</t>
  </si>
  <si>
    <t xml:space="preserve">abhinirgam</t>
  </si>
  <si>
    <t xml:space="preserve">abhisamāgam</t>
  </si>
  <si>
    <t xml:space="preserve">pratyavagam</t>
  </si>
  <si>
    <t xml:space="preserve">samabhyāgam</t>
  </si>
  <si>
    <t xml:space="preserve">apāvagam</t>
  </si>
  <si>
    <t xml:space="preserve">apigam</t>
  </si>
  <si>
    <t xml:space="preserve">atyudgam</t>
  </si>
  <si>
    <t xml:space="preserve">samudāgam</t>
  </si>
  <si>
    <t xml:space="preserve">samupagam</t>
  </si>
  <si>
    <t xml:space="preserve">abhyanugam</t>
  </si>
  <si>
    <t xml:space="preserve">anunirgam</t>
  </si>
  <si>
    <t xml:space="preserve">adhyāgam</t>
  </si>
  <si>
    <t xml:space="preserve">avāgam</t>
  </si>
  <si>
    <t xml:space="preserve">nyāgam</t>
  </si>
  <si>
    <t xml:space="preserve">prodgam</t>
  </si>
  <si>
    <t xml:space="preserve">saṁnigam</t>
  </si>
  <si>
    <t xml:space="preserve">saṁpratyāgam</t>
  </si>
  <si>
    <t xml:space="preserve">upātigam</t>
  </si>
  <si>
    <t xml:space="preserve">vyatigam</t>
  </si>
  <si>
    <t xml:space="preserve">acchāgam</t>
  </si>
  <si>
    <t xml:space="preserve">anuparāgam</t>
  </si>
  <si>
    <t xml:space="preserve">araṁgam</t>
  </si>
  <si>
    <t xml:space="preserve">pratinyāgam</t>
  </si>
  <si>
    <t xml:space="preserve">pratyupagam</t>
  </si>
  <si>
    <t xml:space="preserve">samabhyudgam</t>
  </si>
  <si>
    <t xml:space="preserve">samavagam</t>
  </si>
  <si>
    <t xml:space="preserve">saṁnirgam</t>
  </si>
  <si>
    <t xml:space="preserve">upanigam</t>
  </si>
  <si>
    <t xml:space="preserve">vyavagam</t>
  </si>
  <si>
    <t xml:space="preserve">bhū</t>
  </si>
  <si>
    <t xml:space="preserve">sambhū</t>
  </si>
  <si>
    <t xml:space="preserve">abhibhū</t>
  </si>
  <si>
    <t xml:space="preserve">anubhū</t>
  </si>
  <si>
    <t xml:space="preserve">prabhū</t>
  </si>
  <si>
    <t xml:space="preserve">prādurbhū</t>
  </si>
  <si>
    <t xml:space="preserve">udbhū</t>
  </si>
  <si>
    <t xml:space="preserve">paribhū</t>
  </si>
  <si>
    <t xml:space="preserve">samudbhū</t>
  </si>
  <si>
    <t xml:space="preserve">bhasmībhū</t>
  </si>
  <si>
    <t xml:space="preserve">ekībhū</t>
  </si>
  <si>
    <t xml:space="preserve">pratyanubhū</t>
  </si>
  <si>
    <t xml:space="preserve">āvirbhū</t>
  </si>
  <si>
    <t xml:space="preserve">parābhū</t>
  </si>
  <si>
    <t xml:space="preserve">ābhū</t>
  </si>
  <si>
    <t xml:space="preserve">śītībhū</t>
  </si>
  <si>
    <t xml:space="preserve">antarbhū</t>
  </si>
  <si>
    <t xml:space="preserve">sthirībhū</t>
  </si>
  <si>
    <t xml:space="preserve">ghanībhū</t>
  </si>
  <si>
    <t xml:space="preserve">dravībhū</t>
  </si>
  <si>
    <t xml:space="preserve">uṣṇībhū</t>
  </si>
  <si>
    <t xml:space="preserve">sajjībhū</t>
  </si>
  <si>
    <t xml:space="preserve">vibhū</t>
  </si>
  <si>
    <t xml:space="preserve">abhisambhū</t>
  </si>
  <si>
    <t xml:space="preserve">śītalībhū</t>
  </si>
  <si>
    <t xml:space="preserve">sphuṭībhū</t>
  </si>
  <si>
    <t xml:space="preserve">tirobhū</t>
  </si>
  <si>
    <t xml:space="preserve">vaśībhū</t>
  </si>
  <si>
    <t xml:space="preserve">abhimukhībhū</t>
  </si>
  <si>
    <t xml:space="preserve">cūrṇībhū</t>
  </si>
  <si>
    <t xml:space="preserve">dūrībhū</t>
  </si>
  <si>
    <t xml:space="preserve">sāndrībhū</t>
  </si>
  <si>
    <t xml:space="preserve">śithilībhū</t>
  </si>
  <si>
    <t xml:space="preserve">miśrībhū</t>
  </si>
  <si>
    <t xml:space="preserve">saṁmukhībhū</t>
  </si>
  <si>
    <t xml:space="preserve">śailībhū</t>
  </si>
  <si>
    <t xml:space="preserve">bahulībhū</t>
  </si>
  <si>
    <t xml:space="preserve">mandībhū</t>
  </si>
  <si>
    <t xml:space="preserve">prakaṭībhū</t>
  </si>
  <si>
    <t xml:space="preserve">svasthībhū</t>
  </si>
  <si>
    <t xml:space="preserve">vyaktībhū</t>
  </si>
  <si>
    <t xml:space="preserve">śakalībhū</t>
  </si>
  <si>
    <t xml:space="preserve">andhībhū</t>
  </si>
  <si>
    <t xml:space="preserve">āsannībhū</t>
  </si>
  <si>
    <t xml:space="preserve">dvaidhībhū</t>
  </si>
  <si>
    <t xml:space="preserve">pratyakṣībhū</t>
  </si>
  <si>
    <t xml:space="preserve">śukrībhū</t>
  </si>
  <si>
    <t xml:space="preserve">amṛtībhū</t>
  </si>
  <si>
    <t xml:space="preserve">nirmalībhū</t>
  </si>
  <si>
    <t xml:space="preserve">pretībhū</t>
  </si>
  <si>
    <t xml:space="preserve">rasībhū</t>
  </si>
  <si>
    <t xml:space="preserve">tūṣṇībhū</t>
  </si>
  <si>
    <t xml:space="preserve">tanmayībhū</t>
  </si>
  <si>
    <t xml:space="preserve">vyākulībhū</t>
  </si>
  <si>
    <t xml:space="preserve">śivībhū</t>
  </si>
  <si>
    <t xml:space="preserve">bhagnapṛṣṭhībhū</t>
  </si>
  <si>
    <t xml:space="preserve">adhikībhū</t>
  </si>
  <si>
    <t xml:space="preserve">dviguṇībhū</t>
  </si>
  <si>
    <t xml:space="preserve">dṛḍhībhū</t>
  </si>
  <si>
    <t xml:space="preserve">kṛśībhū</t>
  </si>
  <si>
    <t xml:space="preserve">madhurībhū</t>
  </si>
  <si>
    <t xml:space="preserve">mithunībhū</t>
  </si>
  <si>
    <t xml:space="preserve">mukhībhū</t>
  </si>
  <si>
    <t xml:space="preserve">sukhībhū</t>
  </si>
  <si>
    <t xml:space="preserve">vipṛṣṭhībhū</t>
  </si>
  <si>
    <t xml:space="preserve">śeṣībhū</t>
  </si>
  <si>
    <t xml:space="preserve">ākulībhū</t>
  </si>
  <si>
    <t xml:space="preserve">alasībhū</t>
  </si>
  <si>
    <t xml:space="preserve">apabhū</t>
  </si>
  <si>
    <t xml:space="preserve">dasyusādbhū</t>
  </si>
  <si>
    <t xml:space="preserve">glānībhū</t>
  </si>
  <si>
    <t xml:space="preserve">kaluṣībhū</t>
  </si>
  <si>
    <t xml:space="preserve">kevalībhū</t>
  </si>
  <si>
    <t xml:space="preserve">mitrībhū</t>
  </si>
  <si>
    <t xml:space="preserve">mṛdūbhū</t>
  </si>
  <si>
    <t xml:space="preserve">nirviṣībhū</t>
  </si>
  <si>
    <t xml:space="preserve">piṇḍībhū</t>
  </si>
  <si>
    <t xml:space="preserve">prāñjalībhū</t>
  </si>
  <si>
    <t xml:space="preserve">puñjībhū</t>
  </si>
  <si>
    <t xml:space="preserve">samībhū</t>
  </si>
  <si>
    <t xml:space="preserve">tuṣṇībhū</t>
  </si>
  <si>
    <t xml:space="preserve">unmukhībhū</t>
  </si>
  <si>
    <t xml:space="preserve">vidyādharībhū</t>
  </si>
  <si>
    <t xml:space="preserve">viklavībhū</t>
  </si>
  <si>
    <t xml:space="preserve">śūdrībhū</t>
  </si>
  <si>
    <t xml:space="preserve">śekharībhū</t>
  </si>
  <si>
    <t xml:space="preserve">śoṇībhū</t>
  </si>
  <si>
    <t xml:space="preserve">śuṣkībhū</t>
  </si>
  <si>
    <t xml:space="preserve">khilībhū</t>
  </si>
  <si>
    <t xml:space="preserve">bhājanībhū</t>
  </si>
  <si>
    <t xml:space="preserve">abhyābhū</t>
  </si>
  <si>
    <t xml:space="preserve">alpībhū</t>
  </si>
  <si>
    <t xml:space="preserve">amlībhū</t>
  </si>
  <si>
    <t xml:space="preserve">antarmukhībhū</t>
  </si>
  <si>
    <t xml:space="preserve">apaṇyībhū</t>
  </si>
  <si>
    <t xml:space="preserve">avyaktībhū</t>
  </si>
  <si>
    <t xml:space="preserve">capalībhū</t>
  </si>
  <si>
    <t xml:space="preserve">dvaṁdvībhū</t>
  </si>
  <si>
    <t xml:space="preserve">ekāgrībhū</t>
  </si>
  <si>
    <t xml:space="preserve">ekārṇavībhū</t>
  </si>
  <si>
    <t xml:space="preserve">gocarībhū</t>
  </si>
  <si>
    <t xml:space="preserve">kaṭhinībhū</t>
  </si>
  <si>
    <t xml:space="preserve">kāṣṭhībhū</t>
  </si>
  <si>
    <t xml:space="preserve">lolībhū</t>
  </si>
  <si>
    <t xml:space="preserve">mūkībhū</t>
  </si>
  <si>
    <t xml:space="preserve">maṇḍalībhū</t>
  </si>
  <si>
    <t xml:space="preserve">mlecchībhū</t>
  </si>
  <si>
    <t xml:space="preserve">parameśvarībhū</t>
  </si>
  <si>
    <t xml:space="preserve">pattrībhū</t>
  </si>
  <si>
    <t xml:space="preserve">piṣṭībhū</t>
  </si>
  <si>
    <t xml:space="preserve">pramlānībhū</t>
  </si>
  <si>
    <t xml:space="preserve">pratibhū</t>
  </si>
  <si>
    <t xml:space="preserve">prayojakībhū</t>
  </si>
  <si>
    <t xml:space="preserve">prodbhū</t>
  </si>
  <si>
    <t xml:space="preserve">samanubhū</t>
  </si>
  <si>
    <t xml:space="preserve">samarthībhū</t>
  </si>
  <si>
    <t xml:space="preserve">sādhanībhū</t>
  </si>
  <si>
    <t xml:space="preserve">stambhībhū</t>
  </si>
  <si>
    <t xml:space="preserve">svalpībhū</t>
  </si>
  <si>
    <t xml:space="preserve">taruṇībhū</t>
  </si>
  <si>
    <t xml:space="preserve">dhyānībhū</t>
  </si>
  <si>
    <t xml:space="preserve">viṣamībhū</t>
  </si>
  <si>
    <t xml:space="preserve">viṣayībhū</t>
  </si>
  <si>
    <t xml:space="preserve">viralībhū</t>
  </si>
  <si>
    <t xml:space="preserve">śūnyībhū</t>
  </si>
  <si>
    <t xml:space="preserve">śāntībhū</t>
  </si>
  <si>
    <t xml:space="preserve">śataguṇībhū</t>
  </si>
  <si>
    <t xml:space="preserve">śukībhū</t>
  </si>
  <si>
    <t xml:space="preserve">śuklībhū</t>
  </si>
  <si>
    <t xml:space="preserve">śvetībhū</t>
  </si>
  <si>
    <t xml:space="preserve">śṛṅkhalībhū</t>
  </si>
  <si>
    <t xml:space="preserve">śyāmībhū</t>
  </si>
  <si>
    <t xml:space="preserve">śyāvībhū</t>
  </si>
  <si>
    <t xml:space="preserve">ūrdhvībhū</t>
  </si>
  <si>
    <t xml:space="preserve">khaṇḍībhū</t>
  </si>
  <si>
    <t xml:space="preserve">bhairavībhū</t>
  </si>
  <si>
    <t xml:space="preserve">āśrayībhū</t>
  </si>
  <si>
    <t xml:space="preserve">bhūtībhū</t>
  </si>
  <si>
    <t xml:space="preserve">ābhāsībhū</t>
  </si>
  <si>
    <t xml:space="preserve">abhilāṣībhū</t>
  </si>
  <si>
    <t xml:space="preserve">agrībhū</t>
  </si>
  <si>
    <t xml:space="preserve">ālambanībhū</t>
  </si>
  <si>
    <t xml:space="preserve">āmukhībhū</t>
  </si>
  <si>
    <t xml:space="preserve">amṛtasādbhū</t>
  </si>
  <si>
    <t xml:space="preserve">anāthībhū</t>
  </si>
  <si>
    <t xml:space="preserve">anādarībhū</t>
  </si>
  <si>
    <t xml:space="preserve">anulomībhū</t>
  </si>
  <si>
    <t xml:space="preserve">anuprabhū</t>
  </si>
  <si>
    <t xml:space="preserve">anvābhū</t>
  </si>
  <si>
    <t xml:space="preserve">anṛṇībhū</t>
  </si>
  <si>
    <t xml:space="preserve">āpāṇḍurībhū</t>
  </si>
  <si>
    <t xml:space="preserve">asthirībhū</t>
  </si>
  <si>
    <t xml:space="preserve">āspadībhū</t>
  </si>
  <si>
    <t xml:space="preserve">asulabhībhū</t>
  </si>
  <si>
    <t xml:space="preserve">ātmībhū</t>
  </si>
  <si>
    <t xml:space="preserve">adharībhū</t>
  </si>
  <si>
    <t xml:space="preserve">adhibhū</t>
  </si>
  <si>
    <t xml:space="preserve">adhisaṁbhū</t>
  </si>
  <si>
    <t xml:space="preserve">adhyābhū</t>
  </si>
  <si>
    <t xml:space="preserve">avabhū</t>
  </si>
  <si>
    <t xml:space="preserve">avagāḍhībhū</t>
  </si>
  <si>
    <t xml:space="preserve">avalambībhū</t>
  </si>
  <si>
    <t xml:space="preserve">avyayībhū</t>
  </si>
  <si>
    <t xml:space="preserve">caurībhū</t>
  </si>
  <si>
    <t xml:space="preserve">cipiṭībhū</t>
  </si>
  <si>
    <t xml:space="preserve">corībhū</t>
  </si>
  <si>
    <t xml:space="preserve">dāruṇībhū</t>
  </si>
  <si>
    <t xml:space="preserve">dīpībhū</t>
  </si>
  <si>
    <t xml:space="preserve">duḥkhībhū</t>
  </si>
  <si>
    <t xml:space="preserve">duṣṭībhū</t>
  </si>
  <si>
    <t xml:space="preserve">dvārībhū</t>
  </si>
  <si>
    <t xml:space="preserve">ekacittībhū</t>
  </si>
  <si>
    <t xml:space="preserve">ekajvālībhū</t>
  </si>
  <si>
    <t xml:space="preserve">garbhībhū</t>
  </si>
  <si>
    <t xml:space="preserve">golībhū</t>
  </si>
  <si>
    <t xml:space="preserve">grahilībhū</t>
  </si>
  <si>
    <t xml:space="preserve">guṇībhū</t>
  </si>
  <si>
    <t xml:space="preserve">jaṭībhū</t>
  </si>
  <si>
    <t xml:space="preserve">jaḍībhū</t>
  </si>
  <si>
    <t xml:space="preserve">janībhū</t>
  </si>
  <si>
    <t xml:space="preserve">jihmībhū</t>
  </si>
  <si>
    <t xml:space="preserve">kūrmībhū</t>
  </si>
  <si>
    <t xml:space="preserve">kṣaṇībhū</t>
  </si>
  <si>
    <t xml:space="preserve">kṣapaṇībhū</t>
  </si>
  <si>
    <t xml:space="preserve">kṣetrībhū</t>
  </si>
  <si>
    <t xml:space="preserve">kācībhū</t>
  </si>
  <si>
    <t xml:space="preserve">kalalībhū</t>
  </si>
  <si>
    <t xml:space="preserve">kalilībhū</t>
  </si>
  <si>
    <t xml:space="preserve">kāñcanībhū</t>
  </si>
  <si>
    <t xml:space="preserve">kañcukībhū</t>
  </si>
  <si>
    <t xml:space="preserve">kāraṇībhū</t>
  </si>
  <si>
    <t xml:space="preserve">kuḍmalībhū</t>
  </si>
  <si>
    <t xml:space="preserve">kṛṣṇībhū</t>
  </si>
  <si>
    <t xml:space="preserve">kṛpaṇībhū</t>
  </si>
  <si>
    <t xml:space="preserve">lālasībhū</t>
  </si>
  <si>
    <t xml:space="preserve">lehībhū</t>
  </si>
  <si>
    <t xml:space="preserve">liṅgībhū</t>
  </si>
  <si>
    <t xml:space="preserve">mūrkhībhū</t>
  </si>
  <si>
    <t xml:space="preserve">maṇḍanībhū</t>
  </si>
  <si>
    <t xml:space="preserve">medhībhū</t>
  </si>
  <si>
    <t xml:space="preserve">moghībhū</t>
  </si>
  <si>
    <t xml:space="preserve">musalībhū</t>
  </si>
  <si>
    <t xml:space="preserve">mṛtībhū</t>
  </si>
  <si>
    <t xml:space="preserve">niḥsvībhū</t>
  </si>
  <si>
    <t xml:space="preserve">niṣaṅgībhū</t>
  </si>
  <si>
    <t xml:space="preserve">niṣkalmaṣībhū</t>
  </si>
  <si>
    <t xml:space="preserve">niṣkaluṣībhū</t>
  </si>
  <si>
    <t xml:space="preserve">nibiḍībhū</t>
  </si>
  <si>
    <t xml:space="preserve">nikaṭībhū</t>
  </si>
  <si>
    <t xml:space="preserve">nimittībhū</t>
  </si>
  <si>
    <t xml:space="preserve">nirbharībhū</t>
  </si>
  <si>
    <t xml:space="preserve">nirdayībhū</t>
  </si>
  <si>
    <t xml:space="preserve">phenībhū</t>
  </si>
  <si>
    <t xml:space="preserve">pūrṇībhū</t>
  </si>
  <si>
    <t xml:space="preserve">pakṣībhū</t>
  </si>
  <si>
    <t xml:space="preserve">parāṅmukhībhū</t>
  </si>
  <si>
    <t xml:space="preserve">parāpṛṣṭhībhū</t>
  </si>
  <si>
    <t xml:space="preserve">paruṣībhū</t>
  </si>
  <si>
    <t xml:space="preserve">pātrībhū</t>
  </si>
  <si>
    <t xml:space="preserve">pattalībhū</t>
  </si>
  <si>
    <t xml:space="preserve">pillībhū</t>
  </si>
  <si>
    <t xml:space="preserve">pītībhū</t>
  </si>
  <si>
    <t xml:space="preserve">prābhū</t>
  </si>
  <si>
    <t xml:space="preserve">praṇayībhū</t>
  </si>
  <si>
    <t xml:space="preserve">pracurībhū</t>
  </si>
  <si>
    <t xml:space="preserve">praguṇībhū</t>
  </si>
  <si>
    <t xml:space="preserve">prahvībhū</t>
  </si>
  <si>
    <t xml:space="preserve">prasannībhū</t>
  </si>
  <si>
    <t xml:space="preserve">punarnavībhū</t>
  </si>
  <si>
    <t xml:space="preserve">puruṣībhū</t>
  </si>
  <si>
    <t xml:space="preserve">rāśībhū</t>
  </si>
  <si>
    <t xml:space="preserve">rākṣasībhū</t>
  </si>
  <si>
    <t xml:space="preserve">sūkṣmībhū</t>
  </si>
  <si>
    <t xml:space="preserve">sadṛśībhū</t>
  </si>
  <si>
    <t xml:space="preserve">samābhū</t>
  </si>
  <si>
    <t xml:space="preserve">saphalībhū</t>
  </si>
  <si>
    <t xml:space="preserve">sātmyībhū</t>
  </si>
  <si>
    <t xml:space="preserve">siṁhībhū</t>
  </si>
  <si>
    <t xml:space="preserve">sphaṭībhū</t>
  </si>
  <si>
    <t xml:space="preserve">suṅgībhū</t>
  </si>
  <si>
    <t xml:space="preserve">sulabhībhū</t>
  </si>
  <si>
    <t xml:space="preserve">susthirībhū</t>
  </si>
  <si>
    <t xml:space="preserve">tāmrībhū</t>
  </si>
  <si>
    <t xml:space="preserve">tanvībhū</t>
  </si>
  <si>
    <t xml:space="preserve">tittirībhū</t>
  </si>
  <si>
    <t xml:space="preserve">tuṅgībhū</t>
  </si>
  <si>
    <t xml:space="preserve">ujjvalībhū</t>
  </si>
  <si>
    <t xml:space="preserve">unmanībhū</t>
  </si>
  <si>
    <t xml:space="preserve">upāyanībhū</t>
  </si>
  <si>
    <t xml:space="preserve">vadanībhū</t>
  </si>
  <si>
    <t xml:space="preserve">vakrībhū</t>
  </si>
  <si>
    <t xml:space="preserve">valayībhū</t>
  </si>
  <si>
    <t xml:space="preserve">vararucībhū</t>
  </si>
  <si>
    <t xml:space="preserve">vartulībhū</t>
  </si>
  <si>
    <t xml:space="preserve">viśālībhū</t>
  </si>
  <si>
    <t xml:space="preserve">viṣādībhū</t>
  </si>
  <si>
    <t xml:space="preserve">viṣībhū</t>
  </si>
  <si>
    <t xml:space="preserve">viguṇībhū</t>
  </si>
  <si>
    <t xml:space="preserve">vihvalībhū</t>
  </si>
  <si>
    <t xml:space="preserve">vijayībhū</t>
  </si>
  <si>
    <t xml:space="preserve">vilakṣībhū</t>
  </si>
  <si>
    <t xml:space="preserve">vimadībhū</t>
  </si>
  <si>
    <t xml:space="preserve">vimukhībhū</t>
  </si>
  <si>
    <t xml:space="preserve">virūkṣībhū</t>
  </si>
  <si>
    <t xml:space="preserve">vyālībhū</t>
  </si>
  <si>
    <t xml:space="preserve">vyamlībhū</t>
  </si>
  <si>
    <t xml:space="preserve">vṛddhībhū</t>
  </si>
  <si>
    <t xml:space="preserve">vyomībhū</t>
  </si>
  <si>
    <t xml:space="preserve">aṇūbhū</t>
  </si>
  <si>
    <t xml:space="preserve">abhinavībhū</t>
  </si>
  <si>
    <t xml:space="preserve">abhiprabhū</t>
  </si>
  <si>
    <t xml:space="preserve">abhyāśībhū</t>
  </si>
  <si>
    <t xml:space="preserve">alasibhu</t>
  </si>
  <si>
    <t xml:space="preserve">amarībhū</t>
  </si>
  <si>
    <t xml:space="preserve">amitrībhū</t>
  </si>
  <si>
    <t xml:space="preserve">anuparābhū</t>
  </si>
  <si>
    <t xml:space="preserve">anusambhū</t>
  </si>
  <si>
    <t xml:space="preserve">anuvibhū</t>
  </si>
  <si>
    <t xml:space="preserve">apibhū</t>
  </si>
  <si>
    <t xml:space="preserve">apunarbhū</t>
  </si>
  <si>
    <t xml:space="preserve">atibhū</t>
  </si>
  <si>
    <t xml:space="preserve">dvidhābhū</t>
  </si>
  <si>
    <t xml:space="preserve">parisambhū</t>
  </si>
  <si>
    <t xml:space="preserve">paryābhū</t>
  </si>
  <si>
    <t xml:space="preserve">paryākulībhū</t>
  </si>
  <si>
    <t xml:space="preserve">pratisambhū</t>
  </si>
  <si>
    <t xml:space="preserve">pratyābhū</t>
  </si>
  <si>
    <t xml:space="preserve">sākṣībhū</t>
  </si>
  <si>
    <t xml:space="preserve">samayībhū</t>
  </si>
  <si>
    <t xml:space="preserve">samparibhū</t>
  </si>
  <si>
    <t xml:space="preserve">upabhū</t>
  </si>
  <si>
    <t xml:space="preserve">upaprabhū</t>
  </si>
  <si>
    <t xml:space="preserve">vyatibhū</t>
  </si>
  <si>
    <t xml:space="preserve">vac</t>
  </si>
  <si>
    <t xml:space="preserve">pravac</t>
  </si>
  <si>
    <t xml:space="preserve">prativac</t>
  </si>
  <si>
    <t xml:space="preserve">sampravac</t>
  </si>
  <si>
    <t xml:space="preserve">nirvac</t>
  </si>
  <si>
    <t xml:space="preserve">anuvac</t>
  </si>
  <si>
    <t xml:space="preserve">abhivac</t>
  </si>
  <si>
    <t xml:space="preserve">vivac</t>
  </si>
  <si>
    <t xml:space="preserve">saṁvac</t>
  </si>
  <si>
    <t xml:space="preserve">abhyanuvac</t>
  </si>
  <si>
    <t xml:space="preserve">upavac</t>
  </si>
  <si>
    <t xml:space="preserve">ativac</t>
  </si>
  <si>
    <t xml:space="preserve">āvac</t>
  </si>
  <si>
    <t xml:space="preserve">adhivac</t>
  </si>
  <si>
    <t xml:space="preserve">anupravac</t>
  </si>
  <si>
    <t xml:space="preserve">parivac</t>
  </si>
  <si>
    <t xml:space="preserve">paripravac</t>
  </si>
  <si>
    <t xml:space="preserve">pratipravac</t>
  </si>
  <si>
    <t xml:space="preserve">saṁnirvac</t>
  </si>
  <si>
    <t xml:space="preserve">acchāvac</t>
  </si>
  <si>
    <t xml:space="preserve">nivac</t>
  </si>
  <si>
    <t xml:space="preserve">parāvac</t>
  </si>
  <si>
    <t xml:space="preserve">udvac</t>
  </si>
  <si>
    <t xml:space="preserve">Параметр</t>
  </si>
  <si>
    <t xml:space="preserve">Значение</t>
  </si>
  <si>
    <t xml:space="preserve">Всего бесприставочных в корпусе</t>
  </si>
  <si>
    <t xml:space="preserve">Всего приставочных вариантов</t>
  </si>
  <si>
    <t xml:space="preserve">итого глаголов:</t>
  </si>
  <si>
    <t xml:space="preserve">Всего префиксов (включая комбинации)</t>
  </si>
  <si>
    <t xml:space="preserve">Бесприставочные встречаются</t>
  </si>
  <si>
    <t xml:space="preserve">Приставочные встречаются</t>
  </si>
  <si>
    <t xml:space="preserve">Общая сумма</t>
  </si>
  <si>
    <t xml:space="preserve">Каузативных форм</t>
  </si>
  <si>
    <t xml:space="preserve">Всего глагольных форм в корпусе</t>
  </si>
  <si>
    <t xml:space="preserve">Приставочные/бесприставочные глаголы отн. Всех.</t>
  </si>
  <si>
    <t xml:space="preserve">наиболее частотные бесприставочный глагол vac</t>
  </si>
  <si>
    <t xml:space="preserve">Второй по полярности- bhU</t>
  </si>
  <si>
    <t xml:space="preserve">Самая мощная парадигма приставочных форм: gam</t>
  </si>
  <si>
    <t xml:space="preserve">Больше всего префиксных форм у глагола kṛ</t>
  </si>
  <si>
    <t xml:space="preserve">Всего глаголов имеют префиксы</t>
  </si>
  <si>
    <t xml:space="preserve">Всего глаголов не имеют префиксов</t>
  </si>
  <si>
    <t xml:space="preserve">Глаголов, используемых только с префиксом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</si>
</sst>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0"/>
      <name val="Microsoft YaHe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cols>
    <col collapsed="false" customWidth="false" hidden="false" outlineLevel="0" max="2" min="2" style="1" width="11.52"/>
    <col collapsed="false" customWidth="false" hidden="false" outlineLevel="0" max="4" min="4" style="2" width="11.52"/>
  </cols>
  <sheetData>
    <row r="1" s="3" customFormat="true" ht="12.8" hidden="false" customHeight="false" outlineLevel="0" collapsed="false">
      <c r="A1" s="3" t="s">
        <v>0</v>
      </c>
      <c r="B1" s="4" t="s">
        <v>1</v>
      </c>
      <c r="C1" s="4" t="s">
        <v>2</v>
      </c>
      <c r="D1" s="5" t="s">
        <v>3</v>
      </c>
    </row>
    <row r="2" customFormat="false" ht="12.8" hidden="false" customHeight="false" outlineLevel="0" collapsed="false">
      <c r="A2" s="6" t="s">
        <v>4</v>
      </c>
      <c r="B2" s="1" t="n">
        <v>567</v>
      </c>
      <c r="C2" s="6" t="n">
        <f aca="false">B2/9435*100</f>
        <v>6.00953895071542</v>
      </c>
      <c r="D2" s="2" t="n">
        <v>6.009838951</v>
      </c>
    </row>
    <row r="3" customFormat="false" ht="12.8" hidden="false" customHeight="false" outlineLevel="0" collapsed="false">
      <c r="A3" s="6" t="s">
        <v>5</v>
      </c>
      <c r="B3" s="1" t="n">
        <v>561</v>
      </c>
      <c r="C3" s="6" t="n">
        <f aca="false">B3/9435*100</f>
        <v>5.94594594594595</v>
      </c>
      <c r="D3" s="2" t="n">
        <f aca="false">D2+C3</f>
        <v>11.9557848969459</v>
      </c>
    </row>
    <row r="4" customFormat="false" ht="12.8" hidden="false" customHeight="false" outlineLevel="0" collapsed="false">
      <c r="A4" s="6" t="s">
        <v>6</v>
      </c>
      <c r="B4" s="1" t="n">
        <v>531</v>
      </c>
      <c r="C4" s="6" t="n">
        <f aca="false">B4/9435*100</f>
        <v>5.62798092209857</v>
      </c>
      <c r="D4" s="2" t="n">
        <f aca="false">D3+C4</f>
        <v>17.5837658190445</v>
      </c>
    </row>
    <row r="5" customFormat="false" ht="12.8" hidden="false" customHeight="false" outlineLevel="0" collapsed="false">
      <c r="A5" s="6" t="s">
        <v>7</v>
      </c>
      <c r="B5" s="1" t="n">
        <v>451</v>
      </c>
      <c r="C5" s="6" t="n">
        <f aca="false">B5/9435*100</f>
        <v>4.7800741918389</v>
      </c>
      <c r="D5" s="2" t="n">
        <f aca="false">D4+C5</f>
        <v>22.3638400108834</v>
      </c>
    </row>
    <row r="6" customFormat="false" ht="12.8" hidden="false" customHeight="false" outlineLevel="0" collapsed="false">
      <c r="A6" s="6" t="s">
        <v>8</v>
      </c>
      <c r="B6" s="1" t="n">
        <v>430</v>
      </c>
      <c r="C6" s="6" t="n">
        <f aca="false">B6/9435*100</f>
        <v>4.55749867514573</v>
      </c>
      <c r="D6" s="2" t="n">
        <f aca="false">D5+C6</f>
        <v>26.9213386860291</v>
      </c>
    </row>
    <row r="7" customFormat="false" ht="12.8" hidden="false" customHeight="false" outlineLevel="0" collapsed="false">
      <c r="A7" s="6" t="s">
        <v>9</v>
      </c>
      <c r="B7" s="1" t="n">
        <v>396</v>
      </c>
      <c r="C7" s="6" t="n">
        <f aca="false">B7/9435*100</f>
        <v>4.19713831478537</v>
      </c>
      <c r="D7" s="2" t="n">
        <f aca="false">D6+C7</f>
        <v>31.1184770008145</v>
      </c>
    </row>
    <row r="8" customFormat="false" ht="12.8" hidden="false" customHeight="false" outlineLevel="0" collapsed="false">
      <c r="A8" s="6" t="s">
        <v>10</v>
      </c>
      <c r="B8" s="1" t="n">
        <v>309</v>
      </c>
      <c r="C8" s="6" t="n">
        <f aca="false">B8/9435*100</f>
        <v>3.27503974562798</v>
      </c>
      <c r="D8" s="2" t="n">
        <f aca="false">D7+C8</f>
        <v>34.3935167464425</v>
      </c>
    </row>
    <row r="9" customFormat="false" ht="12.8" hidden="false" customHeight="false" outlineLevel="0" collapsed="false">
      <c r="A9" s="6" t="s">
        <v>11</v>
      </c>
      <c r="B9" s="1" t="n">
        <v>286</v>
      </c>
      <c r="C9" s="6" t="n">
        <f aca="false">B9/9435*100</f>
        <v>3.03126656067833</v>
      </c>
      <c r="D9" s="2" t="n">
        <f aca="false">D8+C9</f>
        <v>37.4247833071208</v>
      </c>
    </row>
    <row r="10" customFormat="false" ht="12.8" hidden="false" customHeight="false" outlineLevel="0" collapsed="false">
      <c r="A10" s="6" t="s">
        <v>12</v>
      </c>
      <c r="B10" s="1" t="n">
        <v>286</v>
      </c>
      <c r="C10" s="6" t="n">
        <f aca="false">B10/9435*100</f>
        <v>3.03126656067833</v>
      </c>
      <c r="D10" s="2" t="n">
        <f aca="false">D9+C10</f>
        <v>40.4560498677992</v>
      </c>
    </row>
    <row r="11" customFormat="false" ht="12.8" hidden="false" customHeight="false" outlineLevel="0" collapsed="false">
      <c r="A11" s="6" t="s">
        <v>13</v>
      </c>
      <c r="B11" s="1" t="n">
        <v>281</v>
      </c>
      <c r="C11" s="6" t="n">
        <f aca="false">B11/9435*100</f>
        <v>2.9782723900371</v>
      </c>
      <c r="D11" s="2" t="n">
        <f aca="false">D10+C11</f>
        <v>43.4343222578362</v>
      </c>
    </row>
    <row r="12" customFormat="false" ht="12.8" hidden="false" customHeight="false" outlineLevel="0" collapsed="false">
      <c r="A12" s="6" t="s">
        <v>14</v>
      </c>
      <c r="B12" s="1" t="n">
        <v>242</v>
      </c>
      <c r="C12" s="6" t="n">
        <f aca="false">B12/9435*100</f>
        <v>2.56491785903551</v>
      </c>
      <c r="D12" s="2" t="n">
        <f aca="false">D11+C12</f>
        <v>45.9992401168718</v>
      </c>
    </row>
    <row r="13" customFormat="false" ht="12.8" hidden="false" customHeight="false" outlineLevel="0" collapsed="false">
      <c r="A13" s="6" t="s">
        <v>15</v>
      </c>
      <c r="B13" s="1" t="n">
        <v>240</v>
      </c>
      <c r="C13" s="6" t="n">
        <f aca="false">B13/9435*100</f>
        <v>2.54372019077901</v>
      </c>
      <c r="D13" s="2" t="n">
        <f aca="false">D12+C13</f>
        <v>48.5429603076508</v>
      </c>
    </row>
    <row r="14" customFormat="false" ht="12.8" hidden="false" customHeight="false" outlineLevel="0" collapsed="false">
      <c r="A14" s="6" t="s">
        <v>16</v>
      </c>
      <c r="B14" s="1" t="n">
        <v>205</v>
      </c>
      <c r="C14" s="6" t="n">
        <f aca="false">B14/9435*100</f>
        <v>2.17276099629041</v>
      </c>
      <c r="D14" s="2" t="n">
        <f aca="false">D13+C14</f>
        <v>50.7157213039412</v>
      </c>
    </row>
    <row r="15" customFormat="false" ht="12.8" hidden="false" customHeight="false" outlineLevel="0" collapsed="false">
      <c r="A15" s="6" t="s">
        <v>17</v>
      </c>
      <c r="B15" s="1" t="n">
        <v>156</v>
      </c>
      <c r="C15" s="6" t="n">
        <f aca="false">B15/9435*100</f>
        <v>1.65341812400636</v>
      </c>
      <c r="D15" s="2" t="n">
        <f aca="false">D14+C15</f>
        <v>52.3691394279475</v>
      </c>
    </row>
    <row r="16" customFormat="false" ht="12.8" hidden="false" customHeight="false" outlineLevel="0" collapsed="false">
      <c r="A16" s="6" t="s">
        <v>18</v>
      </c>
      <c r="B16" s="1" t="n">
        <v>154</v>
      </c>
      <c r="C16" s="6" t="n">
        <f aca="false">B16/9435*100</f>
        <v>1.63222045574987</v>
      </c>
      <c r="D16" s="2" t="n">
        <f aca="false">D15+C16</f>
        <v>54.0013598836974</v>
      </c>
    </row>
    <row r="17" customFormat="false" ht="12.8" hidden="false" customHeight="false" outlineLevel="0" collapsed="false">
      <c r="A17" s="6" t="s">
        <v>19</v>
      </c>
      <c r="B17" s="1" t="n">
        <v>146</v>
      </c>
      <c r="C17" s="6" t="n">
        <f aca="false">B17/9435*100</f>
        <v>1.5474297827239</v>
      </c>
      <c r="D17" s="2" t="n">
        <f aca="false">D16+C17</f>
        <v>55.5487896664213</v>
      </c>
    </row>
    <row r="18" customFormat="false" ht="12.8" hidden="false" customHeight="false" outlineLevel="0" collapsed="false">
      <c r="A18" s="6" t="s">
        <v>20</v>
      </c>
      <c r="B18" s="1" t="n">
        <v>106</v>
      </c>
      <c r="C18" s="6" t="n">
        <f aca="false">B18/9435*100</f>
        <v>1.12347641759406</v>
      </c>
      <c r="D18" s="2" t="n">
        <f aca="false">D17+C18</f>
        <v>56.6722660840154</v>
      </c>
    </row>
    <row r="19" customFormat="false" ht="12.8" hidden="false" customHeight="false" outlineLevel="0" collapsed="false">
      <c r="A19" s="6" t="s">
        <v>21</v>
      </c>
      <c r="B19" s="1" t="n">
        <v>94</v>
      </c>
      <c r="C19" s="6" t="n">
        <f aca="false">B19/9435*100</f>
        <v>0.996290408055114</v>
      </c>
      <c r="D19" s="2" t="n">
        <f aca="false">D18+C19</f>
        <v>57.6685564920705</v>
      </c>
    </row>
    <row r="20" customFormat="false" ht="12.8" hidden="false" customHeight="false" outlineLevel="0" collapsed="false">
      <c r="A20" s="6" t="s">
        <v>22</v>
      </c>
      <c r="B20" s="1" t="n">
        <v>93</v>
      </c>
      <c r="C20" s="6" t="n">
        <f aca="false">B20/9435*100</f>
        <v>0.985691573926868</v>
      </c>
      <c r="D20" s="2" t="n">
        <f aca="false">D19+C20</f>
        <v>58.6542480659974</v>
      </c>
    </row>
    <row r="21" customFormat="false" ht="12.8" hidden="false" customHeight="false" outlineLevel="0" collapsed="false">
      <c r="A21" s="6" t="s">
        <v>23</v>
      </c>
      <c r="B21" s="1" t="n">
        <v>91</v>
      </c>
      <c r="C21" s="6" t="n">
        <f aca="false">B21/9435*100</f>
        <v>0.964493905670376</v>
      </c>
      <c r="D21" s="2" t="n">
        <f aca="false">D20+C21</f>
        <v>59.6187419716677</v>
      </c>
    </row>
    <row r="22" customFormat="false" ht="12.8" hidden="false" customHeight="false" outlineLevel="0" collapsed="false">
      <c r="A22" s="6" t="s">
        <v>24</v>
      </c>
      <c r="B22" s="1" t="n">
        <v>89</v>
      </c>
      <c r="C22" s="6" t="n">
        <f aca="false">B22/9435*100</f>
        <v>0.943296237413884</v>
      </c>
      <c r="D22" s="2" t="n">
        <f aca="false">D21+C22</f>
        <v>60.5620382090816</v>
      </c>
    </row>
    <row r="23" customFormat="false" ht="12.8" hidden="false" customHeight="false" outlineLevel="0" collapsed="false">
      <c r="A23" s="6" t="s">
        <v>25</v>
      </c>
      <c r="B23" s="1" t="n">
        <v>80</v>
      </c>
      <c r="C23" s="6" t="n">
        <f aca="false">B23/9435*100</f>
        <v>0.847906730259671</v>
      </c>
      <c r="D23" s="2" t="n">
        <f aca="false">D22+C23</f>
        <v>61.4099449393413</v>
      </c>
    </row>
    <row r="24" customFormat="false" ht="12.8" hidden="false" customHeight="false" outlineLevel="0" collapsed="false">
      <c r="A24" s="6" t="s">
        <v>26</v>
      </c>
      <c r="B24" s="1" t="n">
        <v>73</v>
      </c>
      <c r="C24" s="6" t="n">
        <f aca="false">B24/9435*100</f>
        <v>0.77371489136195</v>
      </c>
      <c r="D24" s="2" t="n">
        <f aca="false">D23+C24</f>
        <v>62.1836598307032</v>
      </c>
    </row>
    <row r="25" customFormat="false" ht="12.8" hidden="false" customHeight="false" outlineLevel="0" collapsed="false">
      <c r="A25" s="6" t="s">
        <v>27</v>
      </c>
      <c r="B25" s="1" t="n">
        <v>72</v>
      </c>
      <c r="C25" s="6" t="n">
        <f aca="false">B25/9435*100</f>
        <v>0.763116057233704</v>
      </c>
      <c r="D25" s="2" t="n">
        <f aca="false">D24+C25</f>
        <v>62.9467758879369</v>
      </c>
    </row>
    <row r="26" customFormat="false" ht="12.8" hidden="false" customHeight="false" outlineLevel="0" collapsed="false">
      <c r="A26" s="6" t="s">
        <v>28</v>
      </c>
      <c r="B26" s="1" t="n">
        <v>70</v>
      </c>
      <c r="C26" s="6" t="n">
        <f aca="false">B26/9435*100</f>
        <v>0.741918388977213</v>
      </c>
      <c r="D26" s="2" t="n">
        <f aca="false">D25+C26</f>
        <v>63.6886942769141</v>
      </c>
    </row>
    <row r="27" customFormat="false" ht="12.8" hidden="false" customHeight="false" outlineLevel="0" collapsed="false">
      <c r="A27" s="6" t="s">
        <v>29</v>
      </c>
      <c r="B27" s="1" t="n">
        <v>61</v>
      </c>
      <c r="C27" s="6" t="n">
        <f aca="false">B27/9435*100</f>
        <v>0.646528881823</v>
      </c>
      <c r="D27" s="2" t="n">
        <f aca="false">D26+C27</f>
        <v>64.3352231587371</v>
      </c>
    </row>
    <row r="28" customFormat="false" ht="12.8" hidden="false" customHeight="false" outlineLevel="0" collapsed="false">
      <c r="A28" s="6" t="s">
        <v>30</v>
      </c>
      <c r="B28" s="1" t="n">
        <v>60</v>
      </c>
      <c r="C28" s="6" t="n">
        <f aca="false">B28/9435*100</f>
        <v>0.635930047694754</v>
      </c>
      <c r="D28" s="2" t="n">
        <f aca="false">D27+C28</f>
        <v>64.9711532064319</v>
      </c>
    </row>
    <row r="29" customFormat="false" ht="12.8" hidden="false" customHeight="false" outlineLevel="0" collapsed="false">
      <c r="A29" s="6" t="s">
        <v>31</v>
      </c>
      <c r="B29" s="1" t="n">
        <v>60</v>
      </c>
      <c r="C29" s="6" t="n">
        <f aca="false">B29/9435*100</f>
        <v>0.635930047694754</v>
      </c>
      <c r="D29" s="2" t="n">
        <f aca="false">D28+C29</f>
        <v>65.6070832541267</v>
      </c>
    </row>
    <row r="30" customFormat="false" ht="12.8" hidden="false" customHeight="false" outlineLevel="0" collapsed="false">
      <c r="A30" s="6" t="s">
        <v>32</v>
      </c>
      <c r="B30" s="1" t="n">
        <v>56</v>
      </c>
      <c r="C30" s="6" t="n">
        <f aca="false">B30/9435*100</f>
        <v>0.59353471118177</v>
      </c>
      <c r="D30" s="2" t="n">
        <f aca="false">D29+C30</f>
        <v>66.2006179653084</v>
      </c>
    </row>
    <row r="31" customFormat="false" ht="12.8" hidden="false" customHeight="false" outlineLevel="0" collapsed="false">
      <c r="A31" s="6" t="s">
        <v>33</v>
      </c>
      <c r="B31" s="1" t="n">
        <v>54</v>
      </c>
      <c r="C31" s="6" t="n">
        <f aca="false">B31/9435*100</f>
        <v>0.572337042925278</v>
      </c>
      <c r="D31" s="2" t="n">
        <f aca="false">D30+C31</f>
        <v>66.7729550082337</v>
      </c>
    </row>
    <row r="32" customFormat="false" ht="12.8" hidden="false" customHeight="false" outlineLevel="0" collapsed="false">
      <c r="A32" s="6" t="s">
        <v>34</v>
      </c>
      <c r="B32" s="1" t="n">
        <v>54</v>
      </c>
      <c r="C32" s="6" t="n">
        <f aca="false">B32/9435*100</f>
        <v>0.572337042925278</v>
      </c>
      <c r="D32" s="2" t="n">
        <f aca="false">D31+C32</f>
        <v>67.345292051159</v>
      </c>
    </row>
    <row r="33" customFormat="false" ht="12.8" hidden="false" customHeight="false" outlineLevel="0" collapsed="false">
      <c r="A33" s="6" t="s">
        <v>35</v>
      </c>
      <c r="B33" s="1" t="n">
        <v>52</v>
      </c>
      <c r="C33" s="6" t="n">
        <f aca="false">B33/9435*100</f>
        <v>0.551139374668786</v>
      </c>
      <c r="D33" s="2" t="n">
        <f aca="false">D32+C33</f>
        <v>67.8964314258278</v>
      </c>
    </row>
    <row r="34" customFormat="false" ht="12.8" hidden="false" customHeight="false" outlineLevel="0" collapsed="false">
      <c r="A34" s="6" t="s">
        <v>36</v>
      </c>
      <c r="B34" s="1" t="n">
        <v>51</v>
      </c>
      <c r="C34" s="6" t="n">
        <f aca="false">B34/9435*100</f>
        <v>0.540540540540541</v>
      </c>
      <c r="D34" s="2" t="n">
        <f aca="false">D33+C34</f>
        <v>68.4369719663683</v>
      </c>
    </row>
    <row r="35" customFormat="false" ht="12.8" hidden="false" customHeight="false" outlineLevel="0" collapsed="false">
      <c r="A35" s="6" t="s">
        <v>37</v>
      </c>
      <c r="B35" s="1" t="n">
        <v>50</v>
      </c>
      <c r="C35" s="6" t="n">
        <f aca="false">B35/9435*100</f>
        <v>0.529941706412295</v>
      </c>
      <c r="D35" s="2" t="n">
        <f aca="false">D34+C35</f>
        <v>68.9669136727806</v>
      </c>
    </row>
    <row r="36" customFormat="false" ht="12.8" hidden="false" customHeight="false" outlineLevel="0" collapsed="false">
      <c r="A36" s="6" t="s">
        <v>38</v>
      </c>
      <c r="B36" s="1" t="n">
        <v>49</v>
      </c>
      <c r="C36" s="6" t="n">
        <f aca="false">B36/9435*100</f>
        <v>0.519342872284049</v>
      </c>
      <c r="D36" s="2" t="n">
        <f aca="false">D35+C36</f>
        <v>69.4862565450647</v>
      </c>
    </row>
    <row r="37" customFormat="false" ht="12.8" hidden="false" customHeight="false" outlineLevel="0" collapsed="false">
      <c r="A37" s="6" t="s">
        <v>39</v>
      </c>
      <c r="B37" s="1" t="n">
        <v>49</v>
      </c>
      <c r="C37" s="6" t="n">
        <f aca="false">B37/9435*100</f>
        <v>0.519342872284049</v>
      </c>
      <c r="D37" s="2" t="n">
        <f aca="false">D36+C37</f>
        <v>70.0055994173487</v>
      </c>
    </row>
    <row r="38" customFormat="false" ht="12.8" hidden="false" customHeight="false" outlineLevel="0" collapsed="false">
      <c r="A38" s="6" t="s">
        <v>40</v>
      </c>
      <c r="B38" s="1" t="n">
        <v>46</v>
      </c>
      <c r="C38" s="6" t="n">
        <f aca="false">B38/9435*100</f>
        <v>0.487546369899311</v>
      </c>
      <c r="D38" s="2" t="n">
        <f aca="false">D37+C38</f>
        <v>70.493145787248</v>
      </c>
    </row>
    <row r="39" customFormat="false" ht="12.8" hidden="false" customHeight="false" outlineLevel="0" collapsed="false">
      <c r="A39" s="6" t="s">
        <v>41</v>
      </c>
      <c r="B39" s="1" t="n">
        <v>46</v>
      </c>
      <c r="C39" s="6" t="n">
        <f aca="false">B39/9435*100</f>
        <v>0.487546369899311</v>
      </c>
      <c r="D39" s="2" t="n">
        <f aca="false">D38+C39</f>
        <v>70.9806921571473</v>
      </c>
    </row>
    <row r="40" customFormat="false" ht="12.8" hidden="false" customHeight="false" outlineLevel="0" collapsed="false">
      <c r="A40" s="6" t="s">
        <v>42</v>
      </c>
      <c r="B40" s="1" t="n">
        <v>46</v>
      </c>
      <c r="C40" s="6" t="n">
        <f aca="false">B40/9435*100</f>
        <v>0.487546369899311</v>
      </c>
      <c r="D40" s="2" t="n">
        <f aca="false">D39+C40</f>
        <v>71.4682385270466</v>
      </c>
    </row>
    <row r="41" customFormat="false" ht="12.8" hidden="false" customHeight="false" outlineLevel="0" collapsed="false">
      <c r="A41" s="6" t="s">
        <v>43</v>
      </c>
      <c r="B41" s="1" t="n">
        <v>46</v>
      </c>
      <c r="C41" s="6" t="n">
        <f aca="false">B41/9435*100</f>
        <v>0.487546369899311</v>
      </c>
      <c r="D41" s="2" t="n">
        <f aca="false">D40+C41</f>
        <v>71.9557848969459</v>
      </c>
    </row>
    <row r="42" customFormat="false" ht="12.8" hidden="false" customHeight="false" outlineLevel="0" collapsed="false">
      <c r="A42" s="6" t="s">
        <v>44</v>
      </c>
      <c r="B42" s="1" t="n">
        <v>45</v>
      </c>
      <c r="C42" s="6" t="n">
        <f aca="false">B42/9435*100</f>
        <v>0.476947535771065</v>
      </c>
      <c r="D42" s="2" t="n">
        <f aca="false">D41+C42</f>
        <v>72.432732432717</v>
      </c>
    </row>
    <row r="43" customFormat="false" ht="12.8" hidden="false" customHeight="false" outlineLevel="0" collapsed="false">
      <c r="A43" s="6" t="s">
        <v>45</v>
      </c>
      <c r="B43" s="1" t="n">
        <v>45</v>
      </c>
      <c r="C43" s="6" t="n">
        <f aca="false">B43/9435*100</f>
        <v>0.476947535771065</v>
      </c>
      <c r="D43" s="2" t="n">
        <f aca="false">D42+C43</f>
        <v>72.909679968488</v>
      </c>
    </row>
    <row r="44" customFormat="false" ht="12.8" hidden="false" customHeight="false" outlineLevel="0" collapsed="false">
      <c r="A44" s="6" t="s">
        <v>46</v>
      </c>
      <c r="B44" s="1" t="n">
        <v>45</v>
      </c>
      <c r="C44" s="6" t="n">
        <f aca="false">B44/9435*100</f>
        <v>0.476947535771065</v>
      </c>
      <c r="D44" s="2" t="n">
        <f aca="false">D43+C44</f>
        <v>73.3866275042591</v>
      </c>
    </row>
    <row r="45" customFormat="false" ht="12.8" hidden="false" customHeight="false" outlineLevel="0" collapsed="false">
      <c r="A45" s="6" t="s">
        <v>47</v>
      </c>
      <c r="B45" s="1" t="n">
        <v>43</v>
      </c>
      <c r="C45" s="6" t="n">
        <f aca="false">B45/9435*100</f>
        <v>0.455749867514573</v>
      </c>
      <c r="D45" s="2" t="n">
        <f aca="false">D44+C45</f>
        <v>73.8423773717737</v>
      </c>
    </row>
    <row r="46" customFormat="false" ht="12.8" hidden="false" customHeight="false" outlineLevel="0" collapsed="false">
      <c r="A46" s="6" t="s">
        <v>48</v>
      </c>
      <c r="B46" s="1" t="n">
        <v>43</v>
      </c>
      <c r="C46" s="6" t="n">
        <f aca="false">B46/9435*100</f>
        <v>0.455749867514573</v>
      </c>
      <c r="D46" s="2" t="n">
        <f aca="false">D45+C46</f>
        <v>74.2981272392882</v>
      </c>
    </row>
    <row r="47" customFormat="false" ht="12.8" hidden="false" customHeight="false" outlineLevel="0" collapsed="false">
      <c r="A47" s="6" t="s">
        <v>49</v>
      </c>
      <c r="B47" s="1" t="n">
        <v>43</v>
      </c>
      <c r="C47" s="6" t="n">
        <f aca="false">B47/9435*100</f>
        <v>0.455749867514573</v>
      </c>
      <c r="D47" s="2" t="n">
        <f aca="false">D46+C47</f>
        <v>74.7538771068028</v>
      </c>
    </row>
    <row r="48" customFormat="false" ht="12.8" hidden="false" customHeight="false" outlineLevel="0" collapsed="false">
      <c r="A48" s="6" t="s">
        <v>50</v>
      </c>
      <c r="B48" s="1" t="n">
        <v>42</v>
      </c>
      <c r="C48" s="6" t="n">
        <f aca="false">B48/9435*100</f>
        <v>0.445151033386327</v>
      </c>
      <c r="D48" s="2" t="n">
        <f aca="false">D47+C48</f>
        <v>75.1990281401891</v>
      </c>
    </row>
    <row r="49" customFormat="false" ht="12.8" hidden="false" customHeight="false" outlineLevel="0" collapsed="false">
      <c r="A49" s="6" t="s">
        <v>51</v>
      </c>
      <c r="B49" s="1" t="n">
        <v>39</v>
      </c>
      <c r="C49" s="6" t="n">
        <f aca="false">B49/9435*100</f>
        <v>0.41335453100159</v>
      </c>
      <c r="D49" s="2" t="n">
        <f aca="false">D48+C49</f>
        <v>75.6123826711907</v>
      </c>
    </row>
    <row r="50" customFormat="false" ht="12.8" hidden="false" customHeight="false" outlineLevel="0" collapsed="false">
      <c r="A50" s="6" t="s">
        <v>52</v>
      </c>
      <c r="B50" s="1" t="n">
        <v>38</v>
      </c>
      <c r="C50" s="6" t="n">
        <f aca="false">B50/9435*100</f>
        <v>0.402755696873344</v>
      </c>
      <c r="D50" s="2" t="n">
        <f aca="false">D49+C50</f>
        <v>76.0151383680641</v>
      </c>
    </row>
    <row r="51" customFormat="false" ht="12.8" hidden="false" customHeight="false" outlineLevel="0" collapsed="false">
      <c r="A51" s="6" t="s">
        <v>53</v>
      </c>
      <c r="B51" s="1" t="n">
        <v>36</v>
      </c>
      <c r="C51" s="6" t="n">
        <f aca="false">B51/9435*100</f>
        <v>0.381558028616852</v>
      </c>
      <c r="D51" s="2" t="n">
        <f aca="false">D50+C51</f>
        <v>76.3966963966809</v>
      </c>
    </row>
    <row r="52" customFormat="false" ht="12.8" hidden="false" customHeight="false" outlineLevel="0" collapsed="false">
      <c r="A52" s="6" t="s">
        <v>54</v>
      </c>
      <c r="B52" s="1" t="n">
        <v>35</v>
      </c>
      <c r="C52" s="6" t="n">
        <f aca="false">B52/9435*100</f>
        <v>0.370959194488606</v>
      </c>
      <c r="D52" s="2" t="n">
        <f aca="false">D51+C52</f>
        <v>76.7676555911695</v>
      </c>
    </row>
    <row r="53" customFormat="false" ht="12.8" hidden="false" customHeight="false" outlineLevel="0" collapsed="false">
      <c r="A53" s="6" t="s">
        <v>55</v>
      </c>
      <c r="B53" s="1" t="n">
        <v>33</v>
      </c>
      <c r="C53" s="6" t="n">
        <f aca="false">B53/9435*100</f>
        <v>0.349761526232114</v>
      </c>
      <c r="D53" s="2" t="n">
        <f aca="false">D52+C53</f>
        <v>77.1174171174016</v>
      </c>
    </row>
    <row r="54" customFormat="false" ht="12.8" hidden="false" customHeight="false" outlineLevel="0" collapsed="false">
      <c r="A54" s="6" t="s">
        <v>56</v>
      </c>
      <c r="B54" s="1" t="n">
        <v>31</v>
      </c>
      <c r="C54" s="6" t="n">
        <f aca="false">B54/9435*100</f>
        <v>0.328563857975623</v>
      </c>
      <c r="D54" s="2" t="n">
        <f aca="false">D53+C54</f>
        <v>77.4459809753773</v>
      </c>
    </row>
    <row r="55" customFormat="false" ht="12.8" hidden="false" customHeight="false" outlineLevel="0" collapsed="false">
      <c r="A55" s="6" t="s">
        <v>57</v>
      </c>
      <c r="B55" s="1" t="n">
        <v>30</v>
      </c>
      <c r="C55" s="6" t="n">
        <f aca="false">B55/9435*100</f>
        <v>0.317965023847377</v>
      </c>
      <c r="D55" s="2" t="n">
        <f aca="false">D54+C55</f>
        <v>77.7639459992246</v>
      </c>
    </row>
    <row r="56" customFormat="false" ht="12.8" hidden="false" customHeight="false" outlineLevel="0" collapsed="false">
      <c r="A56" s="6" t="s">
        <v>58</v>
      </c>
      <c r="B56" s="1" t="n">
        <v>30</v>
      </c>
      <c r="C56" s="6" t="n">
        <f aca="false">B56/9435*100</f>
        <v>0.317965023847377</v>
      </c>
      <c r="D56" s="2" t="n">
        <f aca="false">D55+C56</f>
        <v>78.081911023072</v>
      </c>
    </row>
    <row r="57" customFormat="false" ht="12.8" hidden="false" customHeight="false" outlineLevel="0" collapsed="false">
      <c r="A57" s="6" t="s">
        <v>59</v>
      </c>
      <c r="B57" s="1" t="n">
        <v>29</v>
      </c>
      <c r="C57" s="6" t="n">
        <f aca="false">B57/9435*100</f>
        <v>0.307366189719131</v>
      </c>
      <c r="D57" s="2" t="n">
        <f aca="false">D56+C57</f>
        <v>78.3892772127912</v>
      </c>
    </row>
    <row r="58" customFormat="false" ht="12.8" hidden="false" customHeight="false" outlineLevel="0" collapsed="false">
      <c r="A58" s="6" t="s">
        <v>60</v>
      </c>
      <c r="B58" s="1" t="n">
        <v>28</v>
      </c>
      <c r="C58" s="6" t="n">
        <f aca="false">B58/9435*100</f>
        <v>0.296767355590885</v>
      </c>
      <c r="D58" s="2" t="n">
        <f aca="false">D57+C58</f>
        <v>78.686044568382</v>
      </c>
    </row>
    <row r="59" customFormat="false" ht="12.8" hidden="false" customHeight="false" outlineLevel="0" collapsed="false">
      <c r="A59" s="6" t="s">
        <v>61</v>
      </c>
      <c r="B59" s="1" t="n">
        <v>28</v>
      </c>
      <c r="C59" s="6" t="n">
        <f aca="false">B59/9435*100</f>
        <v>0.296767355590885</v>
      </c>
      <c r="D59" s="2" t="n">
        <f aca="false">D58+C59</f>
        <v>78.9828119239729</v>
      </c>
    </row>
    <row r="60" customFormat="false" ht="12.8" hidden="false" customHeight="false" outlineLevel="0" collapsed="false">
      <c r="A60" s="6" t="s">
        <v>62</v>
      </c>
      <c r="B60" s="1" t="n">
        <v>27</v>
      </c>
      <c r="C60" s="6" t="n">
        <f aca="false">B60/9435*100</f>
        <v>0.286168521462639</v>
      </c>
      <c r="D60" s="2" t="n">
        <f aca="false">D59+C60</f>
        <v>79.2689804454356</v>
      </c>
    </row>
    <row r="61" customFormat="false" ht="12.8" hidden="false" customHeight="false" outlineLevel="0" collapsed="false">
      <c r="A61" s="6" t="s">
        <v>63</v>
      </c>
      <c r="B61" s="1" t="n">
        <v>26</v>
      </c>
      <c r="C61" s="6" t="n">
        <f aca="false">B61/9435*100</f>
        <v>0.275569687334393</v>
      </c>
      <c r="D61" s="2" t="n">
        <f aca="false">D60+C61</f>
        <v>79.54455013277</v>
      </c>
    </row>
    <row r="62" customFormat="false" ht="12.8" hidden="false" customHeight="false" outlineLevel="0" collapsed="false">
      <c r="A62" s="6" t="s">
        <v>64</v>
      </c>
      <c r="B62" s="1" t="n">
        <v>25</v>
      </c>
      <c r="C62" s="6" t="n">
        <f aca="false">B62/9435*100</f>
        <v>0.264970853206147</v>
      </c>
      <c r="D62" s="2" t="n">
        <f aca="false">D61+C62</f>
        <v>79.8095209859761</v>
      </c>
    </row>
    <row r="63" s="7" customFormat="true" ht="12.8" hidden="false" customHeight="false" outlineLevel="0" collapsed="false">
      <c r="A63" s="7" t="s">
        <v>65</v>
      </c>
      <c r="B63" s="8" t="n">
        <v>25</v>
      </c>
      <c r="C63" s="7" t="n">
        <f aca="false">B63/9435*100</f>
        <v>0.264970853206147</v>
      </c>
      <c r="D63" s="9" t="n">
        <f aca="false">D62+C63</f>
        <v>80.0744918391823</v>
      </c>
    </row>
    <row r="64" customFormat="false" ht="12.8" hidden="false" customHeight="false" outlineLevel="0" collapsed="false">
      <c r="A64" s="6" t="s">
        <v>66</v>
      </c>
      <c r="B64" s="1" t="n">
        <v>24</v>
      </c>
      <c r="C64" s="6" t="n">
        <f aca="false">B64/9435*100</f>
        <v>0.254372019077901</v>
      </c>
      <c r="D64" s="2" t="n">
        <f aca="false">D63+C64</f>
        <v>80.3288638582602</v>
      </c>
    </row>
    <row r="65" customFormat="false" ht="12.8" hidden="false" customHeight="false" outlineLevel="0" collapsed="false">
      <c r="A65" s="6" t="s">
        <v>67</v>
      </c>
      <c r="B65" s="1" t="n">
        <v>24</v>
      </c>
      <c r="C65" s="6" t="n">
        <f aca="false">B65/9435*100</f>
        <v>0.254372019077901</v>
      </c>
      <c r="D65" s="2" t="n">
        <f aca="false">D64+C65</f>
        <v>80.5832358773381</v>
      </c>
    </row>
    <row r="66" customFormat="false" ht="12.8" hidden="false" customHeight="false" outlineLevel="0" collapsed="false">
      <c r="A66" s="6" t="s">
        <v>68</v>
      </c>
      <c r="B66" s="1" t="n">
        <v>23</v>
      </c>
      <c r="C66" s="6" t="n">
        <f aca="false">B66/9435*100</f>
        <v>0.243773184949656</v>
      </c>
      <c r="D66" s="2" t="n">
        <f aca="false">D65+C66</f>
        <v>80.8270090622878</v>
      </c>
    </row>
    <row r="67" customFormat="false" ht="12.8" hidden="false" customHeight="false" outlineLevel="0" collapsed="false">
      <c r="A67" s="6" t="s">
        <v>69</v>
      </c>
      <c r="B67" s="1" t="n">
        <v>23</v>
      </c>
      <c r="C67" s="6" t="n">
        <f aca="false">B67/9435*100</f>
        <v>0.243773184949656</v>
      </c>
      <c r="D67" s="2" t="n">
        <f aca="false">D66+C67</f>
        <v>81.0707822472374</v>
      </c>
    </row>
    <row r="68" customFormat="false" ht="12.8" hidden="false" customHeight="false" outlineLevel="0" collapsed="false">
      <c r="A68" s="6" t="s">
        <v>70</v>
      </c>
      <c r="B68" s="1" t="n">
        <v>22</v>
      </c>
      <c r="C68" s="6" t="n">
        <f aca="false">B68/9435*100</f>
        <v>0.23317435082141</v>
      </c>
      <c r="D68" s="2" t="n">
        <f aca="false">D67+C68</f>
        <v>81.3039565980588</v>
      </c>
    </row>
    <row r="69" customFormat="false" ht="12.8" hidden="false" customHeight="false" outlineLevel="0" collapsed="false">
      <c r="A69" s="6" t="s">
        <v>71</v>
      </c>
      <c r="B69" s="1" t="n">
        <v>20</v>
      </c>
      <c r="C69" s="6" t="n">
        <f aca="false">B69/9435*100</f>
        <v>0.211976682564918</v>
      </c>
      <c r="D69" s="2" t="n">
        <f aca="false">D68+C69</f>
        <v>81.5159332806237</v>
      </c>
    </row>
    <row r="70" customFormat="false" ht="12.8" hidden="false" customHeight="false" outlineLevel="0" collapsed="false">
      <c r="A70" s="6" t="s">
        <v>72</v>
      </c>
      <c r="B70" s="1" t="n">
        <v>20</v>
      </c>
      <c r="C70" s="6" t="n">
        <f aca="false">B70/9435*100</f>
        <v>0.211976682564918</v>
      </c>
      <c r="D70" s="2" t="n">
        <f aca="false">D69+C70</f>
        <v>81.7279099631887</v>
      </c>
    </row>
    <row r="71" customFormat="false" ht="12.8" hidden="false" customHeight="false" outlineLevel="0" collapsed="false">
      <c r="A71" s="6" t="s">
        <v>73</v>
      </c>
      <c r="B71" s="1" t="n">
        <v>20</v>
      </c>
      <c r="C71" s="6" t="n">
        <f aca="false">B71/9435*100</f>
        <v>0.211976682564918</v>
      </c>
      <c r="D71" s="2" t="n">
        <f aca="false">D70+C71</f>
        <v>81.9398866457536</v>
      </c>
    </row>
    <row r="72" customFormat="false" ht="12.8" hidden="false" customHeight="false" outlineLevel="0" collapsed="false">
      <c r="A72" s="6" t="s">
        <v>74</v>
      </c>
      <c r="B72" s="1" t="n">
        <v>20</v>
      </c>
      <c r="C72" s="6" t="n">
        <f aca="false">B72/9435*100</f>
        <v>0.211976682564918</v>
      </c>
      <c r="D72" s="2" t="n">
        <f aca="false">D71+C72</f>
        <v>82.1518633283185</v>
      </c>
    </row>
    <row r="73" customFormat="false" ht="12.8" hidden="false" customHeight="false" outlineLevel="0" collapsed="false">
      <c r="A73" s="6" t="s">
        <v>75</v>
      </c>
      <c r="B73" s="1" t="n">
        <v>19</v>
      </c>
      <c r="C73" s="6" t="n">
        <f aca="false">B73/9435*100</f>
        <v>0.201377848436672</v>
      </c>
      <c r="D73" s="2" t="n">
        <f aca="false">D72+C73</f>
        <v>82.3532411767552</v>
      </c>
    </row>
    <row r="74" customFormat="false" ht="12.8" hidden="false" customHeight="false" outlineLevel="0" collapsed="false">
      <c r="A74" s="6" t="s">
        <v>76</v>
      </c>
      <c r="B74" s="1" t="n">
        <v>18</v>
      </c>
      <c r="C74" s="6" t="n">
        <f aca="false">B74/9435*100</f>
        <v>0.190779014308426</v>
      </c>
      <c r="D74" s="2" t="n">
        <f aca="false">D73+C74</f>
        <v>82.5440201910636</v>
      </c>
    </row>
    <row r="75" customFormat="false" ht="12.8" hidden="false" customHeight="false" outlineLevel="0" collapsed="false">
      <c r="A75" s="6" t="s">
        <v>77</v>
      </c>
      <c r="B75" s="1" t="n">
        <v>17</v>
      </c>
      <c r="C75" s="6" t="n">
        <f aca="false">B75/9435*100</f>
        <v>0.18018018018018</v>
      </c>
      <c r="D75" s="2" t="n">
        <f aca="false">D74+C75</f>
        <v>82.7242003712438</v>
      </c>
    </row>
    <row r="76" customFormat="false" ht="12.8" hidden="false" customHeight="false" outlineLevel="0" collapsed="false">
      <c r="A76" s="6" t="s">
        <v>78</v>
      </c>
      <c r="B76" s="1" t="n">
        <v>16</v>
      </c>
      <c r="C76" s="6" t="n">
        <f aca="false">B76/9435*100</f>
        <v>0.169581346051934</v>
      </c>
      <c r="D76" s="2" t="n">
        <f aca="false">D75+C76</f>
        <v>82.8937817172957</v>
      </c>
    </row>
    <row r="77" customFormat="false" ht="12.8" hidden="false" customHeight="false" outlineLevel="0" collapsed="false">
      <c r="A77" s="6" t="s">
        <v>79</v>
      </c>
      <c r="B77" s="1" t="n">
        <v>16</v>
      </c>
      <c r="C77" s="6" t="n">
        <f aca="false">B77/9435*100</f>
        <v>0.169581346051934</v>
      </c>
      <c r="D77" s="2" t="n">
        <f aca="false">D76+C77</f>
        <v>83.0633630633477</v>
      </c>
    </row>
    <row r="78" customFormat="false" ht="12.8" hidden="false" customHeight="false" outlineLevel="0" collapsed="false">
      <c r="A78" s="6" t="s">
        <v>80</v>
      </c>
      <c r="B78" s="1" t="n">
        <v>16</v>
      </c>
      <c r="C78" s="6" t="n">
        <f aca="false">B78/9435*100</f>
        <v>0.169581346051934</v>
      </c>
      <c r="D78" s="2" t="n">
        <f aca="false">D77+C78</f>
        <v>83.2329444093996</v>
      </c>
    </row>
    <row r="79" customFormat="false" ht="12.8" hidden="false" customHeight="false" outlineLevel="0" collapsed="false">
      <c r="A79" s="6" t="s">
        <v>81</v>
      </c>
      <c r="B79" s="1" t="n">
        <v>16</v>
      </c>
      <c r="C79" s="6" t="n">
        <f aca="false">B79/9435*100</f>
        <v>0.169581346051934</v>
      </c>
      <c r="D79" s="2" t="n">
        <f aca="false">D78+C79</f>
        <v>83.4025257554515</v>
      </c>
    </row>
    <row r="80" customFormat="false" ht="12.8" hidden="false" customHeight="false" outlineLevel="0" collapsed="false">
      <c r="A80" s="6" t="s">
        <v>82</v>
      </c>
      <c r="B80" s="1" t="n">
        <v>15</v>
      </c>
      <c r="C80" s="6" t="n">
        <f aca="false">B80/9435*100</f>
        <v>0.158982511923688</v>
      </c>
      <c r="D80" s="2" t="n">
        <f aca="false">D79+C80</f>
        <v>83.5615082673752</v>
      </c>
    </row>
    <row r="81" customFormat="false" ht="12.8" hidden="false" customHeight="false" outlineLevel="0" collapsed="false">
      <c r="A81" s="6" t="s">
        <v>83</v>
      </c>
      <c r="B81" s="1" t="n">
        <v>15</v>
      </c>
      <c r="C81" s="6" t="n">
        <f aca="false">B81/9435*100</f>
        <v>0.158982511923688</v>
      </c>
      <c r="D81" s="2" t="n">
        <f aca="false">D80+C81</f>
        <v>83.7204907792989</v>
      </c>
    </row>
    <row r="82" customFormat="false" ht="12.8" hidden="false" customHeight="false" outlineLevel="0" collapsed="false">
      <c r="A82" s="6" t="s">
        <v>84</v>
      </c>
      <c r="B82" s="1" t="n">
        <v>15</v>
      </c>
      <c r="C82" s="6" t="n">
        <f aca="false">B82/9435*100</f>
        <v>0.158982511923688</v>
      </c>
      <c r="D82" s="2" t="n">
        <f aca="false">D81+C82</f>
        <v>83.8794732912226</v>
      </c>
    </row>
    <row r="83" customFormat="false" ht="12.8" hidden="false" customHeight="false" outlineLevel="0" collapsed="false">
      <c r="A83" s="6" t="s">
        <v>85</v>
      </c>
      <c r="B83" s="1" t="n">
        <v>14</v>
      </c>
      <c r="C83" s="6" t="n">
        <f aca="false">B83/9435*100</f>
        <v>0.148383677795442</v>
      </c>
      <c r="D83" s="2" t="n">
        <f aca="false">D82+C83</f>
        <v>84.027856969018</v>
      </c>
    </row>
    <row r="84" customFormat="false" ht="12.8" hidden="false" customHeight="false" outlineLevel="0" collapsed="false">
      <c r="A84" s="6" t="s">
        <v>86</v>
      </c>
      <c r="B84" s="1" t="n">
        <v>14</v>
      </c>
      <c r="C84" s="6" t="n">
        <f aca="false">B84/9435*100</f>
        <v>0.148383677795442</v>
      </c>
      <c r="D84" s="2" t="n">
        <f aca="false">D83+C84</f>
        <v>84.1762406468135</v>
      </c>
    </row>
    <row r="85" customFormat="false" ht="12.8" hidden="false" customHeight="false" outlineLevel="0" collapsed="false">
      <c r="A85" s="6" t="s">
        <v>87</v>
      </c>
      <c r="B85" s="1" t="n">
        <v>13</v>
      </c>
      <c r="C85" s="6" t="n">
        <f aca="false">B85/9435*100</f>
        <v>0.137784843667197</v>
      </c>
      <c r="D85" s="2" t="n">
        <f aca="false">D84+C85</f>
        <v>84.3140254904806</v>
      </c>
    </row>
    <row r="86" customFormat="false" ht="12.8" hidden="false" customHeight="false" outlineLevel="0" collapsed="false">
      <c r="A86" s="6" t="s">
        <v>88</v>
      </c>
      <c r="B86" s="1" t="n">
        <v>13</v>
      </c>
      <c r="C86" s="6" t="n">
        <f aca="false">B86/9435*100</f>
        <v>0.137784843667197</v>
      </c>
      <c r="D86" s="2" t="n">
        <f aca="false">D85+C86</f>
        <v>84.4518103341478</v>
      </c>
    </row>
    <row r="87" customFormat="false" ht="12.8" hidden="false" customHeight="false" outlineLevel="0" collapsed="false">
      <c r="A87" s="6" t="s">
        <v>89</v>
      </c>
      <c r="B87" s="1" t="n">
        <v>13</v>
      </c>
      <c r="C87" s="6" t="n">
        <f aca="false">B87/9435*100</f>
        <v>0.137784843667197</v>
      </c>
      <c r="D87" s="2" t="n">
        <f aca="false">D86+C87</f>
        <v>84.589595177815</v>
      </c>
    </row>
    <row r="88" customFormat="false" ht="12.8" hidden="false" customHeight="false" outlineLevel="0" collapsed="false">
      <c r="A88" s="6" t="s">
        <v>90</v>
      </c>
      <c r="B88" s="1" t="n">
        <v>13</v>
      </c>
      <c r="C88" s="6" t="n">
        <f aca="false">B88/9435*100</f>
        <v>0.137784843667197</v>
      </c>
      <c r="D88" s="2" t="n">
        <f aca="false">D87+C88</f>
        <v>84.7273800214822</v>
      </c>
    </row>
    <row r="89" customFormat="false" ht="12.8" hidden="false" customHeight="false" outlineLevel="0" collapsed="false">
      <c r="A89" s="6" t="s">
        <v>91</v>
      </c>
      <c r="B89" s="1" t="n">
        <v>13</v>
      </c>
      <c r="C89" s="6" t="n">
        <f aca="false">B89/9435*100</f>
        <v>0.137784843667197</v>
      </c>
      <c r="D89" s="2" t="n">
        <f aca="false">D88+C89</f>
        <v>84.8651648651494</v>
      </c>
    </row>
    <row r="90" customFormat="false" ht="12.8" hidden="false" customHeight="false" outlineLevel="0" collapsed="false">
      <c r="A90" s="6" t="s">
        <v>92</v>
      </c>
      <c r="B90" s="1" t="n">
        <v>13</v>
      </c>
      <c r="C90" s="6" t="n">
        <f aca="false">B90/9435*100</f>
        <v>0.137784843667197</v>
      </c>
      <c r="D90" s="2" t="n">
        <f aca="false">D89+C90</f>
        <v>85.0029497088166</v>
      </c>
    </row>
    <row r="91" customFormat="false" ht="12.8" hidden="false" customHeight="false" outlineLevel="0" collapsed="false">
      <c r="A91" s="6" t="s">
        <v>93</v>
      </c>
      <c r="B91" s="1" t="n">
        <v>13</v>
      </c>
      <c r="C91" s="6" t="n">
        <f aca="false">B91/9435*100</f>
        <v>0.137784843667197</v>
      </c>
      <c r="D91" s="2" t="n">
        <f aca="false">D90+C91</f>
        <v>85.1407345524838</v>
      </c>
    </row>
    <row r="92" customFormat="false" ht="12.8" hidden="false" customHeight="false" outlineLevel="0" collapsed="false">
      <c r="A92" s="6" t="s">
        <v>94</v>
      </c>
      <c r="B92" s="1" t="n">
        <v>12</v>
      </c>
      <c r="C92" s="6" t="n">
        <f aca="false">B92/9435*100</f>
        <v>0.127186009538951</v>
      </c>
      <c r="D92" s="2" t="n">
        <f aca="false">D91+C92</f>
        <v>85.2679205620227</v>
      </c>
    </row>
    <row r="93" customFormat="false" ht="12.8" hidden="false" customHeight="false" outlineLevel="0" collapsed="false">
      <c r="A93" s="6" t="s">
        <v>95</v>
      </c>
      <c r="B93" s="1" t="n">
        <v>11</v>
      </c>
      <c r="C93" s="6" t="n">
        <f aca="false">B93/9435*100</f>
        <v>0.116587175410705</v>
      </c>
      <c r="D93" s="2" t="n">
        <f aca="false">D92+C93</f>
        <v>85.3845077374334</v>
      </c>
    </row>
    <row r="94" customFormat="false" ht="12.8" hidden="false" customHeight="false" outlineLevel="0" collapsed="false">
      <c r="A94" s="6" t="s">
        <v>96</v>
      </c>
      <c r="B94" s="1" t="n">
        <v>11</v>
      </c>
      <c r="C94" s="6" t="n">
        <f aca="false">B94/9435*100</f>
        <v>0.116587175410705</v>
      </c>
      <c r="D94" s="2" t="n">
        <f aca="false">D93+C94</f>
        <v>85.5010949128441</v>
      </c>
    </row>
    <row r="95" customFormat="false" ht="12.8" hidden="false" customHeight="false" outlineLevel="0" collapsed="false">
      <c r="A95" s="6" t="s">
        <v>97</v>
      </c>
      <c r="B95" s="1" t="n">
        <v>11</v>
      </c>
      <c r="C95" s="6" t="n">
        <f aca="false">B95/9435*100</f>
        <v>0.116587175410705</v>
      </c>
      <c r="D95" s="2" t="n">
        <f aca="false">D94+C95</f>
        <v>85.6176820882548</v>
      </c>
    </row>
    <row r="96" customFormat="false" ht="12.8" hidden="false" customHeight="false" outlineLevel="0" collapsed="false">
      <c r="A96" s="6" t="s">
        <v>98</v>
      </c>
      <c r="B96" s="1" t="n">
        <v>11</v>
      </c>
      <c r="C96" s="6" t="n">
        <f aca="false">B96/9435*100</f>
        <v>0.116587175410705</v>
      </c>
      <c r="D96" s="2" t="n">
        <f aca="false">D95+C96</f>
        <v>85.7342692636655</v>
      </c>
    </row>
    <row r="97" customFormat="false" ht="12.8" hidden="false" customHeight="false" outlineLevel="0" collapsed="false">
      <c r="A97" s="6" t="s">
        <v>99</v>
      </c>
      <c r="B97" s="1" t="n">
        <v>11</v>
      </c>
      <c r="C97" s="6" t="n">
        <f aca="false">B97/9435*100</f>
        <v>0.116587175410705</v>
      </c>
      <c r="D97" s="2" t="n">
        <f aca="false">D96+C97</f>
        <v>85.8508564390762</v>
      </c>
    </row>
    <row r="98" customFormat="false" ht="12.8" hidden="false" customHeight="false" outlineLevel="0" collapsed="false">
      <c r="A98" s="6" t="s">
        <v>100</v>
      </c>
      <c r="B98" s="1" t="n">
        <v>11</v>
      </c>
      <c r="C98" s="6" t="n">
        <f aca="false">B98/9435*100</f>
        <v>0.116587175410705</v>
      </c>
      <c r="D98" s="2" t="n">
        <f aca="false">D97+C98</f>
        <v>85.9674436144869</v>
      </c>
    </row>
    <row r="99" customFormat="false" ht="12.8" hidden="false" customHeight="false" outlineLevel="0" collapsed="false">
      <c r="A99" s="6" t="s">
        <v>101</v>
      </c>
      <c r="B99" s="1" t="n">
        <v>10</v>
      </c>
      <c r="C99" s="6" t="n">
        <f aca="false">B99/9435*100</f>
        <v>0.105988341282459</v>
      </c>
      <c r="D99" s="2" t="n">
        <f aca="false">D98+C99</f>
        <v>86.0734319557694</v>
      </c>
    </row>
    <row r="100" customFormat="false" ht="12.8" hidden="false" customHeight="false" outlineLevel="0" collapsed="false">
      <c r="A100" s="6" t="s">
        <v>102</v>
      </c>
      <c r="B100" s="1" t="n">
        <v>10</v>
      </c>
      <c r="C100" s="6" t="n">
        <f aca="false">B100/9435*100</f>
        <v>0.105988341282459</v>
      </c>
      <c r="D100" s="2" t="n">
        <f aca="false">D99+C100</f>
        <v>86.1794202970518</v>
      </c>
    </row>
    <row r="101" customFormat="false" ht="12.8" hidden="false" customHeight="false" outlineLevel="0" collapsed="false">
      <c r="A101" s="6" t="s">
        <v>103</v>
      </c>
      <c r="B101" s="1" t="n">
        <v>10</v>
      </c>
      <c r="C101" s="6" t="n">
        <f aca="false">B101/9435*100</f>
        <v>0.105988341282459</v>
      </c>
      <c r="D101" s="2" t="n">
        <f aca="false">D100+C101</f>
        <v>86.2854086383343</v>
      </c>
    </row>
    <row r="102" customFormat="false" ht="12.8" hidden="false" customHeight="false" outlineLevel="0" collapsed="false">
      <c r="A102" s="6" t="s">
        <v>104</v>
      </c>
      <c r="B102" s="1" t="n">
        <v>9</v>
      </c>
      <c r="C102" s="6" t="n">
        <f aca="false">B102/9435*100</f>
        <v>0.095389507154213</v>
      </c>
      <c r="D102" s="2" t="n">
        <f aca="false">D101+C102</f>
        <v>86.3807981454885</v>
      </c>
    </row>
    <row r="103" customFormat="false" ht="12.8" hidden="false" customHeight="false" outlineLevel="0" collapsed="false">
      <c r="A103" s="6" t="s">
        <v>105</v>
      </c>
      <c r="B103" s="1" t="n">
        <v>9</v>
      </c>
      <c r="C103" s="6" t="n">
        <f aca="false">B103/9435*100</f>
        <v>0.095389507154213</v>
      </c>
      <c r="D103" s="2" t="n">
        <f aca="false">D102+C103</f>
        <v>86.4761876526427</v>
      </c>
    </row>
    <row r="104" customFormat="false" ht="12.8" hidden="false" customHeight="false" outlineLevel="0" collapsed="false">
      <c r="A104" s="6" t="s">
        <v>106</v>
      </c>
      <c r="B104" s="1" t="n">
        <v>9</v>
      </c>
      <c r="C104" s="6" t="n">
        <f aca="false">B104/9435*100</f>
        <v>0.095389507154213</v>
      </c>
      <c r="D104" s="2" t="n">
        <f aca="false">D103+C104</f>
        <v>86.5715771597969</v>
      </c>
    </row>
    <row r="105" customFormat="false" ht="12.8" hidden="false" customHeight="false" outlineLevel="0" collapsed="false">
      <c r="A105" s="6" t="s">
        <v>107</v>
      </c>
      <c r="B105" s="1" t="n">
        <v>9</v>
      </c>
      <c r="C105" s="6" t="n">
        <f aca="false">B105/9435*100</f>
        <v>0.095389507154213</v>
      </c>
      <c r="D105" s="2" t="n">
        <f aca="false">D104+C105</f>
        <v>86.6669666669511</v>
      </c>
    </row>
    <row r="106" customFormat="false" ht="12.8" hidden="false" customHeight="false" outlineLevel="0" collapsed="false">
      <c r="A106" s="6" t="s">
        <v>108</v>
      </c>
      <c r="B106" s="1" t="n">
        <v>9</v>
      </c>
      <c r="C106" s="6" t="n">
        <f aca="false">B106/9435*100</f>
        <v>0.095389507154213</v>
      </c>
      <c r="D106" s="2" t="n">
        <f aca="false">D105+C106</f>
        <v>86.7623561741053</v>
      </c>
    </row>
    <row r="107" customFormat="false" ht="12.8" hidden="false" customHeight="false" outlineLevel="0" collapsed="false">
      <c r="A107" s="6" t="s">
        <v>109</v>
      </c>
      <c r="B107" s="1" t="n">
        <v>9</v>
      </c>
      <c r="C107" s="6" t="n">
        <f aca="false">B107/9435*100</f>
        <v>0.095389507154213</v>
      </c>
      <c r="D107" s="2" t="n">
        <f aca="false">D106+C107</f>
        <v>86.8577456812595</v>
      </c>
    </row>
    <row r="108" customFormat="false" ht="12.8" hidden="false" customHeight="false" outlineLevel="0" collapsed="false">
      <c r="A108" s="6" t="s">
        <v>110</v>
      </c>
      <c r="B108" s="1" t="n">
        <v>8</v>
      </c>
      <c r="C108" s="6" t="n">
        <f aca="false">B108/9435*100</f>
        <v>0.0847906730259671</v>
      </c>
      <c r="D108" s="2" t="n">
        <f aca="false">D107+C108</f>
        <v>86.9425363542855</v>
      </c>
    </row>
    <row r="109" customFormat="false" ht="12.8" hidden="false" customHeight="false" outlineLevel="0" collapsed="false">
      <c r="A109" s="6" t="s">
        <v>111</v>
      </c>
      <c r="B109" s="1" t="n">
        <v>8</v>
      </c>
      <c r="C109" s="6" t="n">
        <f aca="false">B109/9435*100</f>
        <v>0.0847906730259671</v>
      </c>
      <c r="D109" s="2" t="n">
        <f aca="false">D108+C109</f>
        <v>87.0273270273115</v>
      </c>
    </row>
    <row r="110" customFormat="false" ht="12.8" hidden="false" customHeight="false" outlineLevel="0" collapsed="false">
      <c r="A110" s="6" t="s">
        <v>112</v>
      </c>
      <c r="B110" s="1" t="n">
        <v>8</v>
      </c>
      <c r="C110" s="6" t="n">
        <f aca="false">B110/9435*100</f>
        <v>0.0847906730259671</v>
      </c>
      <c r="D110" s="2" t="n">
        <f aca="false">D109+C110</f>
        <v>87.1121177003374</v>
      </c>
    </row>
    <row r="111" customFormat="false" ht="12.8" hidden="false" customHeight="false" outlineLevel="0" collapsed="false">
      <c r="A111" s="6" t="s">
        <v>113</v>
      </c>
      <c r="B111" s="1" t="n">
        <v>8</v>
      </c>
      <c r="C111" s="6" t="n">
        <f aca="false">B111/9435*100</f>
        <v>0.0847906730259671</v>
      </c>
      <c r="D111" s="2" t="n">
        <f aca="false">D110+C111</f>
        <v>87.1969083733634</v>
      </c>
    </row>
    <row r="112" customFormat="false" ht="12.8" hidden="false" customHeight="false" outlineLevel="0" collapsed="false">
      <c r="A112" s="6" t="s">
        <v>114</v>
      </c>
      <c r="B112" s="1" t="n">
        <v>7</v>
      </c>
      <c r="C112" s="6" t="n">
        <f aca="false">B112/9435*100</f>
        <v>0.0741918388977212</v>
      </c>
      <c r="D112" s="2" t="n">
        <f aca="false">D111+C112</f>
        <v>87.2711002122611</v>
      </c>
    </row>
    <row r="113" customFormat="false" ht="12.8" hidden="false" customHeight="false" outlineLevel="0" collapsed="false">
      <c r="A113" s="6" t="s">
        <v>115</v>
      </c>
      <c r="B113" s="1" t="n">
        <v>7</v>
      </c>
      <c r="C113" s="6" t="n">
        <f aca="false">B113/9435*100</f>
        <v>0.0741918388977212</v>
      </c>
      <c r="D113" s="2" t="n">
        <f aca="false">D112+C113</f>
        <v>87.3452920511588</v>
      </c>
    </row>
    <row r="114" customFormat="false" ht="12.8" hidden="false" customHeight="false" outlineLevel="0" collapsed="false">
      <c r="A114" s="6" t="s">
        <v>116</v>
      </c>
      <c r="B114" s="1" t="n">
        <v>7</v>
      </c>
      <c r="C114" s="6" t="n">
        <f aca="false">B114/9435*100</f>
        <v>0.0741918388977212</v>
      </c>
      <c r="D114" s="2" t="n">
        <f aca="false">D113+C114</f>
        <v>87.4194838900566</v>
      </c>
    </row>
    <row r="115" customFormat="false" ht="12.8" hidden="false" customHeight="false" outlineLevel="0" collapsed="false">
      <c r="A115" s="6" t="s">
        <v>117</v>
      </c>
      <c r="B115" s="1" t="n">
        <v>7</v>
      </c>
      <c r="C115" s="6" t="n">
        <f aca="false">B115/9435*100</f>
        <v>0.0741918388977212</v>
      </c>
      <c r="D115" s="2" t="n">
        <f aca="false">D114+C115</f>
        <v>87.4936757289543</v>
      </c>
    </row>
    <row r="116" customFormat="false" ht="12.8" hidden="false" customHeight="false" outlineLevel="0" collapsed="false">
      <c r="A116" s="6" t="s">
        <v>118</v>
      </c>
      <c r="B116" s="1" t="n">
        <v>7</v>
      </c>
      <c r="C116" s="6" t="n">
        <f aca="false">B116/9435*100</f>
        <v>0.0741918388977212</v>
      </c>
      <c r="D116" s="2" t="n">
        <f aca="false">D115+C116</f>
        <v>87.567867567852</v>
      </c>
    </row>
    <row r="117" customFormat="false" ht="12.8" hidden="false" customHeight="false" outlineLevel="0" collapsed="false">
      <c r="A117" s="6" t="s">
        <v>119</v>
      </c>
      <c r="B117" s="1" t="n">
        <v>7</v>
      </c>
      <c r="C117" s="6" t="n">
        <f aca="false">B117/9435*100</f>
        <v>0.0741918388977212</v>
      </c>
      <c r="D117" s="2" t="n">
        <f aca="false">D116+C117</f>
        <v>87.6420594067497</v>
      </c>
    </row>
    <row r="118" customFormat="false" ht="12.8" hidden="false" customHeight="false" outlineLevel="0" collapsed="false">
      <c r="A118" s="6" t="s">
        <v>120</v>
      </c>
      <c r="B118" s="1" t="n">
        <v>7</v>
      </c>
      <c r="C118" s="6" t="n">
        <f aca="false">B118/9435*100</f>
        <v>0.0741918388977212</v>
      </c>
      <c r="D118" s="2" t="n">
        <f aca="false">D117+C118</f>
        <v>87.7162512456474</v>
      </c>
    </row>
    <row r="119" customFormat="false" ht="12.8" hidden="false" customHeight="false" outlineLevel="0" collapsed="false">
      <c r="A119" s="6" t="s">
        <v>121</v>
      </c>
      <c r="B119" s="1" t="n">
        <v>7</v>
      </c>
      <c r="C119" s="6" t="n">
        <f aca="false">B119/9435*100</f>
        <v>0.0741918388977212</v>
      </c>
      <c r="D119" s="2" t="n">
        <f aca="false">D118+C119</f>
        <v>87.7904430845451</v>
      </c>
    </row>
    <row r="120" customFormat="false" ht="12.8" hidden="false" customHeight="false" outlineLevel="0" collapsed="false">
      <c r="A120" s="6" t="s">
        <v>122</v>
      </c>
      <c r="B120" s="1" t="n">
        <v>7</v>
      </c>
      <c r="C120" s="6" t="n">
        <f aca="false">B120/9435*100</f>
        <v>0.0741918388977212</v>
      </c>
      <c r="D120" s="2" t="n">
        <f aca="false">D119+C120</f>
        <v>87.8646349234429</v>
      </c>
    </row>
    <row r="121" customFormat="false" ht="12.8" hidden="false" customHeight="false" outlineLevel="0" collapsed="false">
      <c r="A121" s="6" t="s">
        <v>123</v>
      </c>
      <c r="B121" s="1" t="n">
        <v>7</v>
      </c>
      <c r="C121" s="6" t="n">
        <f aca="false">B121/9435*100</f>
        <v>0.0741918388977212</v>
      </c>
      <c r="D121" s="2" t="n">
        <f aca="false">D120+C121</f>
        <v>87.9388267623406</v>
      </c>
    </row>
    <row r="122" customFormat="false" ht="12.8" hidden="false" customHeight="false" outlineLevel="0" collapsed="false">
      <c r="A122" s="6" t="s">
        <v>124</v>
      </c>
      <c r="B122" s="1" t="n">
        <v>6</v>
      </c>
      <c r="C122" s="6" t="n">
        <f aca="false">B122/9435*100</f>
        <v>0.0635930047694754</v>
      </c>
      <c r="D122" s="2" t="n">
        <f aca="false">D121+C122</f>
        <v>88.0024197671101</v>
      </c>
    </row>
    <row r="123" customFormat="false" ht="12.8" hidden="false" customHeight="false" outlineLevel="0" collapsed="false">
      <c r="A123" s="6" t="s">
        <v>125</v>
      </c>
      <c r="B123" s="1" t="n">
        <v>6</v>
      </c>
      <c r="C123" s="6" t="n">
        <f aca="false">B123/9435*100</f>
        <v>0.0635930047694754</v>
      </c>
      <c r="D123" s="2" t="n">
        <f aca="false">D122+C123</f>
        <v>88.0660127718795</v>
      </c>
    </row>
    <row r="124" customFormat="false" ht="12.8" hidden="false" customHeight="false" outlineLevel="0" collapsed="false">
      <c r="A124" s="6" t="s">
        <v>126</v>
      </c>
      <c r="B124" s="1" t="n">
        <v>6</v>
      </c>
      <c r="C124" s="6" t="n">
        <f aca="false">B124/9435*100</f>
        <v>0.0635930047694754</v>
      </c>
      <c r="D124" s="2" t="n">
        <f aca="false">D123+C124</f>
        <v>88.129605776649</v>
      </c>
    </row>
    <row r="125" customFormat="false" ht="12.8" hidden="false" customHeight="false" outlineLevel="0" collapsed="false">
      <c r="A125" s="6" t="s">
        <v>127</v>
      </c>
      <c r="B125" s="1" t="n">
        <v>6</v>
      </c>
      <c r="C125" s="6" t="n">
        <f aca="false">B125/9435*100</f>
        <v>0.0635930047694754</v>
      </c>
      <c r="D125" s="2" t="n">
        <f aca="false">D124+C125</f>
        <v>88.1931987814185</v>
      </c>
    </row>
    <row r="126" customFormat="false" ht="12.8" hidden="false" customHeight="false" outlineLevel="0" collapsed="false">
      <c r="A126" s="6" t="s">
        <v>128</v>
      </c>
      <c r="B126" s="1" t="n">
        <v>6</v>
      </c>
      <c r="C126" s="6" t="n">
        <f aca="false">B126/9435*100</f>
        <v>0.0635930047694754</v>
      </c>
      <c r="D126" s="2" t="n">
        <f aca="false">D125+C126</f>
        <v>88.256791786188</v>
      </c>
    </row>
    <row r="127" customFormat="false" ht="12.8" hidden="false" customHeight="false" outlineLevel="0" collapsed="false">
      <c r="A127" s="6" t="s">
        <v>129</v>
      </c>
      <c r="B127" s="1" t="n">
        <v>6</v>
      </c>
      <c r="C127" s="6" t="n">
        <f aca="false">B127/9435*100</f>
        <v>0.0635930047694754</v>
      </c>
      <c r="D127" s="2" t="n">
        <f aca="false">D126+C127</f>
        <v>88.3203847909574</v>
      </c>
    </row>
    <row r="128" customFormat="false" ht="12.8" hidden="false" customHeight="false" outlineLevel="0" collapsed="false">
      <c r="A128" s="6" t="s">
        <v>130</v>
      </c>
      <c r="B128" s="1" t="n">
        <v>6</v>
      </c>
      <c r="C128" s="6" t="n">
        <f aca="false">B128/9435*100</f>
        <v>0.0635930047694754</v>
      </c>
      <c r="D128" s="2" t="n">
        <f aca="false">D127+C128</f>
        <v>88.3839777957269</v>
      </c>
    </row>
    <row r="129" customFormat="false" ht="12.8" hidden="false" customHeight="false" outlineLevel="0" collapsed="false">
      <c r="A129" s="6" t="s">
        <v>131</v>
      </c>
      <c r="B129" s="1" t="n">
        <v>5</v>
      </c>
      <c r="C129" s="6" t="n">
        <f aca="false">B129/9435*100</f>
        <v>0.0529941706412295</v>
      </c>
      <c r="D129" s="2" t="n">
        <f aca="false">D128+C129</f>
        <v>88.4369719663681</v>
      </c>
    </row>
    <row r="130" customFormat="false" ht="12.8" hidden="false" customHeight="false" outlineLevel="0" collapsed="false">
      <c r="A130" s="6" t="s">
        <v>132</v>
      </c>
      <c r="B130" s="1" t="n">
        <v>5</v>
      </c>
      <c r="C130" s="6" t="n">
        <f aca="false">B130/9435*100</f>
        <v>0.0529941706412295</v>
      </c>
      <c r="D130" s="2" t="n">
        <f aca="false">D129+C130</f>
        <v>88.4899661370094</v>
      </c>
    </row>
    <row r="131" customFormat="false" ht="12.8" hidden="false" customHeight="false" outlineLevel="0" collapsed="false">
      <c r="A131" s="6" t="s">
        <v>133</v>
      </c>
      <c r="B131" s="1" t="n">
        <v>5</v>
      </c>
      <c r="C131" s="6" t="n">
        <f aca="false">B131/9435*100</f>
        <v>0.0529941706412295</v>
      </c>
      <c r="D131" s="2" t="n">
        <f aca="false">D130+C131</f>
        <v>88.5429603076506</v>
      </c>
    </row>
    <row r="132" customFormat="false" ht="12.8" hidden="false" customHeight="false" outlineLevel="0" collapsed="false">
      <c r="A132" s="6" t="s">
        <v>134</v>
      </c>
      <c r="B132" s="1" t="n">
        <v>5</v>
      </c>
      <c r="C132" s="6" t="n">
        <f aca="false">B132/9435*100</f>
        <v>0.0529941706412295</v>
      </c>
      <c r="D132" s="2" t="n">
        <f aca="false">D131+C132</f>
        <v>88.5959544782918</v>
      </c>
    </row>
    <row r="133" customFormat="false" ht="12.8" hidden="false" customHeight="false" outlineLevel="0" collapsed="false">
      <c r="A133" s="6" t="s">
        <v>135</v>
      </c>
      <c r="B133" s="1" t="n">
        <v>5</v>
      </c>
      <c r="C133" s="6" t="n">
        <f aca="false">B133/9435*100</f>
        <v>0.0529941706412295</v>
      </c>
      <c r="D133" s="2" t="n">
        <f aca="false">D132+C133</f>
        <v>88.648948648933</v>
      </c>
    </row>
    <row r="134" customFormat="false" ht="12.8" hidden="false" customHeight="false" outlineLevel="0" collapsed="false">
      <c r="A134" s="6" t="s">
        <v>136</v>
      </c>
      <c r="B134" s="1" t="n">
        <v>5</v>
      </c>
      <c r="C134" s="6" t="n">
        <f aca="false">B134/9435*100</f>
        <v>0.0529941706412295</v>
      </c>
      <c r="D134" s="2" t="n">
        <f aca="false">D133+C134</f>
        <v>88.7019428195743</v>
      </c>
    </row>
    <row r="135" customFormat="false" ht="12.8" hidden="false" customHeight="false" outlineLevel="0" collapsed="false">
      <c r="A135" s="6" t="s">
        <v>137</v>
      </c>
      <c r="B135" s="1" t="n">
        <v>5</v>
      </c>
      <c r="C135" s="6" t="n">
        <f aca="false">B135/9435*100</f>
        <v>0.0529941706412295</v>
      </c>
      <c r="D135" s="2" t="n">
        <f aca="false">D134+C135</f>
        <v>88.7549369902155</v>
      </c>
    </row>
    <row r="136" customFormat="false" ht="12.8" hidden="false" customHeight="false" outlineLevel="0" collapsed="false">
      <c r="A136" s="6" t="s">
        <v>138</v>
      </c>
      <c r="B136" s="1" t="n">
        <v>4</v>
      </c>
      <c r="C136" s="6" t="n">
        <f aca="false">B136/9435*100</f>
        <v>0.0423953365129836</v>
      </c>
      <c r="D136" s="2" t="n">
        <f aca="false">D135+C136</f>
        <v>88.7973323267285</v>
      </c>
    </row>
    <row r="137" customFormat="false" ht="12.8" hidden="false" customHeight="false" outlineLevel="0" collapsed="false">
      <c r="A137" s="6" t="s">
        <v>139</v>
      </c>
      <c r="B137" s="1" t="n">
        <v>4</v>
      </c>
      <c r="C137" s="6" t="n">
        <f aca="false">B137/9435*100</f>
        <v>0.0423953365129836</v>
      </c>
      <c r="D137" s="2" t="n">
        <f aca="false">D136+C137</f>
        <v>88.8397276632415</v>
      </c>
    </row>
    <row r="138" customFormat="false" ht="12.8" hidden="false" customHeight="false" outlineLevel="0" collapsed="false">
      <c r="A138" s="6" t="s">
        <v>140</v>
      </c>
      <c r="B138" s="1" t="n">
        <v>4</v>
      </c>
      <c r="C138" s="6" t="n">
        <f aca="false">B138/9435*100</f>
        <v>0.0423953365129836</v>
      </c>
      <c r="D138" s="2" t="n">
        <f aca="false">D137+C138</f>
        <v>88.8821229997544</v>
      </c>
    </row>
    <row r="139" customFormat="false" ht="12.8" hidden="false" customHeight="false" outlineLevel="0" collapsed="false">
      <c r="A139" s="6" t="s">
        <v>141</v>
      </c>
      <c r="B139" s="1" t="n">
        <v>4</v>
      </c>
      <c r="C139" s="6" t="n">
        <f aca="false">B139/9435*100</f>
        <v>0.0423953365129836</v>
      </c>
      <c r="D139" s="2" t="n">
        <f aca="false">D138+C139</f>
        <v>88.9245183362674</v>
      </c>
    </row>
    <row r="140" customFormat="false" ht="12.8" hidden="false" customHeight="false" outlineLevel="0" collapsed="false">
      <c r="A140" s="6" t="s">
        <v>142</v>
      </c>
      <c r="B140" s="1" t="n">
        <v>4</v>
      </c>
      <c r="C140" s="6" t="n">
        <f aca="false">B140/9435*100</f>
        <v>0.0423953365129836</v>
      </c>
      <c r="D140" s="2" t="n">
        <f aca="false">D139+C140</f>
        <v>88.9669136727804</v>
      </c>
    </row>
    <row r="141" customFormat="false" ht="12.8" hidden="false" customHeight="false" outlineLevel="0" collapsed="false">
      <c r="A141" s="6" t="s">
        <v>143</v>
      </c>
      <c r="B141" s="1" t="n">
        <v>4</v>
      </c>
      <c r="C141" s="6" t="n">
        <f aca="false">B141/9435*100</f>
        <v>0.0423953365129836</v>
      </c>
      <c r="D141" s="2" t="n">
        <f aca="false">D140+C141</f>
        <v>89.0093090092934</v>
      </c>
    </row>
    <row r="142" customFormat="false" ht="12.8" hidden="false" customHeight="false" outlineLevel="0" collapsed="false">
      <c r="A142" s="6" t="s">
        <v>144</v>
      </c>
      <c r="B142" s="1" t="n">
        <v>4</v>
      </c>
      <c r="C142" s="6" t="n">
        <f aca="false">B142/9435*100</f>
        <v>0.0423953365129836</v>
      </c>
      <c r="D142" s="2" t="n">
        <f aca="false">D141+C142</f>
        <v>89.0517043458064</v>
      </c>
    </row>
    <row r="143" customFormat="false" ht="12.8" hidden="false" customHeight="false" outlineLevel="0" collapsed="false">
      <c r="A143" s="6" t="s">
        <v>145</v>
      </c>
      <c r="B143" s="1" t="n">
        <v>4</v>
      </c>
      <c r="C143" s="6" t="n">
        <f aca="false">B143/9435*100</f>
        <v>0.0423953365129836</v>
      </c>
      <c r="D143" s="2" t="n">
        <f aca="false">D142+C143</f>
        <v>89.0940996823193</v>
      </c>
    </row>
    <row r="144" customFormat="false" ht="12.8" hidden="false" customHeight="false" outlineLevel="0" collapsed="false">
      <c r="A144" s="6" t="s">
        <v>146</v>
      </c>
      <c r="B144" s="1" t="n">
        <v>4</v>
      </c>
      <c r="C144" s="6" t="n">
        <f aca="false">B144/9435*100</f>
        <v>0.0423953365129836</v>
      </c>
      <c r="D144" s="2" t="n">
        <f aca="false">D143+C144</f>
        <v>89.1364950188323</v>
      </c>
    </row>
    <row r="145" customFormat="false" ht="12.8" hidden="false" customHeight="false" outlineLevel="0" collapsed="false">
      <c r="A145" s="6" t="s">
        <v>147</v>
      </c>
      <c r="B145" s="1" t="n">
        <v>4</v>
      </c>
      <c r="C145" s="6" t="n">
        <f aca="false">B145/9435*100</f>
        <v>0.0423953365129836</v>
      </c>
      <c r="D145" s="2" t="n">
        <f aca="false">D144+C145</f>
        <v>89.1788903553453</v>
      </c>
    </row>
    <row r="146" customFormat="false" ht="12.8" hidden="false" customHeight="false" outlineLevel="0" collapsed="false">
      <c r="A146" s="6" t="s">
        <v>148</v>
      </c>
      <c r="B146" s="1" t="n">
        <v>4</v>
      </c>
      <c r="C146" s="6" t="n">
        <f aca="false">B146/9435*100</f>
        <v>0.0423953365129836</v>
      </c>
      <c r="D146" s="2" t="n">
        <f aca="false">D145+C146</f>
        <v>89.2212856918583</v>
      </c>
    </row>
    <row r="147" customFormat="false" ht="12.8" hidden="false" customHeight="false" outlineLevel="0" collapsed="false">
      <c r="A147" s="6" t="s">
        <v>149</v>
      </c>
      <c r="B147" s="1" t="n">
        <v>4</v>
      </c>
      <c r="C147" s="6" t="n">
        <f aca="false">B147/9435*100</f>
        <v>0.0423953365129836</v>
      </c>
      <c r="D147" s="2" t="n">
        <f aca="false">D146+C147</f>
        <v>89.2636810283713</v>
      </c>
    </row>
    <row r="148" customFormat="false" ht="12.8" hidden="false" customHeight="false" outlineLevel="0" collapsed="false">
      <c r="A148" s="6" t="s">
        <v>150</v>
      </c>
      <c r="B148" s="1" t="n">
        <v>4</v>
      </c>
      <c r="C148" s="6" t="n">
        <f aca="false">B148/9435*100</f>
        <v>0.0423953365129836</v>
      </c>
      <c r="D148" s="2" t="n">
        <f aca="false">D147+C148</f>
        <v>89.3060763648843</v>
      </c>
    </row>
    <row r="149" customFormat="false" ht="12.8" hidden="false" customHeight="false" outlineLevel="0" collapsed="false">
      <c r="A149" s="6" t="s">
        <v>151</v>
      </c>
      <c r="B149" s="1" t="n">
        <v>4</v>
      </c>
      <c r="C149" s="6" t="n">
        <f aca="false">B149/9435*100</f>
        <v>0.0423953365129836</v>
      </c>
      <c r="D149" s="2" t="n">
        <f aca="false">D148+C149</f>
        <v>89.3484717013972</v>
      </c>
    </row>
    <row r="150" customFormat="false" ht="12.8" hidden="false" customHeight="false" outlineLevel="0" collapsed="false">
      <c r="A150" s="6" t="s">
        <v>152</v>
      </c>
      <c r="B150" s="1" t="n">
        <v>4</v>
      </c>
      <c r="C150" s="6" t="n">
        <f aca="false">B150/9435*100</f>
        <v>0.0423953365129836</v>
      </c>
      <c r="D150" s="2" t="n">
        <f aca="false">D149+C150</f>
        <v>89.3908670379102</v>
      </c>
    </row>
    <row r="151" customFormat="false" ht="12.8" hidden="false" customHeight="false" outlineLevel="0" collapsed="false">
      <c r="A151" s="6" t="s">
        <v>153</v>
      </c>
      <c r="B151" s="1" t="n">
        <v>4</v>
      </c>
      <c r="C151" s="6" t="n">
        <f aca="false">B151/9435*100</f>
        <v>0.0423953365129836</v>
      </c>
      <c r="D151" s="2" t="n">
        <f aca="false">D150+C151</f>
        <v>89.4332623744232</v>
      </c>
    </row>
    <row r="152" customFormat="false" ht="12.8" hidden="false" customHeight="false" outlineLevel="0" collapsed="false">
      <c r="A152" s="6" t="s">
        <v>154</v>
      </c>
      <c r="B152" s="1" t="n">
        <v>4</v>
      </c>
      <c r="C152" s="6" t="n">
        <f aca="false">B152/9435*100</f>
        <v>0.0423953365129836</v>
      </c>
      <c r="D152" s="2" t="n">
        <f aca="false">D151+C152</f>
        <v>89.4756577109362</v>
      </c>
    </row>
    <row r="153" customFormat="false" ht="12.8" hidden="false" customHeight="false" outlineLevel="0" collapsed="false">
      <c r="A153" s="6" t="s">
        <v>155</v>
      </c>
      <c r="B153" s="1" t="n">
        <v>4</v>
      </c>
      <c r="C153" s="6" t="n">
        <f aca="false">B153/9435*100</f>
        <v>0.0423953365129836</v>
      </c>
      <c r="D153" s="2" t="n">
        <f aca="false">D152+C153</f>
        <v>89.5180530474492</v>
      </c>
    </row>
    <row r="154" customFormat="false" ht="12.8" hidden="false" customHeight="false" outlineLevel="0" collapsed="false">
      <c r="A154" s="6" t="s">
        <v>156</v>
      </c>
      <c r="B154" s="1" t="n">
        <v>3</v>
      </c>
      <c r="C154" s="6" t="n">
        <f aca="false">B154/9435*100</f>
        <v>0.0317965023847377</v>
      </c>
      <c r="D154" s="2" t="n">
        <f aca="false">D153+C154</f>
        <v>89.5498495498339</v>
      </c>
    </row>
    <row r="155" customFormat="false" ht="12.8" hidden="false" customHeight="false" outlineLevel="0" collapsed="false">
      <c r="A155" s="6" t="s">
        <v>157</v>
      </c>
      <c r="B155" s="1" t="n">
        <v>3</v>
      </c>
      <c r="C155" s="6" t="n">
        <f aca="false">B155/9435*100</f>
        <v>0.0317965023847377</v>
      </c>
      <c r="D155" s="2" t="n">
        <f aca="false">D154+C155</f>
        <v>89.5816460522186</v>
      </c>
    </row>
    <row r="156" customFormat="false" ht="12.8" hidden="false" customHeight="false" outlineLevel="0" collapsed="false">
      <c r="A156" s="6" t="s">
        <v>158</v>
      </c>
      <c r="B156" s="1" t="n">
        <v>3</v>
      </c>
      <c r="C156" s="6" t="n">
        <f aca="false">B156/9435*100</f>
        <v>0.0317965023847377</v>
      </c>
      <c r="D156" s="2" t="n">
        <f aca="false">D155+C156</f>
        <v>89.6134425546034</v>
      </c>
    </row>
    <row r="157" customFormat="false" ht="12.8" hidden="false" customHeight="false" outlineLevel="0" collapsed="false">
      <c r="A157" s="6" t="s">
        <v>159</v>
      </c>
      <c r="B157" s="1" t="n">
        <v>3</v>
      </c>
      <c r="C157" s="6" t="n">
        <f aca="false">B157/9435*100</f>
        <v>0.0317965023847377</v>
      </c>
      <c r="D157" s="2" t="n">
        <f aca="false">D156+C157</f>
        <v>89.6452390569881</v>
      </c>
    </row>
    <row r="158" customFormat="false" ht="12.8" hidden="false" customHeight="false" outlineLevel="0" collapsed="false">
      <c r="A158" s="6" t="s">
        <v>160</v>
      </c>
      <c r="B158" s="1" t="n">
        <v>3</v>
      </c>
      <c r="C158" s="6" t="n">
        <f aca="false">B158/9435*100</f>
        <v>0.0317965023847377</v>
      </c>
      <c r="D158" s="2" t="n">
        <f aca="false">D157+C158</f>
        <v>89.6770355593728</v>
      </c>
    </row>
    <row r="159" customFormat="false" ht="12.8" hidden="false" customHeight="false" outlineLevel="0" collapsed="false">
      <c r="A159" s="6" t="s">
        <v>161</v>
      </c>
      <c r="B159" s="1" t="n">
        <v>3</v>
      </c>
      <c r="C159" s="6" t="n">
        <f aca="false">B159/9435*100</f>
        <v>0.0317965023847377</v>
      </c>
      <c r="D159" s="2" t="n">
        <f aca="false">D158+C159</f>
        <v>89.7088320617576</v>
      </c>
    </row>
    <row r="160" customFormat="false" ht="12.8" hidden="false" customHeight="false" outlineLevel="0" collapsed="false">
      <c r="A160" s="6" t="s">
        <v>162</v>
      </c>
      <c r="B160" s="1" t="n">
        <v>3</v>
      </c>
      <c r="C160" s="6" t="n">
        <f aca="false">B160/9435*100</f>
        <v>0.0317965023847377</v>
      </c>
      <c r="D160" s="2" t="n">
        <f aca="false">D159+C160</f>
        <v>89.7406285641423</v>
      </c>
    </row>
    <row r="161" customFormat="false" ht="12.8" hidden="false" customHeight="false" outlineLevel="0" collapsed="false">
      <c r="A161" s="6" t="s">
        <v>163</v>
      </c>
      <c r="B161" s="1" t="n">
        <v>3</v>
      </c>
      <c r="C161" s="6" t="n">
        <f aca="false">B161/9435*100</f>
        <v>0.0317965023847377</v>
      </c>
      <c r="D161" s="2" t="n">
        <f aca="false">D160+C161</f>
        <v>89.772425066527</v>
      </c>
    </row>
    <row r="162" customFormat="false" ht="12.8" hidden="false" customHeight="false" outlineLevel="0" collapsed="false">
      <c r="A162" s="6" t="s">
        <v>164</v>
      </c>
      <c r="B162" s="1" t="n">
        <v>3</v>
      </c>
      <c r="C162" s="6" t="n">
        <f aca="false">B162/9435*100</f>
        <v>0.0317965023847377</v>
      </c>
      <c r="D162" s="2" t="n">
        <f aca="false">D161+C162</f>
        <v>89.8042215689118</v>
      </c>
    </row>
    <row r="163" customFormat="false" ht="12.8" hidden="false" customHeight="false" outlineLevel="0" collapsed="false">
      <c r="A163" s="6" t="s">
        <v>165</v>
      </c>
      <c r="B163" s="1" t="n">
        <v>3</v>
      </c>
      <c r="C163" s="6" t="n">
        <f aca="false">B163/9435*100</f>
        <v>0.0317965023847377</v>
      </c>
      <c r="D163" s="2" t="n">
        <f aca="false">D162+C163</f>
        <v>89.8360180712965</v>
      </c>
    </row>
    <row r="164" customFormat="false" ht="12.8" hidden="false" customHeight="false" outlineLevel="0" collapsed="false">
      <c r="A164" s="6" t="s">
        <v>166</v>
      </c>
      <c r="B164" s="1" t="n">
        <v>3</v>
      </c>
      <c r="C164" s="6" t="n">
        <f aca="false">B164/9435*100</f>
        <v>0.0317965023847377</v>
      </c>
      <c r="D164" s="2" t="n">
        <f aca="false">D163+C164</f>
        <v>89.8678145736813</v>
      </c>
    </row>
    <row r="165" customFormat="false" ht="12.8" hidden="false" customHeight="false" outlineLevel="0" collapsed="false">
      <c r="A165" s="6" t="s">
        <v>167</v>
      </c>
      <c r="B165" s="1" t="n">
        <v>3</v>
      </c>
      <c r="C165" s="6" t="n">
        <f aca="false">B165/9435*100</f>
        <v>0.0317965023847377</v>
      </c>
      <c r="D165" s="2" t="n">
        <f aca="false">D164+C165</f>
        <v>89.899611076066</v>
      </c>
    </row>
    <row r="166" customFormat="false" ht="12.8" hidden="false" customHeight="false" outlineLevel="0" collapsed="false">
      <c r="A166" s="6" t="s">
        <v>168</v>
      </c>
      <c r="B166" s="1" t="n">
        <v>3</v>
      </c>
      <c r="C166" s="6" t="n">
        <f aca="false">B166/9435*100</f>
        <v>0.0317965023847377</v>
      </c>
      <c r="D166" s="2" t="n">
        <f aca="false">D165+C166</f>
        <v>89.9314075784507</v>
      </c>
    </row>
    <row r="167" customFormat="false" ht="12.8" hidden="false" customHeight="false" outlineLevel="0" collapsed="false">
      <c r="A167" s="6" t="s">
        <v>169</v>
      </c>
      <c r="B167" s="1" t="n">
        <v>3</v>
      </c>
      <c r="C167" s="6" t="n">
        <f aca="false">B167/9435*100</f>
        <v>0.0317965023847377</v>
      </c>
      <c r="D167" s="2" t="n">
        <f aca="false">D166+C167</f>
        <v>89.9632040808355</v>
      </c>
    </row>
    <row r="168" customFormat="false" ht="12.8" hidden="false" customHeight="false" outlineLevel="0" collapsed="false">
      <c r="A168" s="6" t="s">
        <v>170</v>
      </c>
      <c r="B168" s="1" t="n">
        <v>3</v>
      </c>
      <c r="C168" s="6" t="n">
        <f aca="false">B168/9435*100</f>
        <v>0.0317965023847377</v>
      </c>
      <c r="D168" s="2" t="n">
        <f aca="false">D167+C168</f>
        <v>89.9950005832202</v>
      </c>
    </row>
    <row r="169" customFormat="false" ht="12.8" hidden="false" customHeight="false" outlineLevel="0" collapsed="false">
      <c r="A169" s="6" t="s">
        <v>171</v>
      </c>
      <c r="B169" s="1" t="n">
        <v>3</v>
      </c>
      <c r="C169" s="6" t="n">
        <f aca="false">B169/9435*100</f>
        <v>0.0317965023847377</v>
      </c>
      <c r="D169" s="2" t="n">
        <f aca="false">D168+C169</f>
        <v>90.0267970856049</v>
      </c>
    </row>
    <row r="170" customFormat="false" ht="12.8" hidden="false" customHeight="false" outlineLevel="0" collapsed="false">
      <c r="A170" s="6" t="s">
        <v>172</v>
      </c>
      <c r="B170" s="1" t="n">
        <v>3</v>
      </c>
      <c r="C170" s="6" t="n">
        <f aca="false">B170/9435*100</f>
        <v>0.0317965023847377</v>
      </c>
      <c r="D170" s="2" t="n">
        <f aca="false">D169+C170</f>
        <v>90.0585935879897</v>
      </c>
    </row>
    <row r="171" customFormat="false" ht="12.8" hidden="false" customHeight="false" outlineLevel="0" collapsed="false">
      <c r="A171" s="6" t="s">
        <v>173</v>
      </c>
      <c r="B171" s="1" t="n">
        <v>3</v>
      </c>
      <c r="C171" s="6" t="n">
        <f aca="false">B171/9435*100</f>
        <v>0.0317965023847377</v>
      </c>
      <c r="D171" s="2" t="n">
        <f aca="false">D170+C171</f>
        <v>90.0903900903744</v>
      </c>
    </row>
    <row r="172" customFormat="false" ht="12.8" hidden="false" customHeight="false" outlineLevel="0" collapsed="false">
      <c r="A172" s="6" t="s">
        <v>174</v>
      </c>
      <c r="B172" s="1" t="n">
        <v>3</v>
      </c>
      <c r="C172" s="6" t="n">
        <f aca="false">B172/9435*100</f>
        <v>0.0317965023847377</v>
      </c>
      <c r="D172" s="2" t="n">
        <f aca="false">D171+C172</f>
        <v>90.1221865927591</v>
      </c>
    </row>
    <row r="173" customFormat="false" ht="12.8" hidden="false" customHeight="false" outlineLevel="0" collapsed="false">
      <c r="A173" s="6" t="s">
        <v>175</v>
      </c>
      <c r="B173" s="1" t="n">
        <v>3</v>
      </c>
      <c r="C173" s="6" t="n">
        <f aca="false">B173/9435*100</f>
        <v>0.0317965023847377</v>
      </c>
      <c r="D173" s="2" t="n">
        <f aca="false">D172+C173</f>
        <v>90.1539830951439</v>
      </c>
    </row>
    <row r="174" customFormat="false" ht="12.8" hidden="false" customHeight="false" outlineLevel="0" collapsed="false">
      <c r="A174" s="6" t="s">
        <v>176</v>
      </c>
      <c r="B174" s="1" t="n">
        <v>3</v>
      </c>
      <c r="C174" s="6" t="n">
        <f aca="false">B174/9435*100</f>
        <v>0.0317965023847377</v>
      </c>
      <c r="D174" s="2" t="n">
        <f aca="false">D173+C174</f>
        <v>90.1857795975286</v>
      </c>
    </row>
    <row r="175" customFormat="false" ht="12.8" hidden="false" customHeight="false" outlineLevel="0" collapsed="false">
      <c r="A175" s="6" t="s">
        <v>177</v>
      </c>
      <c r="B175" s="1" t="n">
        <v>3</v>
      </c>
      <c r="C175" s="6" t="n">
        <f aca="false">B175/9435*100</f>
        <v>0.0317965023847377</v>
      </c>
      <c r="D175" s="2" t="n">
        <f aca="false">D174+C175</f>
        <v>90.2175760999134</v>
      </c>
    </row>
    <row r="176" customFormat="false" ht="12.8" hidden="false" customHeight="false" outlineLevel="0" collapsed="false">
      <c r="A176" s="6" t="s">
        <v>178</v>
      </c>
      <c r="B176" s="1" t="n">
        <v>3</v>
      </c>
      <c r="C176" s="6" t="n">
        <f aca="false">B176/9435*100</f>
        <v>0.0317965023847377</v>
      </c>
      <c r="D176" s="2" t="n">
        <f aca="false">D175+C176</f>
        <v>90.2493726022981</v>
      </c>
    </row>
    <row r="177" customFormat="false" ht="12.8" hidden="false" customHeight="false" outlineLevel="0" collapsed="false">
      <c r="A177" s="6" t="s">
        <v>179</v>
      </c>
      <c r="B177" s="1" t="n">
        <v>3</v>
      </c>
      <c r="C177" s="6" t="n">
        <f aca="false">B177/9435*100</f>
        <v>0.0317965023847377</v>
      </c>
      <c r="D177" s="2" t="n">
        <f aca="false">D176+C177</f>
        <v>90.2811691046828</v>
      </c>
    </row>
    <row r="178" customFormat="false" ht="12.8" hidden="false" customHeight="false" outlineLevel="0" collapsed="false">
      <c r="A178" s="6" t="s">
        <v>180</v>
      </c>
      <c r="B178" s="1" t="n">
        <v>3</v>
      </c>
      <c r="C178" s="6" t="n">
        <f aca="false">B178/9435*100</f>
        <v>0.0317965023847377</v>
      </c>
      <c r="D178" s="2" t="n">
        <f aca="false">D177+C178</f>
        <v>90.3129656070676</v>
      </c>
    </row>
    <row r="179" customFormat="false" ht="12.8" hidden="false" customHeight="false" outlineLevel="0" collapsed="false">
      <c r="A179" s="6" t="s">
        <v>181</v>
      </c>
      <c r="B179" s="1" t="n">
        <v>3</v>
      </c>
      <c r="C179" s="6" t="n">
        <f aca="false">B179/9435*100</f>
        <v>0.0317965023847377</v>
      </c>
      <c r="D179" s="2" t="n">
        <f aca="false">D178+C179</f>
        <v>90.3447621094523</v>
      </c>
    </row>
    <row r="180" customFormat="false" ht="12.8" hidden="false" customHeight="false" outlineLevel="0" collapsed="false">
      <c r="A180" s="6" t="s">
        <v>182</v>
      </c>
      <c r="B180" s="1" t="n">
        <v>3</v>
      </c>
      <c r="C180" s="6" t="n">
        <f aca="false">B180/9435*100</f>
        <v>0.0317965023847377</v>
      </c>
      <c r="D180" s="2" t="n">
        <f aca="false">D179+C180</f>
        <v>90.3765586118371</v>
      </c>
    </row>
    <row r="181" customFormat="false" ht="12.8" hidden="false" customHeight="false" outlineLevel="0" collapsed="false">
      <c r="A181" s="6" t="s">
        <v>183</v>
      </c>
      <c r="B181" s="1" t="n">
        <v>3</v>
      </c>
      <c r="C181" s="6" t="n">
        <f aca="false">B181/9435*100</f>
        <v>0.0317965023847377</v>
      </c>
      <c r="D181" s="2" t="n">
        <f aca="false">D180+C181</f>
        <v>90.4083551142218</v>
      </c>
    </row>
    <row r="182" customFormat="false" ht="12.8" hidden="false" customHeight="false" outlineLevel="0" collapsed="false">
      <c r="A182" s="6" t="s">
        <v>184</v>
      </c>
      <c r="B182" s="1" t="n">
        <v>2</v>
      </c>
      <c r="C182" s="6" t="n">
        <f aca="false">B182/9435*100</f>
        <v>0.0211976682564918</v>
      </c>
      <c r="D182" s="2" t="n">
        <f aca="false">D181+C182</f>
        <v>90.4295527824783</v>
      </c>
    </row>
    <row r="183" customFormat="false" ht="12.8" hidden="false" customHeight="false" outlineLevel="0" collapsed="false">
      <c r="A183" s="6" t="s">
        <v>185</v>
      </c>
      <c r="B183" s="1" t="n">
        <v>2</v>
      </c>
      <c r="C183" s="6" t="n">
        <f aca="false">B183/9435*100</f>
        <v>0.0211976682564918</v>
      </c>
      <c r="D183" s="2" t="n">
        <f aca="false">D182+C183</f>
        <v>90.4507504507348</v>
      </c>
    </row>
    <row r="184" customFormat="false" ht="12.8" hidden="false" customHeight="false" outlineLevel="0" collapsed="false">
      <c r="A184" s="6" t="s">
        <v>186</v>
      </c>
      <c r="B184" s="1" t="n">
        <v>2</v>
      </c>
      <c r="C184" s="6" t="n">
        <f aca="false">B184/9435*100</f>
        <v>0.0211976682564918</v>
      </c>
      <c r="D184" s="2" t="n">
        <f aca="false">D183+C184</f>
        <v>90.4719481189913</v>
      </c>
    </row>
    <row r="185" customFormat="false" ht="12.8" hidden="false" customHeight="false" outlineLevel="0" collapsed="false">
      <c r="A185" s="6" t="s">
        <v>187</v>
      </c>
      <c r="B185" s="1" t="n">
        <v>2</v>
      </c>
      <c r="C185" s="6" t="n">
        <f aca="false">B185/9435*100</f>
        <v>0.0211976682564918</v>
      </c>
      <c r="D185" s="2" t="n">
        <f aca="false">D184+C185</f>
        <v>90.4931457872477</v>
      </c>
    </row>
    <row r="186" customFormat="false" ht="12.8" hidden="false" customHeight="false" outlineLevel="0" collapsed="false">
      <c r="A186" s="6" t="s">
        <v>188</v>
      </c>
      <c r="B186" s="1" t="n">
        <v>2</v>
      </c>
      <c r="C186" s="6" t="n">
        <f aca="false">B186/9435*100</f>
        <v>0.0211976682564918</v>
      </c>
      <c r="D186" s="2" t="n">
        <f aca="false">D185+C186</f>
        <v>90.5143434555042</v>
      </c>
    </row>
    <row r="187" customFormat="false" ht="12.8" hidden="false" customHeight="false" outlineLevel="0" collapsed="false">
      <c r="A187" s="6" t="s">
        <v>189</v>
      </c>
      <c r="B187" s="1" t="n">
        <v>2</v>
      </c>
      <c r="C187" s="6" t="n">
        <f aca="false">B187/9435*100</f>
        <v>0.0211976682564918</v>
      </c>
      <c r="D187" s="2" t="n">
        <f aca="false">D186+C187</f>
        <v>90.5355411237607</v>
      </c>
    </row>
    <row r="188" customFormat="false" ht="12.8" hidden="false" customHeight="false" outlineLevel="0" collapsed="false">
      <c r="A188" s="6" t="s">
        <v>190</v>
      </c>
      <c r="B188" s="1" t="n">
        <v>2</v>
      </c>
      <c r="C188" s="6" t="n">
        <f aca="false">B188/9435*100</f>
        <v>0.0211976682564918</v>
      </c>
      <c r="D188" s="2" t="n">
        <f aca="false">D187+C188</f>
        <v>90.5567387920172</v>
      </c>
    </row>
    <row r="189" customFormat="false" ht="12.8" hidden="false" customHeight="false" outlineLevel="0" collapsed="false">
      <c r="A189" s="6" t="s">
        <v>191</v>
      </c>
      <c r="B189" s="1" t="n">
        <v>2</v>
      </c>
      <c r="C189" s="6" t="n">
        <f aca="false">B189/9435*100</f>
        <v>0.0211976682564918</v>
      </c>
      <c r="D189" s="2" t="n">
        <f aca="false">D188+C189</f>
        <v>90.5779364602737</v>
      </c>
    </row>
    <row r="190" customFormat="false" ht="12.8" hidden="false" customHeight="false" outlineLevel="0" collapsed="false">
      <c r="A190" s="6" t="s">
        <v>192</v>
      </c>
      <c r="B190" s="1" t="n">
        <v>2</v>
      </c>
      <c r="C190" s="6" t="n">
        <f aca="false">B190/9435*100</f>
        <v>0.0211976682564918</v>
      </c>
      <c r="D190" s="2" t="n">
        <f aca="false">D189+C190</f>
        <v>90.5991341285302</v>
      </c>
    </row>
    <row r="191" customFormat="false" ht="12.8" hidden="false" customHeight="false" outlineLevel="0" collapsed="false">
      <c r="A191" s="6" t="s">
        <v>193</v>
      </c>
      <c r="B191" s="1" t="n">
        <v>2</v>
      </c>
      <c r="C191" s="6" t="n">
        <f aca="false">B191/9435*100</f>
        <v>0.0211976682564918</v>
      </c>
      <c r="D191" s="2" t="n">
        <f aca="false">D190+C191</f>
        <v>90.6203317967867</v>
      </c>
    </row>
    <row r="192" customFormat="false" ht="12.8" hidden="false" customHeight="false" outlineLevel="0" collapsed="false">
      <c r="A192" s="6" t="s">
        <v>194</v>
      </c>
      <c r="B192" s="1" t="n">
        <v>2</v>
      </c>
      <c r="C192" s="6" t="n">
        <f aca="false">B192/9435*100</f>
        <v>0.0211976682564918</v>
      </c>
      <c r="D192" s="2" t="n">
        <f aca="false">D191+C192</f>
        <v>90.6415294650432</v>
      </c>
    </row>
    <row r="193" customFormat="false" ht="12.8" hidden="false" customHeight="false" outlineLevel="0" collapsed="false">
      <c r="A193" s="6" t="s">
        <v>195</v>
      </c>
      <c r="B193" s="1" t="n">
        <v>2</v>
      </c>
      <c r="C193" s="6" t="n">
        <f aca="false">B193/9435*100</f>
        <v>0.0211976682564918</v>
      </c>
      <c r="D193" s="2" t="n">
        <f aca="false">D192+C193</f>
        <v>90.6627271332997</v>
      </c>
    </row>
    <row r="194" customFormat="false" ht="12.8" hidden="false" customHeight="false" outlineLevel="0" collapsed="false">
      <c r="A194" s="6" t="s">
        <v>196</v>
      </c>
      <c r="B194" s="1" t="n">
        <v>2</v>
      </c>
      <c r="C194" s="6" t="n">
        <f aca="false">B194/9435*100</f>
        <v>0.0211976682564918</v>
      </c>
      <c r="D194" s="2" t="n">
        <f aca="false">D193+C194</f>
        <v>90.6839248015562</v>
      </c>
    </row>
    <row r="195" customFormat="false" ht="12.8" hidden="false" customHeight="false" outlineLevel="0" collapsed="false">
      <c r="A195" s="6" t="s">
        <v>197</v>
      </c>
      <c r="B195" s="1" t="n">
        <v>2</v>
      </c>
      <c r="C195" s="6" t="n">
        <f aca="false">B195/9435*100</f>
        <v>0.0211976682564918</v>
      </c>
      <c r="D195" s="2" t="n">
        <f aca="false">D194+C195</f>
        <v>90.7051224698127</v>
      </c>
    </row>
    <row r="196" customFormat="false" ht="12.8" hidden="false" customHeight="false" outlineLevel="0" collapsed="false">
      <c r="A196" s="6" t="s">
        <v>198</v>
      </c>
      <c r="B196" s="1" t="n">
        <v>2</v>
      </c>
      <c r="C196" s="6" t="n">
        <f aca="false">B196/9435*100</f>
        <v>0.0211976682564918</v>
      </c>
      <c r="D196" s="2" t="n">
        <f aca="false">D195+C196</f>
        <v>90.7263201380691</v>
      </c>
    </row>
    <row r="197" customFormat="false" ht="12.8" hidden="false" customHeight="false" outlineLevel="0" collapsed="false">
      <c r="A197" s="6" t="s">
        <v>199</v>
      </c>
      <c r="B197" s="1" t="n">
        <v>2</v>
      </c>
      <c r="C197" s="6" t="n">
        <f aca="false">B197/9435*100</f>
        <v>0.0211976682564918</v>
      </c>
      <c r="D197" s="2" t="n">
        <f aca="false">D196+C197</f>
        <v>90.7475178063256</v>
      </c>
    </row>
    <row r="198" customFormat="false" ht="12.8" hidden="false" customHeight="false" outlineLevel="0" collapsed="false">
      <c r="A198" s="6" t="s">
        <v>200</v>
      </c>
      <c r="B198" s="1" t="n">
        <v>2</v>
      </c>
      <c r="C198" s="6" t="n">
        <f aca="false">B198/9435*100</f>
        <v>0.0211976682564918</v>
      </c>
      <c r="D198" s="2" t="n">
        <f aca="false">D197+C198</f>
        <v>90.7687154745821</v>
      </c>
    </row>
    <row r="199" customFormat="false" ht="12.8" hidden="false" customHeight="false" outlineLevel="0" collapsed="false">
      <c r="A199" s="6" t="s">
        <v>201</v>
      </c>
      <c r="B199" s="1" t="n">
        <v>2</v>
      </c>
      <c r="C199" s="6" t="n">
        <f aca="false">B199/9435*100</f>
        <v>0.0211976682564918</v>
      </c>
      <c r="D199" s="2" t="n">
        <f aca="false">D198+C199</f>
        <v>90.7899131428386</v>
      </c>
    </row>
    <row r="200" customFormat="false" ht="12.8" hidden="false" customHeight="false" outlineLevel="0" collapsed="false">
      <c r="A200" s="6" t="s">
        <v>202</v>
      </c>
      <c r="B200" s="1" t="n">
        <v>2</v>
      </c>
      <c r="C200" s="6" t="n">
        <f aca="false">B200/9435*100</f>
        <v>0.0211976682564918</v>
      </c>
      <c r="D200" s="2" t="n">
        <f aca="false">D199+C200</f>
        <v>90.8111108110951</v>
      </c>
    </row>
    <row r="201" customFormat="false" ht="12.8" hidden="false" customHeight="false" outlineLevel="0" collapsed="false">
      <c r="A201" s="6" t="s">
        <v>203</v>
      </c>
      <c r="B201" s="1" t="n">
        <v>2</v>
      </c>
      <c r="C201" s="6" t="n">
        <f aca="false">B201/9435*100</f>
        <v>0.0211976682564918</v>
      </c>
      <c r="D201" s="2" t="n">
        <f aca="false">D200+C201</f>
        <v>90.8323084793516</v>
      </c>
    </row>
    <row r="202" customFormat="false" ht="12.8" hidden="false" customHeight="false" outlineLevel="0" collapsed="false">
      <c r="A202" s="6" t="s">
        <v>204</v>
      </c>
      <c r="B202" s="1" t="n">
        <v>2</v>
      </c>
      <c r="C202" s="6" t="n">
        <f aca="false">B202/9435*100</f>
        <v>0.0211976682564918</v>
      </c>
      <c r="D202" s="2" t="n">
        <f aca="false">D201+C202</f>
        <v>90.8535061476081</v>
      </c>
    </row>
    <row r="203" customFormat="false" ht="12.8" hidden="false" customHeight="false" outlineLevel="0" collapsed="false">
      <c r="A203" s="6" t="s">
        <v>205</v>
      </c>
      <c r="B203" s="1" t="n">
        <v>2</v>
      </c>
      <c r="C203" s="6" t="n">
        <f aca="false">B203/9435*100</f>
        <v>0.0211976682564918</v>
      </c>
      <c r="D203" s="2" t="n">
        <f aca="false">D202+C203</f>
        <v>90.8747038158646</v>
      </c>
    </row>
    <row r="204" customFormat="false" ht="12.8" hidden="false" customHeight="false" outlineLevel="0" collapsed="false">
      <c r="A204" s="6" t="s">
        <v>206</v>
      </c>
      <c r="B204" s="1" t="n">
        <v>2</v>
      </c>
      <c r="C204" s="6" t="n">
        <f aca="false">B204/9435*100</f>
        <v>0.0211976682564918</v>
      </c>
      <c r="D204" s="2" t="n">
        <f aca="false">D203+C204</f>
        <v>90.8959014841211</v>
      </c>
    </row>
    <row r="205" customFormat="false" ht="12.8" hidden="false" customHeight="false" outlineLevel="0" collapsed="false">
      <c r="A205" s="6" t="s">
        <v>207</v>
      </c>
      <c r="B205" s="1" t="n">
        <v>2</v>
      </c>
      <c r="C205" s="6" t="n">
        <f aca="false">B205/9435*100</f>
        <v>0.0211976682564918</v>
      </c>
      <c r="D205" s="2" t="n">
        <f aca="false">D204+C205</f>
        <v>90.9170991523776</v>
      </c>
    </row>
    <row r="206" customFormat="false" ht="12.8" hidden="false" customHeight="false" outlineLevel="0" collapsed="false">
      <c r="A206" s="6" t="s">
        <v>208</v>
      </c>
      <c r="B206" s="1" t="n">
        <v>2</v>
      </c>
      <c r="C206" s="6" t="n">
        <f aca="false">B206/9435*100</f>
        <v>0.0211976682564918</v>
      </c>
      <c r="D206" s="2" t="n">
        <f aca="false">D205+C206</f>
        <v>90.938296820634</v>
      </c>
    </row>
    <row r="207" customFormat="false" ht="12.8" hidden="false" customHeight="false" outlineLevel="0" collapsed="false">
      <c r="A207" s="6" t="s">
        <v>209</v>
      </c>
      <c r="B207" s="1" t="n">
        <v>2</v>
      </c>
      <c r="C207" s="6" t="n">
        <f aca="false">B207/9435*100</f>
        <v>0.0211976682564918</v>
      </c>
      <c r="D207" s="2" t="n">
        <f aca="false">D206+C207</f>
        <v>90.9594944888906</v>
      </c>
    </row>
    <row r="208" customFormat="false" ht="12.8" hidden="false" customHeight="false" outlineLevel="0" collapsed="false">
      <c r="A208" s="6" t="s">
        <v>210</v>
      </c>
      <c r="B208" s="1" t="n">
        <v>2</v>
      </c>
      <c r="C208" s="6" t="n">
        <f aca="false">B208/9435*100</f>
        <v>0.0211976682564918</v>
      </c>
      <c r="D208" s="2" t="n">
        <f aca="false">D207+C208</f>
        <v>90.980692157147</v>
      </c>
    </row>
    <row r="209" customFormat="false" ht="12.8" hidden="false" customHeight="false" outlineLevel="0" collapsed="false">
      <c r="A209" s="6" t="s">
        <v>211</v>
      </c>
      <c r="B209" s="1" t="n">
        <v>2</v>
      </c>
      <c r="C209" s="6" t="n">
        <f aca="false">B209/9435*100</f>
        <v>0.0211976682564918</v>
      </c>
      <c r="D209" s="2" t="n">
        <f aca="false">D208+C209</f>
        <v>91.0018898254035</v>
      </c>
    </row>
    <row r="210" customFormat="false" ht="12.8" hidden="false" customHeight="false" outlineLevel="0" collapsed="false">
      <c r="A210" s="6" t="s">
        <v>212</v>
      </c>
      <c r="B210" s="1" t="n">
        <v>2</v>
      </c>
      <c r="C210" s="6" t="n">
        <f aca="false">B210/9435*100</f>
        <v>0.0211976682564918</v>
      </c>
      <c r="D210" s="2" t="n">
        <f aca="false">D209+C210</f>
        <v>91.02308749366</v>
      </c>
    </row>
    <row r="211" customFormat="false" ht="12.8" hidden="false" customHeight="false" outlineLevel="0" collapsed="false">
      <c r="A211" s="6" t="s">
        <v>213</v>
      </c>
      <c r="B211" s="1" t="n">
        <v>2</v>
      </c>
      <c r="C211" s="6" t="n">
        <f aca="false">B211/9435*100</f>
        <v>0.0211976682564918</v>
      </c>
      <c r="D211" s="2" t="n">
        <f aca="false">D210+C211</f>
        <v>91.0442851619165</v>
      </c>
    </row>
    <row r="212" customFormat="false" ht="12.8" hidden="false" customHeight="false" outlineLevel="0" collapsed="false">
      <c r="A212" s="6" t="s">
        <v>214</v>
      </c>
      <c r="B212" s="1" t="n">
        <v>2</v>
      </c>
      <c r="C212" s="6" t="n">
        <f aca="false">B212/9435*100</f>
        <v>0.0211976682564918</v>
      </c>
      <c r="D212" s="2" t="n">
        <f aca="false">D211+C212</f>
        <v>91.065482830173</v>
      </c>
    </row>
    <row r="213" customFormat="false" ht="12.8" hidden="false" customHeight="false" outlineLevel="0" collapsed="false">
      <c r="A213" s="6" t="s">
        <v>215</v>
      </c>
      <c r="B213" s="1" t="n">
        <v>2</v>
      </c>
      <c r="C213" s="6" t="n">
        <f aca="false">B213/9435*100</f>
        <v>0.0211976682564918</v>
      </c>
      <c r="D213" s="2" t="n">
        <f aca="false">D212+C213</f>
        <v>91.0866804984295</v>
      </c>
    </row>
    <row r="214" customFormat="false" ht="12.8" hidden="false" customHeight="false" outlineLevel="0" collapsed="false">
      <c r="A214" s="6" t="s">
        <v>216</v>
      </c>
      <c r="B214" s="1" t="n">
        <v>2</v>
      </c>
      <c r="C214" s="6" t="n">
        <f aca="false">B214/9435*100</f>
        <v>0.0211976682564918</v>
      </c>
      <c r="D214" s="2" t="n">
        <f aca="false">D213+C214</f>
        <v>91.107878166686</v>
      </c>
    </row>
    <row r="215" customFormat="false" ht="12.8" hidden="false" customHeight="false" outlineLevel="0" collapsed="false">
      <c r="A215" s="6" t="s">
        <v>217</v>
      </c>
      <c r="B215" s="1" t="n">
        <v>2</v>
      </c>
      <c r="C215" s="6" t="n">
        <f aca="false">B215/9435*100</f>
        <v>0.0211976682564918</v>
      </c>
      <c r="D215" s="2" t="n">
        <f aca="false">D214+C215</f>
        <v>91.1290758349425</v>
      </c>
    </row>
    <row r="216" customFormat="false" ht="12.8" hidden="false" customHeight="false" outlineLevel="0" collapsed="false">
      <c r="A216" s="6" t="s">
        <v>218</v>
      </c>
      <c r="B216" s="1" t="n">
        <v>2</v>
      </c>
      <c r="C216" s="6" t="n">
        <f aca="false">B216/9435*100</f>
        <v>0.0211976682564918</v>
      </c>
      <c r="D216" s="2" t="n">
        <f aca="false">D215+C216</f>
        <v>91.150273503199</v>
      </c>
    </row>
    <row r="217" customFormat="false" ht="12.8" hidden="false" customHeight="false" outlineLevel="0" collapsed="false">
      <c r="A217" s="6" t="s">
        <v>219</v>
      </c>
      <c r="B217" s="1" t="n">
        <v>2</v>
      </c>
      <c r="C217" s="6" t="n">
        <f aca="false">B217/9435*100</f>
        <v>0.0211976682564918</v>
      </c>
      <c r="D217" s="2" t="n">
        <f aca="false">D216+C217</f>
        <v>91.1714711714555</v>
      </c>
    </row>
    <row r="218" customFormat="false" ht="12.8" hidden="false" customHeight="false" outlineLevel="0" collapsed="false">
      <c r="A218" s="6" t="s">
        <v>220</v>
      </c>
      <c r="B218" s="1" t="n">
        <v>2</v>
      </c>
      <c r="C218" s="6" t="n">
        <f aca="false">B218/9435*100</f>
        <v>0.0211976682564918</v>
      </c>
      <c r="D218" s="2" t="n">
        <f aca="false">D217+C218</f>
        <v>91.1926688397119</v>
      </c>
    </row>
    <row r="219" customFormat="false" ht="12.8" hidden="false" customHeight="false" outlineLevel="0" collapsed="false">
      <c r="A219" s="6" t="s">
        <v>221</v>
      </c>
      <c r="B219" s="1" t="n">
        <v>2</v>
      </c>
      <c r="C219" s="6" t="n">
        <f aca="false">B219/9435*100</f>
        <v>0.0211976682564918</v>
      </c>
      <c r="D219" s="2" t="n">
        <f aca="false">D218+C219</f>
        <v>91.2138665079684</v>
      </c>
    </row>
    <row r="220" customFormat="false" ht="12.8" hidden="false" customHeight="false" outlineLevel="0" collapsed="false">
      <c r="A220" s="6" t="s">
        <v>222</v>
      </c>
      <c r="B220" s="1" t="n">
        <v>2</v>
      </c>
      <c r="C220" s="6" t="n">
        <f aca="false">B220/9435*100</f>
        <v>0.0211976682564918</v>
      </c>
      <c r="D220" s="2" t="n">
        <f aca="false">D219+C220</f>
        <v>91.2350641762249</v>
      </c>
    </row>
    <row r="221" customFormat="false" ht="12.8" hidden="false" customHeight="false" outlineLevel="0" collapsed="false">
      <c r="A221" s="6" t="s">
        <v>223</v>
      </c>
      <c r="B221" s="1" t="n">
        <v>2</v>
      </c>
      <c r="C221" s="6" t="n">
        <f aca="false">B221/9435*100</f>
        <v>0.0211976682564918</v>
      </c>
      <c r="D221" s="2" t="n">
        <f aca="false">D220+C221</f>
        <v>91.2562618444814</v>
      </c>
    </row>
    <row r="222" customFormat="false" ht="12.8" hidden="false" customHeight="false" outlineLevel="0" collapsed="false">
      <c r="A222" s="6" t="s">
        <v>224</v>
      </c>
      <c r="B222" s="1" t="n">
        <v>2</v>
      </c>
      <c r="C222" s="6" t="n">
        <f aca="false">B222/9435*100</f>
        <v>0.0211976682564918</v>
      </c>
      <c r="D222" s="2" t="n">
        <f aca="false">D221+C222</f>
        <v>91.2774595127379</v>
      </c>
    </row>
    <row r="223" customFormat="false" ht="12.8" hidden="false" customHeight="false" outlineLevel="0" collapsed="false">
      <c r="A223" s="6" t="s">
        <v>225</v>
      </c>
      <c r="B223" s="1" t="n">
        <v>2</v>
      </c>
      <c r="C223" s="6" t="n">
        <f aca="false">B223/9435*100</f>
        <v>0.0211976682564918</v>
      </c>
      <c r="D223" s="2" t="n">
        <f aca="false">D222+C223</f>
        <v>91.2986571809944</v>
      </c>
    </row>
    <row r="224" customFormat="false" ht="12.8" hidden="false" customHeight="false" outlineLevel="0" collapsed="false">
      <c r="A224" s="6" t="s">
        <v>226</v>
      </c>
      <c r="B224" s="1" t="n">
        <v>2</v>
      </c>
      <c r="C224" s="6" t="n">
        <f aca="false">B224/9435*100</f>
        <v>0.0211976682564918</v>
      </c>
      <c r="D224" s="2" t="n">
        <f aca="false">D223+C224</f>
        <v>91.3198548492509</v>
      </c>
    </row>
    <row r="225" customFormat="false" ht="12.8" hidden="false" customHeight="false" outlineLevel="0" collapsed="false">
      <c r="A225" s="6" t="s">
        <v>227</v>
      </c>
      <c r="B225" s="1" t="n">
        <v>2</v>
      </c>
      <c r="C225" s="6" t="n">
        <f aca="false">B225/9435*100</f>
        <v>0.0211976682564918</v>
      </c>
      <c r="D225" s="2" t="n">
        <f aca="false">D224+C225</f>
        <v>91.3410525175074</v>
      </c>
    </row>
    <row r="226" customFormat="false" ht="12.8" hidden="false" customHeight="false" outlineLevel="0" collapsed="false">
      <c r="A226" s="6" t="s">
        <v>228</v>
      </c>
      <c r="B226" s="1" t="n">
        <v>2</v>
      </c>
      <c r="C226" s="6" t="n">
        <f aca="false">B226/9435*100</f>
        <v>0.0211976682564918</v>
      </c>
      <c r="D226" s="2" t="n">
        <f aca="false">D225+C226</f>
        <v>91.3622501857639</v>
      </c>
    </row>
    <row r="227" customFormat="false" ht="12.8" hidden="false" customHeight="false" outlineLevel="0" collapsed="false">
      <c r="A227" s="6" t="s">
        <v>229</v>
      </c>
      <c r="B227" s="1" t="n">
        <v>2</v>
      </c>
      <c r="C227" s="6" t="n">
        <f aca="false">B227/9435*100</f>
        <v>0.0211976682564918</v>
      </c>
      <c r="D227" s="2" t="n">
        <f aca="false">D226+C227</f>
        <v>91.3834478540204</v>
      </c>
    </row>
    <row r="228" customFormat="false" ht="12.8" hidden="false" customHeight="false" outlineLevel="0" collapsed="false">
      <c r="A228" s="6" t="s">
        <v>230</v>
      </c>
      <c r="B228" s="1" t="n">
        <v>2</v>
      </c>
      <c r="C228" s="6" t="n">
        <f aca="false">B228/9435*100</f>
        <v>0.0211976682564918</v>
      </c>
      <c r="D228" s="2" t="n">
        <f aca="false">D227+C228</f>
        <v>91.4046455222769</v>
      </c>
    </row>
    <row r="229" customFormat="false" ht="12.8" hidden="false" customHeight="false" outlineLevel="0" collapsed="false">
      <c r="A229" s="6" t="s">
        <v>231</v>
      </c>
      <c r="B229" s="1" t="n">
        <v>2</v>
      </c>
      <c r="C229" s="6" t="n">
        <f aca="false">B229/9435*100</f>
        <v>0.0211976682564918</v>
      </c>
      <c r="D229" s="2" t="n">
        <f aca="false">D228+C229</f>
        <v>91.4258431905333</v>
      </c>
    </row>
    <row r="230" customFormat="false" ht="12.8" hidden="false" customHeight="false" outlineLevel="0" collapsed="false">
      <c r="A230" s="6" t="s">
        <v>232</v>
      </c>
      <c r="B230" s="1" t="n">
        <v>2</v>
      </c>
      <c r="C230" s="6" t="n">
        <f aca="false">B230/9435*100</f>
        <v>0.0211976682564918</v>
      </c>
      <c r="D230" s="2" t="n">
        <f aca="false">D229+C230</f>
        <v>91.4470408587898</v>
      </c>
    </row>
    <row r="231" customFormat="false" ht="12.8" hidden="false" customHeight="false" outlineLevel="0" collapsed="false">
      <c r="A231" s="6" t="s">
        <v>233</v>
      </c>
      <c r="B231" s="1" t="n">
        <v>2</v>
      </c>
      <c r="C231" s="6" t="n">
        <f aca="false">B231/9435*100</f>
        <v>0.0211976682564918</v>
      </c>
      <c r="D231" s="2" t="n">
        <f aca="false">D230+C231</f>
        <v>91.4682385270463</v>
      </c>
    </row>
    <row r="232" customFormat="false" ht="12.8" hidden="false" customHeight="false" outlineLevel="0" collapsed="false">
      <c r="A232" s="6" t="s">
        <v>234</v>
      </c>
      <c r="B232" s="1" t="n">
        <v>2</v>
      </c>
      <c r="C232" s="6" t="n">
        <f aca="false">B232/9435*100</f>
        <v>0.0211976682564918</v>
      </c>
      <c r="D232" s="2" t="n">
        <f aca="false">D231+C232</f>
        <v>91.4894361953028</v>
      </c>
    </row>
    <row r="233" customFormat="false" ht="12.8" hidden="false" customHeight="false" outlineLevel="0" collapsed="false">
      <c r="A233" s="6" t="s">
        <v>235</v>
      </c>
      <c r="B233" s="1" t="n">
        <v>2</v>
      </c>
      <c r="C233" s="6" t="n">
        <f aca="false">B233/9435*100</f>
        <v>0.0211976682564918</v>
      </c>
      <c r="D233" s="2" t="n">
        <f aca="false">D232+C233</f>
        <v>91.5106338635593</v>
      </c>
    </row>
    <row r="234" customFormat="false" ht="12.8" hidden="false" customHeight="false" outlineLevel="0" collapsed="false">
      <c r="A234" s="6" t="s">
        <v>236</v>
      </c>
      <c r="B234" s="1" t="n">
        <v>2</v>
      </c>
      <c r="C234" s="6" t="n">
        <f aca="false">B234/9435*100</f>
        <v>0.0211976682564918</v>
      </c>
      <c r="D234" s="2" t="n">
        <f aca="false">D233+C234</f>
        <v>91.5318315318158</v>
      </c>
    </row>
    <row r="235" customFormat="false" ht="12.8" hidden="false" customHeight="false" outlineLevel="0" collapsed="false">
      <c r="A235" s="6" t="s">
        <v>237</v>
      </c>
      <c r="B235" s="1" t="n">
        <v>2</v>
      </c>
      <c r="C235" s="6" t="n">
        <f aca="false">B235/9435*100</f>
        <v>0.0211976682564918</v>
      </c>
      <c r="D235" s="2" t="n">
        <f aca="false">D234+C235</f>
        <v>91.5530292000723</v>
      </c>
    </row>
    <row r="236" customFormat="false" ht="12.8" hidden="false" customHeight="false" outlineLevel="0" collapsed="false">
      <c r="A236" s="6" t="s">
        <v>238</v>
      </c>
      <c r="B236" s="1" t="n">
        <v>2</v>
      </c>
      <c r="C236" s="6" t="n">
        <f aca="false">B236/9435*100</f>
        <v>0.0211976682564918</v>
      </c>
      <c r="D236" s="2" t="n">
        <f aca="false">D235+C236</f>
        <v>91.5742268683288</v>
      </c>
    </row>
    <row r="237" customFormat="false" ht="12.8" hidden="false" customHeight="false" outlineLevel="0" collapsed="false">
      <c r="A237" s="6" t="s">
        <v>239</v>
      </c>
      <c r="B237" s="1" t="n">
        <v>2</v>
      </c>
      <c r="C237" s="6" t="n">
        <f aca="false">B237/9435*100</f>
        <v>0.0211976682564918</v>
      </c>
      <c r="D237" s="2" t="n">
        <f aca="false">D236+C237</f>
        <v>91.5954245365853</v>
      </c>
    </row>
    <row r="238" customFormat="false" ht="12.8" hidden="false" customHeight="false" outlineLevel="0" collapsed="false">
      <c r="A238" s="6" t="s">
        <v>240</v>
      </c>
      <c r="B238" s="1" t="n">
        <v>2</v>
      </c>
      <c r="C238" s="6" t="n">
        <f aca="false">B238/9435*100</f>
        <v>0.0211976682564918</v>
      </c>
      <c r="D238" s="2" t="n">
        <f aca="false">D237+C238</f>
        <v>91.6166222048418</v>
      </c>
    </row>
    <row r="239" customFormat="false" ht="12.8" hidden="false" customHeight="false" outlineLevel="0" collapsed="false">
      <c r="A239" s="6" t="s">
        <v>241</v>
      </c>
      <c r="B239" s="1" t="n">
        <v>2</v>
      </c>
      <c r="C239" s="6" t="n">
        <f aca="false">B239/9435*100</f>
        <v>0.0211976682564918</v>
      </c>
      <c r="D239" s="2" t="n">
        <f aca="false">D238+C239</f>
        <v>91.6378198730983</v>
      </c>
    </row>
    <row r="240" customFormat="false" ht="12.8" hidden="false" customHeight="false" outlineLevel="0" collapsed="false">
      <c r="A240" s="6" t="s">
        <v>242</v>
      </c>
      <c r="B240" s="1" t="n">
        <v>2</v>
      </c>
      <c r="C240" s="6" t="n">
        <f aca="false">B240/9435*100</f>
        <v>0.0211976682564918</v>
      </c>
      <c r="D240" s="2" t="n">
        <f aca="false">D239+C240</f>
        <v>91.6590175413547</v>
      </c>
    </row>
    <row r="241" customFormat="false" ht="12.8" hidden="false" customHeight="false" outlineLevel="0" collapsed="false">
      <c r="A241" s="6" t="s">
        <v>243</v>
      </c>
      <c r="B241" s="1" t="n">
        <v>2</v>
      </c>
      <c r="C241" s="6" t="n">
        <f aca="false">B241/9435*100</f>
        <v>0.0211976682564918</v>
      </c>
      <c r="D241" s="2" t="n">
        <f aca="false">D240+C241</f>
        <v>91.6802152096112</v>
      </c>
    </row>
    <row r="242" customFormat="false" ht="12.8" hidden="false" customHeight="false" outlineLevel="0" collapsed="false">
      <c r="A242" s="6" t="s">
        <v>244</v>
      </c>
      <c r="B242" s="1" t="n">
        <v>2</v>
      </c>
      <c r="C242" s="6" t="n">
        <f aca="false">B242/9435*100</f>
        <v>0.0211976682564918</v>
      </c>
      <c r="D242" s="2" t="n">
        <f aca="false">D241+C242</f>
        <v>91.7014128778677</v>
      </c>
    </row>
    <row r="243" customFormat="false" ht="12.8" hidden="false" customHeight="false" outlineLevel="0" collapsed="false">
      <c r="A243" s="6" t="s">
        <v>245</v>
      </c>
      <c r="B243" s="1" t="n">
        <v>2</v>
      </c>
      <c r="C243" s="6" t="n">
        <f aca="false">B243/9435*100</f>
        <v>0.0211976682564918</v>
      </c>
      <c r="D243" s="2" t="n">
        <f aca="false">D242+C243</f>
        <v>91.7226105461242</v>
      </c>
    </row>
    <row r="244" customFormat="false" ht="12.8" hidden="false" customHeight="false" outlineLevel="0" collapsed="false">
      <c r="A244" s="6" t="s">
        <v>246</v>
      </c>
      <c r="B244" s="1" t="n">
        <v>2</v>
      </c>
      <c r="C244" s="6" t="n">
        <f aca="false">B244/9435*100</f>
        <v>0.0211976682564918</v>
      </c>
      <c r="D244" s="2" t="n">
        <f aca="false">D243+C244</f>
        <v>91.7438082143807</v>
      </c>
    </row>
    <row r="245" customFormat="false" ht="12.8" hidden="false" customHeight="false" outlineLevel="0" collapsed="false">
      <c r="A245" s="6" t="s">
        <v>247</v>
      </c>
      <c r="B245" s="1" t="n">
        <v>2</v>
      </c>
      <c r="C245" s="6" t="n">
        <f aca="false">B245/9435*100</f>
        <v>0.0211976682564918</v>
      </c>
      <c r="D245" s="2" t="n">
        <f aca="false">D244+C245</f>
        <v>91.7650058826372</v>
      </c>
    </row>
    <row r="246" customFormat="false" ht="12.8" hidden="false" customHeight="false" outlineLevel="0" collapsed="false">
      <c r="A246" s="6" t="s">
        <v>248</v>
      </c>
      <c r="B246" s="1" t="n">
        <v>2</v>
      </c>
      <c r="C246" s="6" t="n">
        <f aca="false">B246/9435*100</f>
        <v>0.0211976682564918</v>
      </c>
      <c r="D246" s="2" t="n">
        <f aca="false">D245+C246</f>
        <v>91.7862035508937</v>
      </c>
    </row>
    <row r="247" customFormat="false" ht="12.8" hidden="false" customHeight="false" outlineLevel="0" collapsed="false">
      <c r="A247" s="6" t="s">
        <v>249</v>
      </c>
      <c r="B247" s="1" t="n">
        <v>2</v>
      </c>
      <c r="C247" s="6" t="n">
        <f aca="false">B247/9435*100</f>
        <v>0.0211976682564918</v>
      </c>
      <c r="D247" s="2" t="n">
        <f aca="false">D246+C247</f>
        <v>91.8074012191502</v>
      </c>
    </row>
    <row r="248" customFormat="false" ht="12.8" hidden="false" customHeight="false" outlineLevel="0" collapsed="false">
      <c r="A248" s="6" t="s">
        <v>250</v>
      </c>
      <c r="B248" s="1" t="n">
        <v>2</v>
      </c>
      <c r="C248" s="6" t="n">
        <f aca="false">B248/9435*100</f>
        <v>0.0211976682564918</v>
      </c>
      <c r="D248" s="2" t="n">
        <f aca="false">D247+C248</f>
        <v>91.8285988874067</v>
      </c>
    </row>
    <row r="249" customFormat="false" ht="12.8" hidden="false" customHeight="false" outlineLevel="0" collapsed="false">
      <c r="A249" s="6" t="s">
        <v>251</v>
      </c>
      <c r="B249" s="1" t="n">
        <v>2</v>
      </c>
      <c r="C249" s="6" t="n">
        <f aca="false">B249/9435*100</f>
        <v>0.0211976682564918</v>
      </c>
      <c r="D249" s="2" t="n">
        <f aca="false">D248+C249</f>
        <v>91.8497965556632</v>
      </c>
    </row>
    <row r="250" customFormat="false" ht="12.8" hidden="false" customHeight="false" outlineLevel="0" collapsed="false">
      <c r="A250" s="6" t="s">
        <v>252</v>
      </c>
      <c r="B250" s="1" t="n">
        <v>2</v>
      </c>
      <c r="C250" s="6" t="n">
        <f aca="false">B250/9435*100</f>
        <v>0.0211976682564918</v>
      </c>
      <c r="D250" s="2" t="n">
        <f aca="false">D249+C250</f>
        <v>91.8709942239197</v>
      </c>
    </row>
    <row r="251" customFormat="false" ht="12.8" hidden="false" customHeight="false" outlineLevel="0" collapsed="false">
      <c r="A251" s="6" t="s">
        <v>253</v>
      </c>
      <c r="B251" s="1" t="n">
        <v>2</v>
      </c>
      <c r="C251" s="6" t="n">
        <f aca="false">B251/9435*100</f>
        <v>0.0211976682564918</v>
      </c>
      <c r="D251" s="2" t="n">
        <f aca="false">D250+C251</f>
        <v>91.8921918921761</v>
      </c>
    </row>
    <row r="252" customFormat="false" ht="12.8" hidden="false" customHeight="false" outlineLevel="0" collapsed="false">
      <c r="A252" s="6" t="s">
        <v>254</v>
      </c>
      <c r="B252" s="1" t="n">
        <v>2</v>
      </c>
      <c r="C252" s="6" t="n">
        <f aca="false">B252/9435*100</f>
        <v>0.0211976682564918</v>
      </c>
      <c r="D252" s="2" t="n">
        <f aca="false">D251+C252</f>
        <v>91.9133895604326</v>
      </c>
    </row>
    <row r="253" customFormat="false" ht="12.8" hidden="false" customHeight="false" outlineLevel="0" collapsed="false">
      <c r="A253" s="6" t="s">
        <v>255</v>
      </c>
      <c r="B253" s="1" t="n">
        <v>2</v>
      </c>
      <c r="C253" s="6" t="n">
        <f aca="false">B253/9435*100</f>
        <v>0.0211976682564918</v>
      </c>
      <c r="D253" s="2" t="n">
        <f aca="false">D252+C253</f>
        <v>91.9345872286891</v>
      </c>
    </row>
    <row r="254" customFormat="false" ht="12.8" hidden="false" customHeight="false" outlineLevel="0" collapsed="false">
      <c r="A254" s="6" t="s">
        <v>256</v>
      </c>
      <c r="B254" s="1" t="n">
        <v>2</v>
      </c>
      <c r="C254" s="6" t="n">
        <f aca="false">B254/9435*100</f>
        <v>0.0211976682564918</v>
      </c>
      <c r="D254" s="2" t="n">
        <f aca="false">D253+C254</f>
        <v>91.9557848969456</v>
      </c>
    </row>
    <row r="255" customFormat="false" ht="12.8" hidden="false" customHeight="false" outlineLevel="0" collapsed="false">
      <c r="A255" s="6" t="s">
        <v>257</v>
      </c>
      <c r="B255" s="1" t="n">
        <v>2</v>
      </c>
      <c r="C255" s="6" t="n">
        <f aca="false">B255/9435*100</f>
        <v>0.0211976682564918</v>
      </c>
      <c r="D255" s="2" t="n">
        <f aca="false">D254+C255</f>
        <v>91.9769825652021</v>
      </c>
    </row>
    <row r="256" customFormat="false" ht="12.8" hidden="false" customHeight="false" outlineLevel="0" collapsed="false">
      <c r="A256" s="6" t="s">
        <v>258</v>
      </c>
      <c r="B256" s="1" t="n">
        <v>2</v>
      </c>
      <c r="C256" s="6" t="n">
        <f aca="false">B256/9435*100</f>
        <v>0.0211976682564918</v>
      </c>
      <c r="D256" s="2" t="n">
        <f aca="false">D255+C256</f>
        <v>91.9981802334586</v>
      </c>
    </row>
    <row r="257" customFormat="false" ht="12.8" hidden="false" customHeight="false" outlineLevel="0" collapsed="false">
      <c r="A257" s="6" t="s">
        <v>259</v>
      </c>
      <c r="B257" s="1" t="n">
        <v>2</v>
      </c>
      <c r="C257" s="6" t="n">
        <f aca="false">B257/9435*100</f>
        <v>0.0211976682564918</v>
      </c>
      <c r="D257" s="2" t="n">
        <f aca="false">D256+C257</f>
        <v>92.0193779017151</v>
      </c>
    </row>
    <row r="258" customFormat="false" ht="12.8" hidden="false" customHeight="false" outlineLevel="0" collapsed="false">
      <c r="A258" s="6" t="s">
        <v>260</v>
      </c>
      <c r="B258" s="1" t="n">
        <v>2</v>
      </c>
      <c r="C258" s="6" t="n">
        <f aca="false">B258/9435*100</f>
        <v>0.0211976682564918</v>
      </c>
      <c r="D258" s="2" t="n">
        <f aca="false">D257+C258</f>
        <v>92.0405755699716</v>
      </c>
    </row>
    <row r="259" customFormat="false" ht="12.8" hidden="false" customHeight="false" outlineLevel="0" collapsed="false">
      <c r="A259" s="6" t="s">
        <v>261</v>
      </c>
      <c r="B259" s="1" t="n">
        <v>2</v>
      </c>
      <c r="C259" s="6" t="n">
        <f aca="false">B259/9435*100</f>
        <v>0.0211976682564918</v>
      </c>
      <c r="D259" s="2" t="n">
        <f aca="false">D258+C259</f>
        <v>92.0617732382281</v>
      </c>
    </row>
    <row r="260" customFormat="false" ht="12.8" hidden="false" customHeight="false" outlineLevel="0" collapsed="false">
      <c r="A260" s="6" t="s">
        <v>262</v>
      </c>
      <c r="B260" s="1" t="n">
        <v>2</v>
      </c>
      <c r="C260" s="6" t="n">
        <f aca="false">B260/9435*100</f>
        <v>0.0211976682564918</v>
      </c>
      <c r="D260" s="2" t="n">
        <f aca="false">D259+C260</f>
        <v>92.0829709064846</v>
      </c>
    </row>
    <row r="261" customFormat="false" ht="12.8" hidden="false" customHeight="false" outlineLevel="0" collapsed="false">
      <c r="A261" s="6" t="s">
        <v>263</v>
      </c>
      <c r="B261" s="1" t="n">
        <v>2</v>
      </c>
      <c r="C261" s="6" t="n">
        <f aca="false">B261/9435*100</f>
        <v>0.0211976682564918</v>
      </c>
      <c r="D261" s="2" t="n">
        <f aca="false">D260+C261</f>
        <v>92.104168574741</v>
      </c>
    </row>
    <row r="262" customFormat="false" ht="12.8" hidden="false" customHeight="false" outlineLevel="0" collapsed="false">
      <c r="A262" s="6" t="s">
        <v>264</v>
      </c>
      <c r="B262" s="1" t="n">
        <v>2</v>
      </c>
      <c r="C262" s="6" t="n">
        <f aca="false">B262/9435*100</f>
        <v>0.0211976682564918</v>
      </c>
      <c r="D262" s="2" t="n">
        <f aca="false">D261+C262</f>
        <v>92.1253662429976</v>
      </c>
    </row>
    <row r="263" customFormat="false" ht="12.8" hidden="false" customHeight="false" outlineLevel="0" collapsed="false">
      <c r="A263" s="6" t="s">
        <v>265</v>
      </c>
      <c r="B263" s="1" t="n">
        <v>2</v>
      </c>
      <c r="C263" s="6" t="n">
        <f aca="false">B263/9435*100</f>
        <v>0.0211976682564918</v>
      </c>
      <c r="D263" s="2" t="n">
        <f aca="false">D262+C263</f>
        <v>92.146563911254</v>
      </c>
    </row>
    <row r="264" customFormat="false" ht="12.8" hidden="false" customHeight="false" outlineLevel="0" collapsed="false">
      <c r="A264" s="6" t="s">
        <v>266</v>
      </c>
      <c r="B264" s="1" t="n">
        <v>2</v>
      </c>
      <c r="C264" s="6" t="n">
        <f aca="false">B264/9435*100</f>
        <v>0.0211976682564918</v>
      </c>
      <c r="D264" s="2" t="n">
        <f aca="false">D263+C264</f>
        <v>92.1677615795105</v>
      </c>
    </row>
    <row r="265" customFormat="false" ht="12.8" hidden="false" customHeight="false" outlineLevel="0" collapsed="false">
      <c r="A265" s="6" t="s">
        <v>267</v>
      </c>
      <c r="B265" s="1" t="n">
        <v>2</v>
      </c>
      <c r="C265" s="6" t="n">
        <f aca="false">B265/9435*100</f>
        <v>0.0211976682564918</v>
      </c>
      <c r="D265" s="2" t="n">
        <f aca="false">D264+C265</f>
        <v>92.188959247767</v>
      </c>
    </row>
    <row r="266" customFormat="false" ht="12.8" hidden="false" customHeight="false" outlineLevel="0" collapsed="false">
      <c r="A266" s="6" t="s">
        <v>268</v>
      </c>
      <c r="B266" s="1" t="n">
        <v>2</v>
      </c>
      <c r="C266" s="6" t="n">
        <f aca="false">B266/9435*100</f>
        <v>0.0211976682564918</v>
      </c>
      <c r="D266" s="2" t="n">
        <f aca="false">D265+C266</f>
        <v>92.2101569160235</v>
      </c>
    </row>
    <row r="267" customFormat="false" ht="12.8" hidden="false" customHeight="false" outlineLevel="0" collapsed="false">
      <c r="A267" s="6" t="s">
        <v>269</v>
      </c>
      <c r="B267" s="1" t="n">
        <v>2</v>
      </c>
      <c r="C267" s="6" t="n">
        <f aca="false">B267/9435*100</f>
        <v>0.0211976682564918</v>
      </c>
      <c r="D267" s="2" t="n">
        <f aca="false">D266+C267</f>
        <v>92.23135458428</v>
      </c>
    </row>
    <row r="268" customFormat="false" ht="12.8" hidden="false" customHeight="false" outlineLevel="0" collapsed="false">
      <c r="A268" s="6" t="s">
        <v>270</v>
      </c>
      <c r="B268" s="1" t="n">
        <v>2</v>
      </c>
      <c r="C268" s="6" t="n">
        <f aca="false">B268/9435*100</f>
        <v>0.0211976682564918</v>
      </c>
      <c r="D268" s="2" t="n">
        <f aca="false">D267+C268</f>
        <v>92.2525522525365</v>
      </c>
    </row>
    <row r="269" customFormat="false" ht="12.8" hidden="false" customHeight="false" outlineLevel="0" collapsed="false">
      <c r="A269" s="6" t="s">
        <v>271</v>
      </c>
      <c r="B269" s="1" t="n">
        <v>2</v>
      </c>
      <c r="C269" s="6" t="n">
        <f aca="false">B269/9435*100</f>
        <v>0.0211976682564918</v>
      </c>
      <c r="D269" s="2" t="n">
        <f aca="false">D268+C269</f>
        <v>92.273749920793</v>
      </c>
    </row>
    <row r="270" customFormat="false" ht="12.8" hidden="false" customHeight="false" outlineLevel="0" collapsed="false">
      <c r="A270" s="6" t="s">
        <v>272</v>
      </c>
      <c r="B270" s="1" t="n">
        <v>2</v>
      </c>
      <c r="C270" s="6" t="n">
        <f aca="false">B270/9435*100</f>
        <v>0.0211976682564918</v>
      </c>
      <c r="D270" s="2" t="n">
        <f aca="false">D269+C270</f>
        <v>92.2949475890495</v>
      </c>
    </row>
    <row r="271" customFormat="false" ht="12.8" hidden="false" customHeight="false" outlineLevel="0" collapsed="false">
      <c r="A271" s="6" t="s">
        <v>273</v>
      </c>
      <c r="B271" s="1" t="n">
        <v>2</v>
      </c>
      <c r="C271" s="6" t="n">
        <f aca="false">B271/9435*100</f>
        <v>0.0211976682564918</v>
      </c>
      <c r="D271" s="2" t="n">
        <f aca="false">D270+C271</f>
        <v>92.316145257306</v>
      </c>
    </row>
    <row r="272" customFormat="false" ht="12.8" hidden="false" customHeight="false" outlineLevel="0" collapsed="false">
      <c r="A272" s="6" t="s">
        <v>274</v>
      </c>
      <c r="B272" s="1" t="n">
        <v>2</v>
      </c>
      <c r="C272" s="6" t="n">
        <f aca="false">B272/9435*100</f>
        <v>0.0211976682564918</v>
      </c>
      <c r="D272" s="2" t="n">
        <f aca="false">D271+C272</f>
        <v>92.3373429255625</v>
      </c>
    </row>
    <row r="273" customFormat="false" ht="12.8" hidden="false" customHeight="false" outlineLevel="0" collapsed="false">
      <c r="A273" s="6" t="s">
        <v>275</v>
      </c>
      <c r="B273" s="1" t="n">
        <v>2</v>
      </c>
      <c r="C273" s="6" t="n">
        <f aca="false">B273/9435*100</f>
        <v>0.0211976682564918</v>
      </c>
      <c r="D273" s="2" t="n">
        <f aca="false">D272+C273</f>
        <v>92.358540593819</v>
      </c>
    </row>
    <row r="274" customFormat="false" ht="12.8" hidden="false" customHeight="false" outlineLevel="0" collapsed="false">
      <c r="A274" s="6" t="s">
        <v>276</v>
      </c>
      <c r="B274" s="1" t="n">
        <v>2</v>
      </c>
      <c r="C274" s="6" t="n">
        <f aca="false">B274/9435*100</f>
        <v>0.0211976682564918</v>
      </c>
      <c r="D274" s="2" t="n">
        <f aca="false">D273+C274</f>
        <v>92.3797382620754</v>
      </c>
    </row>
    <row r="275" customFormat="false" ht="12.8" hidden="false" customHeight="false" outlineLevel="0" collapsed="false">
      <c r="A275" s="6" t="s">
        <v>277</v>
      </c>
      <c r="B275" s="1" t="n">
        <v>2</v>
      </c>
      <c r="C275" s="6" t="n">
        <f aca="false">B275/9435*100</f>
        <v>0.0211976682564918</v>
      </c>
      <c r="D275" s="2" t="n">
        <f aca="false">D274+C275</f>
        <v>92.4009359303319</v>
      </c>
    </row>
    <row r="276" customFormat="false" ht="12.8" hidden="false" customHeight="false" outlineLevel="0" collapsed="false">
      <c r="A276" s="6" t="s">
        <v>278</v>
      </c>
      <c r="B276" s="1" t="n">
        <v>2</v>
      </c>
      <c r="C276" s="6" t="n">
        <f aca="false">B276/9435*100</f>
        <v>0.0211976682564918</v>
      </c>
      <c r="D276" s="2" t="n">
        <f aca="false">D275+C276</f>
        <v>92.4221335985884</v>
      </c>
    </row>
    <row r="277" customFormat="false" ht="12.8" hidden="false" customHeight="false" outlineLevel="0" collapsed="false">
      <c r="A277" s="6" t="s">
        <v>279</v>
      </c>
      <c r="B277" s="1" t="n">
        <v>2</v>
      </c>
      <c r="C277" s="6" t="n">
        <f aca="false">B277/9435*100</f>
        <v>0.0211976682564918</v>
      </c>
      <c r="D277" s="2" t="n">
        <f aca="false">D276+C277</f>
        <v>92.4433312668449</v>
      </c>
    </row>
    <row r="278" customFormat="false" ht="12.8" hidden="false" customHeight="false" outlineLevel="0" collapsed="false">
      <c r="A278" s="6" t="s">
        <v>280</v>
      </c>
      <c r="B278" s="1" t="n">
        <v>2</v>
      </c>
      <c r="C278" s="6" t="n">
        <f aca="false">B278/9435*100</f>
        <v>0.0211976682564918</v>
      </c>
      <c r="D278" s="2" t="n">
        <f aca="false">D277+C278</f>
        <v>92.4645289351014</v>
      </c>
    </row>
    <row r="279" customFormat="false" ht="12.8" hidden="false" customHeight="false" outlineLevel="0" collapsed="false">
      <c r="A279" s="6" t="s">
        <v>281</v>
      </c>
      <c r="B279" s="1" t="n">
        <v>2</v>
      </c>
      <c r="C279" s="6" t="n">
        <f aca="false">B279/9435*100</f>
        <v>0.0211976682564918</v>
      </c>
      <c r="D279" s="2" t="n">
        <f aca="false">D278+C279</f>
        <v>92.4857266033579</v>
      </c>
    </row>
    <row r="280" customFormat="false" ht="12.8" hidden="false" customHeight="false" outlineLevel="0" collapsed="false">
      <c r="A280" s="6" t="s">
        <v>282</v>
      </c>
      <c r="B280" s="1" t="n">
        <v>2</v>
      </c>
      <c r="C280" s="6" t="n">
        <f aca="false">B280/9435*100</f>
        <v>0.0211976682564918</v>
      </c>
      <c r="D280" s="2" t="n">
        <f aca="false">D279+C280</f>
        <v>92.5069242716144</v>
      </c>
    </row>
    <row r="281" customFormat="false" ht="12.8" hidden="false" customHeight="false" outlineLevel="0" collapsed="false">
      <c r="A281" s="6" t="s">
        <v>283</v>
      </c>
      <c r="B281" s="1" t="n">
        <v>2</v>
      </c>
      <c r="C281" s="6" t="n">
        <f aca="false">B281/9435*100</f>
        <v>0.0211976682564918</v>
      </c>
      <c r="D281" s="2" t="n">
        <f aca="false">D280+C281</f>
        <v>92.5281219398709</v>
      </c>
    </row>
    <row r="282" customFormat="false" ht="12.8" hidden="false" customHeight="false" outlineLevel="0" collapsed="false">
      <c r="A282" s="6" t="s">
        <v>284</v>
      </c>
      <c r="B282" s="1" t="n">
        <v>2</v>
      </c>
      <c r="C282" s="6" t="n">
        <f aca="false">B282/9435*100</f>
        <v>0.0211976682564918</v>
      </c>
      <c r="D282" s="2" t="n">
        <f aca="false">D281+C282</f>
        <v>92.5493196081274</v>
      </c>
    </row>
    <row r="283" customFormat="false" ht="12.8" hidden="false" customHeight="false" outlineLevel="0" collapsed="false">
      <c r="A283" s="6" t="s">
        <v>285</v>
      </c>
      <c r="B283" s="1" t="n">
        <v>2</v>
      </c>
      <c r="C283" s="6" t="n">
        <f aca="false">B283/9435*100</f>
        <v>0.0211976682564918</v>
      </c>
      <c r="D283" s="2" t="n">
        <f aca="false">D282+C283</f>
        <v>92.5705172763839</v>
      </c>
    </row>
    <row r="284" customFormat="false" ht="12.8" hidden="false" customHeight="false" outlineLevel="0" collapsed="false">
      <c r="A284" s="6" t="s">
        <v>286</v>
      </c>
      <c r="B284" s="1" t="n">
        <v>2</v>
      </c>
      <c r="C284" s="6" t="n">
        <f aca="false">B284/9435*100</f>
        <v>0.0211976682564918</v>
      </c>
      <c r="D284" s="2" t="n">
        <f aca="false">D283+C284</f>
        <v>92.5917149446403</v>
      </c>
    </row>
    <row r="285" customFormat="false" ht="12.8" hidden="false" customHeight="false" outlineLevel="0" collapsed="false">
      <c r="A285" s="6" t="s">
        <v>287</v>
      </c>
      <c r="B285" s="1" t="n">
        <v>2</v>
      </c>
      <c r="C285" s="6" t="n">
        <f aca="false">B285/9435*100</f>
        <v>0.0211976682564918</v>
      </c>
      <c r="D285" s="2" t="n">
        <f aca="false">D284+C285</f>
        <v>92.6129126128968</v>
      </c>
    </row>
    <row r="286" customFormat="false" ht="12.8" hidden="false" customHeight="false" outlineLevel="0" collapsed="false">
      <c r="A286" s="6" t="s">
        <v>288</v>
      </c>
      <c r="B286" s="1" t="n">
        <v>2</v>
      </c>
      <c r="C286" s="6" t="n">
        <f aca="false">B286/9435*100</f>
        <v>0.0211976682564918</v>
      </c>
      <c r="D286" s="2" t="n">
        <f aca="false">D285+C286</f>
        <v>92.6341102811533</v>
      </c>
    </row>
    <row r="287" customFormat="false" ht="12.8" hidden="false" customHeight="false" outlineLevel="0" collapsed="false">
      <c r="A287" s="6" t="s">
        <v>289</v>
      </c>
      <c r="B287" s="1" t="n">
        <v>2</v>
      </c>
      <c r="C287" s="6" t="n">
        <f aca="false">B287/9435*100</f>
        <v>0.0211976682564918</v>
      </c>
      <c r="D287" s="2" t="n">
        <f aca="false">D286+C287</f>
        <v>92.6553079494098</v>
      </c>
    </row>
    <row r="288" customFormat="false" ht="12.8" hidden="false" customHeight="false" outlineLevel="0" collapsed="false">
      <c r="A288" s="6" t="s">
        <v>290</v>
      </c>
      <c r="B288" s="1" t="n">
        <v>2</v>
      </c>
      <c r="C288" s="6" t="n">
        <f aca="false">B288/9435*100</f>
        <v>0.0211976682564918</v>
      </c>
      <c r="D288" s="2" t="n">
        <f aca="false">D287+C288</f>
        <v>92.6765056176663</v>
      </c>
    </row>
    <row r="289" customFormat="false" ht="12.8" hidden="false" customHeight="false" outlineLevel="0" collapsed="false">
      <c r="A289" s="6" t="s">
        <v>291</v>
      </c>
      <c r="B289" s="1" t="n">
        <v>2</v>
      </c>
      <c r="C289" s="6" t="n">
        <f aca="false">B289/9435*100</f>
        <v>0.0211976682564918</v>
      </c>
      <c r="D289" s="2" t="n">
        <f aca="false">D288+C289</f>
        <v>92.6977032859228</v>
      </c>
    </row>
    <row r="290" customFormat="false" ht="12.8" hidden="false" customHeight="false" outlineLevel="0" collapsed="false">
      <c r="A290" s="6" t="s">
        <v>292</v>
      </c>
      <c r="B290" s="1" t="n">
        <v>2</v>
      </c>
      <c r="C290" s="6" t="n">
        <f aca="false">B290/9435*100</f>
        <v>0.0211976682564918</v>
      </c>
      <c r="D290" s="2" t="n">
        <f aca="false">D289+C290</f>
        <v>92.7189009541793</v>
      </c>
    </row>
    <row r="291" customFormat="false" ht="12.8" hidden="false" customHeight="false" outlineLevel="0" collapsed="false">
      <c r="A291" s="6" t="s">
        <v>293</v>
      </c>
      <c r="B291" s="1" t="n">
        <v>2</v>
      </c>
      <c r="C291" s="6" t="n">
        <f aca="false">B291/9435*100</f>
        <v>0.0211976682564918</v>
      </c>
      <c r="D291" s="2" t="n">
        <f aca="false">D290+C291</f>
        <v>92.7400986224358</v>
      </c>
    </row>
    <row r="292" customFormat="false" ht="12.8" hidden="false" customHeight="false" outlineLevel="0" collapsed="false">
      <c r="A292" s="6" t="s">
        <v>294</v>
      </c>
      <c r="B292" s="1" t="n">
        <v>2</v>
      </c>
      <c r="C292" s="6" t="n">
        <f aca="false">B292/9435*100</f>
        <v>0.0211976682564918</v>
      </c>
      <c r="D292" s="2" t="n">
        <f aca="false">D291+C292</f>
        <v>92.7612962906923</v>
      </c>
    </row>
    <row r="293" customFormat="false" ht="12.8" hidden="false" customHeight="false" outlineLevel="0" collapsed="false">
      <c r="A293" s="6" t="s">
        <v>295</v>
      </c>
      <c r="B293" s="1" t="n">
        <v>2</v>
      </c>
      <c r="C293" s="6" t="n">
        <f aca="false">B293/9435*100</f>
        <v>0.0211976682564918</v>
      </c>
      <c r="D293" s="2" t="n">
        <f aca="false">D292+C293</f>
        <v>92.7824939589488</v>
      </c>
    </row>
    <row r="294" customFormat="false" ht="12.8" hidden="false" customHeight="false" outlineLevel="0" collapsed="false">
      <c r="A294" s="6" t="s">
        <v>296</v>
      </c>
      <c r="B294" s="1" t="n">
        <v>2</v>
      </c>
      <c r="C294" s="6" t="n">
        <f aca="false">B294/9435*100</f>
        <v>0.0211976682564918</v>
      </c>
      <c r="D294" s="2" t="n">
        <f aca="false">D293+C294</f>
        <v>92.8036916272053</v>
      </c>
    </row>
    <row r="295" customFormat="false" ht="12.8" hidden="false" customHeight="false" outlineLevel="0" collapsed="false">
      <c r="A295" s="6" t="s">
        <v>297</v>
      </c>
      <c r="B295" s="1" t="n">
        <v>2</v>
      </c>
      <c r="C295" s="6" t="n">
        <f aca="false">B295/9435*100</f>
        <v>0.0211976682564918</v>
      </c>
      <c r="D295" s="2" t="n">
        <f aca="false">D294+C295</f>
        <v>92.8248892954617</v>
      </c>
    </row>
    <row r="296" customFormat="false" ht="12.8" hidden="false" customHeight="false" outlineLevel="0" collapsed="false">
      <c r="A296" s="6" t="s">
        <v>298</v>
      </c>
      <c r="B296" s="1" t="n">
        <v>2</v>
      </c>
      <c r="C296" s="6" t="n">
        <f aca="false">B296/9435*100</f>
        <v>0.0211976682564918</v>
      </c>
      <c r="D296" s="2" t="n">
        <f aca="false">D295+C296</f>
        <v>92.8460869637182</v>
      </c>
    </row>
    <row r="297" customFormat="false" ht="12.8" hidden="false" customHeight="false" outlineLevel="0" collapsed="false">
      <c r="A297" s="6" t="s">
        <v>299</v>
      </c>
      <c r="B297" s="1" t="n">
        <v>2</v>
      </c>
      <c r="C297" s="6" t="n">
        <f aca="false">B297/9435*100</f>
        <v>0.0211976682564918</v>
      </c>
      <c r="D297" s="2" t="n">
        <f aca="false">D296+C297</f>
        <v>92.8672846319747</v>
      </c>
    </row>
    <row r="298" customFormat="false" ht="12.8" hidden="false" customHeight="false" outlineLevel="0" collapsed="false">
      <c r="A298" s="6" t="s">
        <v>300</v>
      </c>
      <c r="B298" s="1" t="n">
        <v>2</v>
      </c>
      <c r="C298" s="6" t="n">
        <f aca="false">B298/9435*100</f>
        <v>0.0211976682564918</v>
      </c>
      <c r="D298" s="2" t="n">
        <f aca="false">D297+C298</f>
        <v>92.8884823002312</v>
      </c>
    </row>
    <row r="299" customFormat="false" ht="12.8" hidden="false" customHeight="false" outlineLevel="0" collapsed="false">
      <c r="A299" s="6" t="s">
        <v>301</v>
      </c>
      <c r="B299" s="1" t="n">
        <v>2</v>
      </c>
      <c r="C299" s="6" t="n">
        <f aca="false">B299/9435*100</f>
        <v>0.0211976682564918</v>
      </c>
      <c r="D299" s="2" t="n">
        <f aca="false">D298+C299</f>
        <v>92.9096799684877</v>
      </c>
    </row>
    <row r="300" customFormat="false" ht="12.8" hidden="false" customHeight="false" outlineLevel="0" collapsed="false">
      <c r="A300" s="6" t="s">
        <v>302</v>
      </c>
      <c r="B300" s="1" t="n">
        <v>2</v>
      </c>
      <c r="C300" s="6" t="n">
        <f aca="false">B300/9435*100</f>
        <v>0.0211976682564918</v>
      </c>
      <c r="D300" s="2" t="n">
        <f aca="false">D299+C300</f>
        <v>92.9308776367442</v>
      </c>
    </row>
    <row r="301" customFormat="false" ht="12.8" hidden="false" customHeight="false" outlineLevel="0" collapsed="false">
      <c r="A301" s="6" t="s">
        <v>303</v>
      </c>
      <c r="B301" s="1" t="n">
        <v>2</v>
      </c>
      <c r="C301" s="6" t="n">
        <f aca="false">B301/9435*100</f>
        <v>0.0211976682564918</v>
      </c>
      <c r="D301" s="2" t="n">
        <f aca="false">D300+C301</f>
        <v>92.9520753050007</v>
      </c>
    </row>
    <row r="302" customFormat="false" ht="12.8" hidden="false" customHeight="false" outlineLevel="0" collapsed="false">
      <c r="A302" s="6" t="s">
        <v>304</v>
      </c>
      <c r="B302" s="1" t="n">
        <v>2</v>
      </c>
      <c r="C302" s="6" t="n">
        <f aca="false">B302/9435*100</f>
        <v>0.0211976682564918</v>
      </c>
      <c r="D302" s="2" t="n">
        <f aca="false">D301+C302</f>
        <v>92.9732729732572</v>
      </c>
    </row>
    <row r="303" customFormat="false" ht="12.8" hidden="false" customHeight="false" outlineLevel="0" collapsed="false">
      <c r="A303" s="6" t="s">
        <v>305</v>
      </c>
      <c r="B303" s="1" t="n">
        <v>2</v>
      </c>
      <c r="C303" s="6" t="n">
        <f aca="false">B303/9435*100</f>
        <v>0.0211976682564918</v>
      </c>
      <c r="D303" s="2" t="n">
        <f aca="false">D302+C303</f>
        <v>92.9944706415137</v>
      </c>
    </row>
    <row r="304" customFormat="false" ht="12.8" hidden="false" customHeight="false" outlineLevel="0" collapsed="false">
      <c r="A304" s="6" t="s">
        <v>306</v>
      </c>
      <c r="B304" s="1" t="n">
        <v>2</v>
      </c>
      <c r="C304" s="6" t="n">
        <f aca="false">B304/9435*100</f>
        <v>0.0211976682564918</v>
      </c>
      <c r="D304" s="2" t="n">
        <f aca="false">D303+C304</f>
        <v>93.0156683097702</v>
      </c>
    </row>
    <row r="305" customFormat="false" ht="12.8" hidden="false" customHeight="false" outlineLevel="0" collapsed="false">
      <c r="A305" s="6" t="s">
        <v>307</v>
      </c>
      <c r="B305" s="1" t="n">
        <v>2</v>
      </c>
      <c r="C305" s="6" t="n">
        <f aca="false">B305/9435*100</f>
        <v>0.0211976682564918</v>
      </c>
      <c r="D305" s="2" t="n">
        <f aca="false">D304+C305</f>
        <v>93.0368659780267</v>
      </c>
    </row>
    <row r="306" customFormat="false" ht="12.8" hidden="false" customHeight="false" outlineLevel="0" collapsed="false">
      <c r="A306" s="6" t="s">
        <v>308</v>
      </c>
      <c r="B306" s="1" t="n">
        <v>2</v>
      </c>
      <c r="C306" s="6" t="n">
        <f aca="false">B306/9435*100</f>
        <v>0.0211976682564918</v>
      </c>
      <c r="D306" s="2" t="n">
        <f aca="false">D305+C306</f>
        <v>93.0580636462831</v>
      </c>
    </row>
    <row r="307" customFormat="false" ht="12.8" hidden="false" customHeight="false" outlineLevel="0" collapsed="false">
      <c r="A307" s="6" t="s">
        <v>309</v>
      </c>
      <c r="B307" s="1" t="n">
        <v>2</v>
      </c>
      <c r="C307" s="6" t="n">
        <f aca="false">B307/9435*100</f>
        <v>0.0211976682564918</v>
      </c>
      <c r="D307" s="2" t="n">
        <f aca="false">D306+C307</f>
        <v>93.0792613145396</v>
      </c>
    </row>
    <row r="308" customFormat="false" ht="12.8" hidden="false" customHeight="false" outlineLevel="0" collapsed="false">
      <c r="A308" s="6" t="s">
        <v>310</v>
      </c>
      <c r="B308" s="1" t="n">
        <v>2</v>
      </c>
      <c r="C308" s="6" t="n">
        <f aca="false">B308/9435*100</f>
        <v>0.0211976682564918</v>
      </c>
      <c r="D308" s="2" t="n">
        <f aca="false">D307+C308</f>
        <v>93.1004589827961</v>
      </c>
    </row>
    <row r="309" customFormat="false" ht="12.8" hidden="false" customHeight="false" outlineLevel="0" collapsed="false">
      <c r="A309" s="6" t="s">
        <v>311</v>
      </c>
      <c r="B309" s="1" t="n">
        <v>2</v>
      </c>
      <c r="C309" s="6" t="n">
        <f aca="false">B309/9435*100</f>
        <v>0.0211976682564918</v>
      </c>
      <c r="D309" s="2" t="n">
        <f aca="false">D308+C309</f>
        <v>93.1216566510526</v>
      </c>
    </row>
    <row r="310" customFormat="false" ht="12.8" hidden="false" customHeight="false" outlineLevel="0" collapsed="false">
      <c r="A310" s="6" t="s">
        <v>312</v>
      </c>
      <c r="B310" s="1" t="n">
        <v>2</v>
      </c>
      <c r="C310" s="6" t="n">
        <f aca="false">B310/9435*100</f>
        <v>0.0211976682564918</v>
      </c>
      <c r="D310" s="2" t="n">
        <f aca="false">D309+C310</f>
        <v>93.1428543193091</v>
      </c>
    </row>
    <row r="311" customFormat="false" ht="12.8" hidden="false" customHeight="false" outlineLevel="0" collapsed="false">
      <c r="A311" s="6" t="s">
        <v>313</v>
      </c>
      <c r="B311" s="1" t="n">
        <v>2</v>
      </c>
      <c r="C311" s="6" t="n">
        <f aca="false">B311/9435*100</f>
        <v>0.0211976682564918</v>
      </c>
      <c r="D311" s="2" t="n">
        <f aca="false">D310+C311</f>
        <v>93.1640519875656</v>
      </c>
    </row>
    <row r="312" customFormat="false" ht="12.8" hidden="false" customHeight="false" outlineLevel="0" collapsed="false">
      <c r="A312" s="6" t="s">
        <v>314</v>
      </c>
      <c r="B312" s="1" t="n">
        <v>2</v>
      </c>
      <c r="C312" s="6" t="n">
        <f aca="false">B312/9435*100</f>
        <v>0.0211976682564918</v>
      </c>
      <c r="D312" s="2" t="n">
        <f aca="false">D311+C312</f>
        <v>93.1852496558221</v>
      </c>
    </row>
    <row r="313" customFormat="false" ht="12.8" hidden="false" customHeight="false" outlineLevel="0" collapsed="false">
      <c r="A313" s="6" t="s">
        <v>315</v>
      </c>
      <c r="B313" s="1" t="n">
        <v>2</v>
      </c>
      <c r="C313" s="6" t="n">
        <f aca="false">B313/9435*100</f>
        <v>0.0211976682564918</v>
      </c>
      <c r="D313" s="2" t="n">
        <f aca="false">D312+C313</f>
        <v>93.2064473240786</v>
      </c>
    </row>
    <row r="314" customFormat="false" ht="12.8" hidden="false" customHeight="false" outlineLevel="0" collapsed="false">
      <c r="A314" s="6" t="s">
        <v>316</v>
      </c>
      <c r="B314" s="1" t="n">
        <v>2</v>
      </c>
      <c r="C314" s="6" t="n">
        <f aca="false">B314/9435*100</f>
        <v>0.0211976682564918</v>
      </c>
      <c r="D314" s="2" t="n">
        <f aca="false">D313+C314</f>
        <v>93.2276449923351</v>
      </c>
    </row>
    <row r="315" customFormat="false" ht="12.8" hidden="false" customHeight="false" outlineLevel="0" collapsed="false">
      <c r="A315" s="6" t="s">
        <v>317</v>
      </c>
      <c r="B315" s="1" t="n">
        <v>2</v>
      </c>
      <c r="C315" s="6" t="n">
        <f aca="false">B315/9435*100</f>
        <v>0.0211976682564918</v>
      </c>
      <c r="D315" s="2" t="n">
        <f aca="false">D314+C315</f>
        <v>93.2488426605916</v>
      </c>
    </row>
    <row r="316" customFormat="false" ht="12.8" hidden="false" customHeight="false" outlineLevel="0" collapsed="false">
      <c r="A316" s="6" t="s">
        <v>318</v>
      </c>
      <c r="B316" s="1" t="n">
        <v>2</v>
      </c>
      <c r="C316" s="6" t="n">
        <f aca="false">B316/9435*100</f>
        <v>0.0211976682564918</v>
      </c>
      <c r="D316" s="2" t="n">
        <f aca="false">D315+C316</f>
        <v>93.2700403288481</v>
      </c>
    </row>
    <row r="317" customFormat="false" ht="12.8" hidden="false" customHeight="false" outlineLevel="0" collapsed="false">
      <c r="A317" s="6" t="s">
        <v>319</v>
      </c>
      <c r="B317" s="1" t="n">
        <v>2</v>
      </c>
      <c r="C317" s="6" t="n">
        <f aca="false">B317/9435*100</f>
        <v>0.0211976682564918</v>
      </c>
      <c r="D317" s="2" t="n">
        <f aca="false">D316+C317</f>
        <v>93.2912379971046</v>
      </c>
    </row>
    <row r="318" customFormat="false" ht="12.8" hidden="false" customHeight="false" outlineLevel="0" collapsed="false">
      <c r="A318" s="6" t="s">
        <v>320</v>
      </c>
      <c r="B318" s="1" t="n">
        <v>2</v>
      </c>
      <c r="C318" s="6" t="n">
        <f aca="false">B318/9435*100</f>
        <v>0.0211976682564918</v>
      </c>
      <c r="D318" s="2" t="n">
        <f aca="false">D317+C318</f>
        <v>93.312435665361</v>
      </c>
    </row>
    <row r="319" customFormat="false" ht="12.8" hidden="false" customHeight="false" outlineLevel="0" collapsed="false">
      <c r="A319" s="6" t="s">
        <v>321</v>
      </c>
      <c r="B319" s="1" t="n">
        <v>2</v>
      </c>
      <c r="C319" s="6" t="n">
        <f aca="false">B319/9435*100</f>
        <v>0.0211976682564918</v>
      </c>
      <c r="D319" s="2" t="n">
        <f aca="false">D318+C319</f>
        <v>93.3336333336175</v>
      </c>
    </row>
    <row r="320" customFormat="false" ht="12.8" hidden="false" customHeight="false" outlineLevel="0" collapsed="false">
      <c r="A320" s="6" t="s">
        <v>322</v>
      </c>
      <c r="B320" s="1" t="n">
        <v>2</v>
      </c>
      <c r="C320" s="6" t="n">
        <f aca="false">B320/9435*100</f>
        <v>0.0211976682564918</v>
      </c>
      <c r="D320" s="2" t="n">
        <f aca="false">D319+C320</f>
        <v>93.354831001874</v>
      </c>
    </row>
    <row r="321" customFormat="false" ht="12.8" hidden="false" customHeight="false" outlineLevel="0" collapsed="false">
      <c r="A321" s="6" t="s">
        <v>323</v>
      </c>
      <c r="B321" s="1" t="n">
        <v>2</v>
      </c>
      <c r="C321" s="6" t="n">
        <f aca="false">B321/9435*100</f>
        <v>0.0211976682564918</v>
      </c>
      <c r="D321" s="2" t="n">
        <f aca="false">D320+C321</f>
        <v>93.3760286701305</v>
      </c>
    </row>
    <row r="322" customFormat="false" ht="12.8" hidden="false" customHeight="false" outlineLevel="0" collapsed="false">
      <c r="A322" s="6" t="s">
        <v>324</v>
      </c>
      <c r="B322" s="1" t="n">
        <v>2</v>
      </c>
      <c r="C322" s="6" t="n">
        <f aca="false">B322/9435*100</f>
        <v>0.0211976682564918</v>
      </c>
      <c r="D322" s="2" t="n">
        <f aca="false">D321+C322</f>
        <v>93.397226338387</v>
      </c>
    </row>
    <row r="323" customFormat="false" ht="12.8" hidden="false" customHeight="false" outlineLevel="0" collapsed="false">
      <c r="A323" s="6" t="s">
        <v>325</v>
      </c>
      <c r="B323" s="1" t="n">
        <v>2</v>
      </c>
      <c r="C323" s="6" t="n">
        <f aca="false">B323/9435*100</f>
        <v>0.0211976682564918</v>
      </c>
      <c r="D323" s="2" t="n">
        <f aca="false">D322+C323</f>
        <v>93.4184240066435</v>
      </c>
    </row>
    <row r="324" customFormat="false" ht="12.8" hidden="false" customHeight="false" outlineLevel="0" collapsed="false">
      <c r="A324" s="6" t="s">
        <v>326</v>
      </c>
      <c r="B324" s="1" t="n">
        <v>2</v>
      </c>
      <c r="C324" s="6" t="n">
        <f aca="false">B324/9435*100</f>
        <v>0.0211976682564918</v>
      </c>
      <c r="D324" s="2" t="n">
        <f aca="false">D323+C324</f>
        <v>93.4396216749</v>
      </c>
    </row>
    <row r="325" customFormat="false" ht="12.8" hidden="false" customHeight="false" outlineLevel="0" collapsed="false">
      <c r="A325" s="6" t="s">
        <v>327</v>
      </c>
      <c r="B325" s="1" t="n">
        <v>2</v>
      </c>
      <c r="C325" s="6" t="n">
        <f aca="false">B325/9435*100</f>
        <v>0.0211976682564918</v>
      </c>
      <c r="D325" s="2" t="n">
        <f aca="false">D324+C325</f>
        <v>93.4608193431565</v>
      </c>
    </row>
    <row r="326" customFormat="false" ht="12.8" hidden="false" customHeight="false" outlineLevel="0" collapsed="false">
      <c r="A326" s="6" t="s">
        <v>328</v>
      </c>
      <c r="B326" s="1" t="n">
        <v>2</v>
      </c>
      <c r="C326" s="6" t="n">
        <f aca="false">B326/9435*100</f>
        <v>0.0211976682564918</v>
      </c>
      <c r="D326" s="2" t="n">
        <f aca="false">D325+C326</f>
        <v>93.482017011413</v>
      </c>
    </row>
    <row r="327" customFormat="false" ht="12.8" hidden="false" customHeight="false" outlineLevel="0" collapsed="false">
      <c r="A327" s="6" t="s">
        <v>329</v>
      </c>
      <c r="B327" s="1" t="n">
        <v>2</v>
      </c>
      <c r="C327" s="6" t="n">
        <f aca="false">B327/9435*100</f>
        <v>0.0211976682564918</v>
      </c>
      <c r="D327" s="2" t="n">
        <f aca="false">D326+C327</f>
        <v>93.5032146796695</v>
      </c>
    </row>
    <row r="328" customFormat="false" ht="12.8" hidden="false" customHeight="false" outlineLevel="0" collapsed="false">
      <c r="A328" s="6" t="s">
        <v>330</v>
      </c>
      <c r="B328" s="1" t="n">
        <v>2</v>
      </c>
      <c r="C328" s="6" t="n">
        <f aca="false">B328/9435*100</f>
        <v>0.0211976682564918</v>
      </c>
      <c r="D328" s="2" t="n">
        <f aca="false">D327+C328</f>
        <v>93.524412347926</v>
      </c>
    </row>
    <row r="329" customFormat="false" ht="12.8" hidden="false" customHeight="false" outlineLevel="0" collapsed="false">
      <c r="A329" s="6" t="s">
        <v>331</v>
      </c>
      <c r="B329" s="1" t="n">
        <v>2</v>
      </c>
      <c r="C329" s="6" t="n">
        <f aca="false">B329/9435*100</f>
        <v>0.0211976682564918</v>
      </c>
      <c r="D329" s="2" t="n">
        <f aca="false">D328+C329</f>
        <v>93.5456100161824</v>
      </c>
    </row>
    <row r="330" customFormat="false" ht="12.8" hidden="false" customHeight="false" outlineLevel="0" collapsed="false">
      <c r="A330" s="6" t="s">
        <v>332</v>
      </c>
      <c r="B330" s="1" t="n">
        <v>2</v>
      </c>
      <c r="C330" s="6" t="n">
        <f aca="false">B330/9435*100</f>
        <v>0.0211976682564918</v>
      </c>
      <c r="D330" s="2" t="n">
        <f aca="false">D329+C330</f>
        <v>93.5668076844389</v>
      </c>
    </row>
    <row r="331" customFormat="false" ht="12.8" hidden="false" customHeight="false" outlineLevel="0" collapsed="false">
      <c r="A331" s="6" t="s">
        <v>333</v>
      </c>
      <c r="B331" s="1" t="n">
        <v>2</v>
      </c>
      <c r="C331" s="6" t="n">
        <f aca="false">B331/9435*100</f>
        <v>0.0211976682564918</v>
      </c>
      <c r="D331" s="2" t="n">
        <f aca="false">D330+C331</f>
        <v>93.5880053526954</v>
      </c>
    </row>
    <row r="332" customFormat="false" ht="12.8" hidden="false" customHeight="false" outlineLevel="0" collapsed="false">
      <c r="A332" s="6" t="s">
        <v>334</v>
      </c>
      <c r="B332" s="1" t="n">
        <v>2</v>
      </c>
      <c r="C332" s="6" t="n">
        <f aca="false">B332/9435*100</f>
        <v>0.0211976682564918</v>
      </c>
      <c r="D332" s="2" t="n">
        <f aca="false">D331+C332</f>
        <v>93.6092030209519</v>
      </c>
    </row>
    <row r="333" customFormat="false" ht="12.8" hidden="false" customHeight="false" outlineLevel="0" collapsed="false">
      <c r="A333" s="6" t="s">
        <v>335</v>
      </c>
      <c r="B333" s="1" t="n">
        <v>2</v>
      </c>
      <c r="C333" s="6" t="n">
        <f aca="false">B333/9435*100</f>
        <v>0.0211976682564918</v>
      </c>
      <c r="D333" s="2" t="n">
        <f aca="false">D332+C333</f>
        <v>93.6304006892084</v>
      </c>
    </row>
    <row r="334" customFormat="false" ht="12.8" hidden="false" customHeight="false" outlineLevel="0" collapsed="false">
      <c r="A334" s="6" t="s">
        <v>336</v>
      </c>
      <c r="B334" s="1" t="n">
        <v>2</v>
      </c>
      <c r="C334" s="6" t="n">
        <f aca="false">B334/9435*100</f>
        <v>0.0211976682564918</v>
      </c>
      <c r="D334" s="2" t="n">
        <f aca="false">D333+C334</f>
        <v>93.6515983574649</v>
      </c>
    </row>
    <row r="335" customFormat="false" ht="12.8" hidden="false" customHeight="false" outlineLevel="0" collapsed="false">
      <c r="A335" s="6" t="s">
        <v>337</v>
      </c>
      <c r="B335" s="1" t="n">
        <v>2</v>
      </c>
      <c r="C335" s="6" t="n">
        <f aca="false">B335/9435*100</f>
        <v>0.0211976682564918</v>
      </c>
      <c r="D335" s="2" t="n">
        <f aca="false">D334+C335</f>
        <v>93.6727960257214</v>
      </c>
    </row>
    <row r="336" customFormat="false" ht="12.8" hidden="false" customHeight="false" outlineLevel="0" collapsed="false">
      <c r="A336" s="6" t="s">
        <v>338</v>
      </c>
      <c r="B336" s="1" t="n">
        <v>2</v>
      </c>
      <c r="C336" s="6" t="n">
        <f aca="false">B336/9435*100</f>
        <v>0.0211976682564918</v>
      </c>
      <c r="D336" s="2" t="n">
        <f aca="false">D335+C336</f>
        <v>93.6939936939779</v>
      </c>
    </row>
    <row r="337" customFormat="false" ht="12.8" hidden="false" customHeight="false" outlineLevel="0" collapsed="false">
      <c r="A337" s="6" t="s">
        <v>339</v>
      </c>
      <c r="B337" s="1" t="n">
        <v>2</v>
      </c>
      <c r="C337" s="6" t="n">
        <f aca="false">B337/9435*100</f>
        <v>0.0211976682564918</v>
      </c>
      <c r="D337" s="2" t="n">
        <f aca="false">D336+C337</f>
        <v>93.7151913622344</v>
      </c>
    </row>
    <row r="338" customFormat="false" ht="12.8" hidden="false" customHeight="false" outlineLevel="0" collapsed="false">
      <c r="A338" s="6" t="s">
        <v>340</v>
      </c>
      <c r="B338" s="1" t="n">
        <v>2</v>
      </c>
      <c r="C338" s="6" t="n">
        <f aca="false">B338/9435*100</f>
        <v>0.0211976682564918</v>
      </c>
      <c r="D338" s="2" t="n">
        <f aca="false">D337+C338</f>
        <v>93.7363890304909</v>
      </c>
    </row>
    <row r="339" customFormat="false" ht="12.8" hidden="false" customHeight="false" outlineLevel="0" collapsed="false">
      <c r="A339" s="6" t="s">
        <v>341</v>
      </c>
      <c r="B339" s="1" t="n">
        <v>2</v>
      </c>
      <c r="C339" s="6" t="n">
        <f aca="false">B339/9435*100</f>
        <v>0.0211976682564918</v>
      </c>
      <c r="D339" s="2" t="n">
        <f aca="false">D338+C339</f>
        <v>93.7575866987473</v>
      </c>
    </row>
    <row r="340" customFormat="false" ht="12.8" hidden="false" customHeight="false" outlineLevel="0" collapsed="false">
      <c r="A340" s="6" t="s">
        <v>342</v>
      </c>
      <c r="B340" s="1" t="n">
        <v>2</v>
      </c>
      <c r="C340" s="6" t="n">
        <f aca="false">B340/9435*100</f>
        <v>0.0211976682564918</v>
      </c>
      <c r="D340" s="2" t="n">
        <f aca="false">D339+C340</f>
        <v>93.7787843670038</v>
      </c>
    </row>
    <row r="341" customFormat="false" ht="12.8" hidden="false" customHeight="false" outlineLevel="0" collapsed="false">
      <c r="A341" s="6" t="s">
        <v>343</v>
      </c>
      <c r="B341" s="1" t="n">
        <v>2</v>
      </c>
      <c r="C341" s="6" t="n">
        <f aca="false">B341/9435*100</f>
        <v>0.0211976682564918</v>
      </c>
      <c r="D341" s="2" t="n">
        <f aca="false">D340+C341</f>
        <v>93.7999820352603</v>
      </c>
    </row>
    <row r="342" customFormat="false" ht="12.8" hidden="false" customHeight="false" outlineLevel="0" collapsed="false">
      <c r="A342" s="6" t="s">
        <v>344</v>
      </c>
      <c r="B342" s="1" t="n">
        <v>2</v>
      </c>
      <c r="C342" s="6" t="n">
        <f aca="false">B342/9435*100</f>
        <v>0.0211976682564918</v>
      </c>
      <c r="D342" s="2" t="n">
        <f aca="false">D341+C342</f>
        <v>93.8211797035168</v>
      </c>
    </row>
    <row r="343" customFormat="false" ht="12.8" hidden="false" customHeight="false" outlineLevel="0" collapsed="false">
      <c r="A343" s="6" t="s">
        <v>345</v>
      </c>
      <c r="B343" s="1" t="n">
        <v>2</v>
      </c>
      <c r="C343" s="6" t="n">
        <f aca="false">B343/9435*100</f>
        <v>0.0211976682564918</v>
      </c>
      <c r="D343" s="2" t="n">
        <f aca="false">D342+C343</f>
        <v>93.8423773717733</v>
      </c>
    </row>
    <row r="344" customFormat="false" ht="12.8" hidden="false" customHeight="false" outlineLevel="0" collapsed="false">
      <c r="A344" s="6" t="s">
        <v>346</v>
      </c>
      <c r="B344" s="1" t="n">
        <v>1</v>
      </c>
      <c r="C344" s="6" t="n">
        <f aca="false">B344/9435*100</f>
        <v>0.0105988341282459</v>
      </c>
      <c r="D344" s="2" t="n">
        <f aca="false">D343+C344</f>
        <v>93.8529762059016</v>
      </c>
    </row>
    <row r="345" customFormat="false" ht="12.8" hidden="false" customHeight="false" outlineLevel="0" collapsed="false">
      <c r="A345" s="6" t="s">
        <v>347</v>
      </c>
      <c r="B345" s="1" t="n">
        <v>1</v>
      </c>
      <c r="C345" s="6" t="n">
        <f aca="false">B345/9435*100</f>
        <v>0.0105988341282459</v>
      </c>
      <c r="D345" s="2" t="n">
        <f aca="false">D344+C345</f>
        <v>93.8635750400298</v>
      </c>
    </row>
    <row r="346" customFormat="false" ht="12.8" hidden="false" customHeight="false" outlineLevel="0" collapsed="false">
      <c r="A346" s="6" t="s">
        <v>348</v>
      </c>
      <c r="B346" s="1" t="n">
        <v>1</v>
      </c>
      <c r="C346" s="6" t="n">
        <f aca="false">B346/9435*100</f>
        <v>0.0105988341282459</v>
      </c>
      <c r="D346" s="2" t="n">
        <f aca="false">D345+C346</f>
        <v>93.8741738741581</v>
      </c>
    </row>
    <row r="347" customFormat="false" ht="12.8" hidden="false" customHeight="false" outlineLevel="0" collapsed="false">
      <c r="A347" s="6" t="s">
        <v>349</v>
      </c>
      <c r="B347" s="1" t="n">
        <v>1</v>
      </c>
      <c r="C347" s="6" t="n">
        <f aca="false">B347/9435*100</f>
        <v>0.0105988341282459</v>
      </c>
      <c r="D347" s="2" t="n">
        <f aca="false">D346+C347</f>
        <v>93.8847727082863</v>
      </c>
    </row>
    <row r="348" customFormat="false" ht="12.8" hidden="false" customHeight="false" outlineLevel="0" collapsed="false">
      <c r="A348" s="6" t="s">
        <v>350</v>
      </c>
      <c r="B348" s="1" t="n">
        <v>1</v>
      </c>
      <c r="C348" s="6" t="n">
        <f aca="false">B348/9435*100</f>
        <v>0.0105988341282459</v>
      </c>
      <c r="D348" s="2" t="n">
        <f aca="false">D347+C348</f>
        <v>93.8953715424145</v>
      </c>
    </row>
    <row r="349" customFormat="false" ht="12.8" hidden="false" customHeight="false" outlineLevel="0" collapsed="false">
      <c r="A349" s="6" t="s">
        <v>351</v>
      </c>
      <c r="B349" s="1" t="n">
        <v>1</v>
      </c>
      <c r="C349" s="6" t="n">
        <f aca="false">B349/9435*100</f>
        <v>0.0105988341282459</v>
      </c>
      <c r="D349" s="2" t="n">
        <f aca="false">D348+C349</f>
        <v>93.9059703765428</v>
      </c>
    </row>
    <row r="350" customFormat="false" ht="12.8" hidden="false" customHeight="false" outlineLevel="0" collapsed="false">
      <c r="A350" s="6" t="s">
        <v>352</v>
      </c>
      <c r="B350" s="1" t="n">
        <v>1</v>
      </c>
      <c r="C350" s="6" t="n">
        <f aca="false">B350/9435*100</f>
        <v>0.0105988341282459</v>
      </c>
      <c r="D350" s="2" t="n">
        <f aca="false">D349+C350</f>
        <v>93.916569210671</v>
      </c>
    </row>
    <row r="351" customFormat="false" ht="12.8" hidden="false" customHeight="false" outlineLevel="0" collapsed="false">
      <c r="A351" s="6" t="s">
        <v>353</v>
      </c>
      <c r="B351" s="1" t="n">
        <v>1</v>
      </c>
      <c r="C351" s="6" t="n">
        <f aca="false">B351/9435*100</f>
        <v>0.0105988341282459</v>
      </c>
      <c r="D351" s="2" t="n">
        <f aca="false">D350+C351</f>
        <v>93.9271680447993</v>
      </c>
    </row>
    <row r="352" customFormat="false" ht="12.8" hidden="false" customHeight="false" outlineLevel="0" collapsed="false">
      <c r="A352" s="6" t="s">
        <v>354</v>
      </c>
      <c r="B352" s="1" t="n">
        <v>1</v>
      </c>
      <c r="C352" s="6" t="n">
        <f aca="false">B352/9435*100</f>
        <v>0.0105988341282459</v>
      </c>
      <c r="D352" s="2" t="n">
        <f aca="false">D351+C352</f>
        <v>93.9377668789275</v>
      </c>
    </row>
    <row r="353" customFormat="false" ht="12.8" hidden="false" customHeight="false" outlineLevel="0" collapsed="false">
      <c r="A353" s="6" t="s">
        <v>355</v>
      </c>
      <c r="B353" s="1" t="n">
        <v>1</v>
      </c>
      <c r="C353" s="6" t="n">
        <f aca="false">B353/9435*100</f>
        <v>0.0105988341282459</v>
      </c>
      <c r="D353" s="2" t="n">
        <f aca="false">D352+C353</f>
        <v>93.9483657130558</v>
      </c>
    </row>
    <row r="354" customFormat="false" ht="12.8" hidden="false" customHeight="false" outlineLevel="0" collapsed="false">
      <c r="A354" s="6" t="s">
        <v>356</v>
      </c>
      <c r="B354" s="1" t="n">
        <v>1</v>
      </c>
      <c r="C354" s="6" t="n">
        <f aca="false">B354/9435*100</f>
        <v>0.0105988341282459</v>
      </c>
      <c r="D354" s="2" t="n">
        <f aca="false">D353+C354</f>
        <v>93.958964547184</v>
      </c>
    </row>
    <row r="355" customFormat="false" ht="12.8" hidden="false" customHeight="false" outlineLevel="0" collapsed="false">
      <c r="A355" s="6" t="s">
        <v>357</v>
      </c>
      <c r="B355" s="1" t="n">
        <v>1</v>
      </c>
      <c r="C355" s="6" t="n">
        <f aca="false">B355/9435*100</f>
        <v>0.0105988341282459</v>
      </c>
      <c r="D355" s="2" t="n">
        <f aca="false">D354+C355</f>
        <v>93.9695633813123</v>
      </c>
    </row>
    <row r="356" customFormat="false" ht="12.8" hidden="false" customHeight="false" outlineLevel="0" collapsed="false">
      <c r="A356" s="6" t="s">
        <v>358</v>
      </c>
      <c r="B356" s="1" t="n">
        <v>1</v>
      </c>
      <c r="C356" s="6" t="n">
        <f aca="false">B356/9435*100</f>
        <v>0.0105988341282459</v>
      </c>
      <c r="D356" s="2" t="n">
        <f aca="false">D355+C356</f>
        <v>93.9801622154405</v>
      </c>
    </row>
    <row r="357" customFormat="false" ht="12.8" hidden="false" customHeight="false" outlineLevel="0" collapsed="false">
      <c r="A357" s="6" t="s">
        <v>359</v>
      </c>
      <c r="B357" s="1" t="n">
        <v>1</v>
      </c>
      <c r="C357" s="6" t="n">
        <f aca="false">B357/9435*100</f>
        <v>0.0105988341282459</v>
      </c>
      <c r="D357" s="2" t="n">
        <f aca="false">D356+C357</f>
        <v>93.9907610495687</v>
      </c>
    </row>
    <row r="358" customFormat="false" ht="12.8" hidden="false" customHeight="false" outlineLevel="0" collapsed="false">
      <c r="A358" s="6" t="s">
        <v>360</v>
      </c>
      <c r="B358" s="1" t="n">
        <v>1</v>
      </c>
      <c r="C358" s="6" t="n">
        <f aca="false">B358/9435*100</f>
        <v>0.0105988341282459</v>
      </c>
      <c r="D358" s="2" t="n">
        <f aca="false">D357+C358</f>
        <v>94.001359883697</v>
      </c>
    </row>
    <row r="359" customFormat="false" ht="12.8" hidden="false" customHeight="false" outlineLevel="0" collapsed="false">
      <c r="A359" s="6" t="s">
        <v>361</v>
      </c>
      <c r="B359" s="1" t="n">
        <v>1</v>
      </c>
      <c r="C359" s="6" t="n">
        <f aca="false">B359/9435*100</f>
        <v>0.0105988341282459</v>
      </c>
      <c r="D359" s="2" t="n">
        <f aca="false">D358+C359</f>
        <v>94.0119587178252</v>
      </c>
    </row>
    <row r="360" customFormat="false" ht="12.8" hidden="false" customHeight="false" outlineLevel="0" collapsed="false">
      <c r="A360" s="6" t="s">
        <v>362</v>
      </c>
      <c r="B360" s="1" t="n">
        <v>1</v>
      </c>
      <c r="C360" s="6" t="n">
        <f aca="false">B360/9435*100</f>
        <v>0.0105988341282459</v>
      </c>
      <c r="D360" s="2" t="n">
        <f aca="false">D359+C360</f>
        <v>94.0225575519535</v>
      </c>
    </row>
    <row r="361" customFormat="false" ht="12.8" hidden="false" customHeight="false" outlineLevel="0" collapsed="false">
      <c r="A361" s="6" t="s">
        <v>363</v>
      </c>
      <c r="B361" s="1" t="n">
        <v>1</v>
      </c>
      <c r="C361" s="6" t="n">
        <f aca="false">B361/9435*100</f>
        <v>0.0105988341282459</v>
      </c>
      <c r="D361" s="2" t="n">
        <f aca="false">D360+C361</f>
        <v>94.0331563860817</v>
      </c>
    </row>
    <row r="362" customFormat="false" ht="12.8" hidden="false" customHeight="false" outlineLevel="0" collapsed="false">
      <c r="A362" s="6" t="s">
        <v>364</v>
      </c>
      <c r="B362" s="1" t="n">
        <v>1</v>
      </c>
      <c r="C362" s="6" t="n">
        <f aca="false">B362/9435*100</f>
        <v>0.0105988341282459</v>
      </c>
      <c r="D362" s="2" t="n">
        <f aca="false">D361+C362</f>
        <v>94.04375522021</v>
      </c>
    </row>
    <row r="363" customFormat="false" ht="12.8" hidden="false" customHeight="false" outlineLevel="0" collapsed="false">
      <c r="A363" s="6" t="s">
        <v>365</v>
      </c>
      <c r="B363" s="1" t="n">
        <v>1</v>
      </c>
      <c r="C363" s="6" t="n">
        <f aca="false">B363/9435*100</f>
        <v>0.0105988341282459</v>
      </c>
      <c r="D363" s="2" t="n">
        <f aca="false">D362+C363</f>
        <v>94.0543540543382</v>
      </c>
    </row>
    <row r="364" customFormat="false" ht="12.8" hidden="false" customHeight="false" outlineLevel="0" collapsed="false">
      <c r="A364" s="6" t="s">
        <v>366</v>
      </c>
      <c r="B364" s="1" t="n">
        <v>1</v>
      </c>
      <c r="C364" s="6" t="n">
        <f aca="false">B364/9435*100</f>
        <v>0.0105988341282459</v>
      </c>
      <c r="D364" s="2" t="n">
        <f aca="false">D363+C364</f>
        <v>94.0649528884665</v>
      </c>
    </row>
    <row r="365" customFormat="false" ht="12.8" hidden="false" customHeight="false" outlineLevel="0" collapsed="false">
      <c r="A365" s="6" t="s">
        <v>367</v>
      </c>
      <c r="B365" s="1" t="n">
        <v>1</v>
      </c>
      <c r="C365" s="6" t="n">
        <f aca="false">B365/9435*100</f>
        <v>0.0105988341282459</v>
      </c>
      <c r="D365" s="2" t="n">
        <f aca="false">D364+C365</f>
        <v>94.0755517225947</v>
      </c>
    </row>
    <row r="366" customFormat="false" ht="12.8" hidden="false" customHeight="false" outlineLevel="0" collapsed="false">
      <c r="A366" s="6" t="s">
        <v>368</v>
      </c>
      <c r="B366" s="1" t="n">
        <v>1</v>
      </c>
      <c r="C366" s="6" t="n">
        <f aca="false">B366/9435*100</f>
        <v>0.0105988341282459</v>
      </c>
      <c r="D366" s="2" t="n">
        <f aca="false">D365+C366</f>
        <v>94.086150556723</v>
      </c>
    </row>
    <row r="367" customFormat="false" ht="12.8" hidden="false" customHeight="false" outlineLevel="0" collapsed="false">
      <c r="A367" s="6" t="s">
        <v>369</v>
      </c>
      <c r="B367" s="1" t="n">
        <v>1</v>
      </c>
      <c r="C367" s="6" t="n">
        <f aca="false">B367/9435*100</f>
        <v>0.0105988341282459</v>
      </c>
      <c r="D367" s="2" t="n">
        <f aca="false">D366+C367</f>
        <v>94.0967493908512</v>
      </c>
    </row>
    <row r="368" customFormat="false" ht="12.8" hidden="false" customHeight="false" outlineLevel="0" collapsed="false">
      <c r="A368" s="6" t="s">
        <v>370</v>
      </c>
      <c r="B368" s="1" t="n">
        <v>1</v>
      </c>
      <c r="C368" s="6" t="n">
        <f aca="false">B368/9435*100</f>
        <v>0.0105988341282459</v>
      </c>
      <c r="D368" s="2" t="n">
        <f aca="false">D367+C368</f>
        <v>94.1073482249795</v>
      </c>
    </row>
    <row r="369" customFormat="false" ht="12.8" hidden="false" customHeight="false" outlineLevel="0" collapsed="false">
      <c r="A369" s="6" t="s">
        <v>371</v>
      </c>
      <c r="B369" s="1" t="n">
        <v>1</v>
      </c>
      <c r="C369" s="6" t="n">
        <f aca="false">B369/9435*100</f>
        <v>0.0105988341282459</v>
      </c>
      <c r="D369" s="2" t="n">
        <f aca="false">D368+C369</f>
        <v>94.1179470591077</v>
      </c>
    </row>
    <row r="370" customFormat="false" ht="12.8" hidden="false" customHeight="false" outlineLevel="0" collapsed="false">
      <c r="A370" s="6" t="s">
        <v>372</v>
      </c>
      <c r="B370" s="1" t="n">
        <v>1</v>
      </c>
      <c r="C370" s="6" t="n">
        <f aca="false">B370/9435*100</f>
        <v>0.0105988341282459</v>
      </c>
      <c r="D370" s="2" t="n">
        <f aca="false">D369+C370</f>
        <v>94.1285458932359</v>
      </c>
    </row>
    <row r="371" customFormat="false" ht="12.8" hidden="false" customHeight="false" outlineLevel="0" collapsed="false">
      <c r="A371" s="6" t="s">
        <v>373</v>
      </c>
      <c r="B371" s="1" t="n">
        <v>1</v>
      </c>
      <c r="C371" s="6" t="n">
        <f aca="false">B371/9435*100</f>
        <v>0.0105988341282459</v>
      </c>
      <c r="D371" s="2" t="n">
        <f aca="false">D370+C371</f>
        <v>94.1391447273642</v>
      </c>
    </row>
    <row r="372" customFormat="false" ht="12.8" hidden="false" customHeight="false" outlineLevel="0" collapsed="false">
      <c r="A372" s="6" t="s">
        <v>374</v>
      </c>
      <c r="B372" s="1" t="n">
        <v>1</v>
      </c>
      <c r="C372" s="6" t="n">
        <f aca="false">B372/9435*100</f>
        <v>0.0105988341282459</v>
      </c>
      <c r="D372" s="2" t="n">
        <f aca="false">D371+C372</f>
        <v>94.1497435614924</v>
      </c>
    </row>
    <row r="373" customFormat="false" ht="12.8" hidden="false" customHeight="false" outlineLevel="0" collapsed="false">
      <c r="A373" s="6" t="s">
        <v>375</v>
      </c>
      <c r="B373" s="1" t="n">
        <v>1</v>
      </c>
      <c r="C373" s="6" t="n">
        <f aca="false">B373/9435*100</f>
        <v>0.0105988341282459</v>
      </c>
      <c r="D373" s="2" t="n">
        <f aca="false">D372+C373</f>
        <v>94.1603423956207</v>
      </c>
    </row>
    <row r="374" customFormat="false" ht="12.8" hidden="false" customHeight="false" outlineLevel="0" collapsed="false">
      <c r="A374" s="6" t="s">
        <v>376</v>
      </c>
      <c r="B374" s="1" t="n">
        <v>1</v>
      </c>
      <c r="C374" s="6" t="n">
        <f aca="false">B374/9435*100</f>
        <v>0.0105988341282459</v>
      </c>
      <c r="D374" s="2" t="n">
        <f aca="false">D373+C374</f>
        <v>94.1709412297489</v>
      </c>
    </row>
    <row r="375" customFormat="false" ht="12.8" hidden="false" customHeight="false" outlineLevel="0" collapsed="false">
      <c r="A375" s="6" t="s">
        <v>377</v>
      </c>
      <c r="B375" s="1" t="n">
        <v>1</v>
      </c>
      <c r="C375" s="6" t="n">
        <f aca="false">B375/9435*100</f>
        <v>0.0105988341282459</v>
      </c>
      <c r="D375" s="2" t="n">
        <f aca="false">D374+C375</f>
        <v>94.1815400638772</v>
      </c>
    </row>
    <row r="376" customFormat="false" ht="12.8" hidden="false" customHeight="false" outlineLevel="0" collapsed="false">
      <c r="A376" s="6" t="s">
        <v>378</v>
      </c>
      <c r="B376" s="1" t="n">
        <v>1</v>
      </c>
      <c r="C376" s="6" t="n">
        <f aca="false">B376/9435*100</f>
        <v>0.0105988341282459</v>
      </c>
      <c r="D376" s="2" t="n">
        <f aca="false">D375+C376</f>
        <v>94.1921388980054</v>
      </c>
    </row>
    <row r="377" customFormat="false" ht="12.8" hidden="false" customHeight="false" outlineLevel="0" collapsed="false">
      <c r="A377" s="6" t="s">
        <v>379</v>
      </c>
      <c r="B377" s="1" t="n">
        <v>1</v>
      </c>
      <c r="C377" s="6" t="n">
        <f aca="false">B377/9435*100</f>
        <v>0.0105988341282459</v>
      </c>
      <c r="D377" s="2" t="n">
        <f aca="false">D376+C377</f>
        <v>94.2027377321337</v>
      </c>
    </row>
    <row r="378" customFormat="false" ht="12.8" hidden="false" customHeight="false" outlineLevel="0" collapsed="false">
      <c r="A378" s="6" t="s">
        <v>380</v>
      </c>
      <c r="B378" s="1" t="n">
        <v>1</v>
      </c>
      <c r="C378" s="6" t="n">
        <f aca="false">B378/9435*100</f>
        <v>0.0105988341282459</v>
      </c>
      <c r="D378" s="2" t="n">
        <f aca="false">D377+C378</f>
        <v>94.2133365662619</v>
      </c>
    </row>
    <row r="379" customFormat="false" ht="12.8" hidden="false" customHeight="false" outlineLevel="0" collapsed="false">
      <c r="A379" s="6" t="s">
        <v>381</v>
      </c>
      <c r="B379" s="1" t="n">
        <v>1</v>
      </c>
      <c r="C379" s="6" t="n">
        <f aca="false">B379/9435*100</f>
        <v>0.0105988341282459</v>
      </c>
      <c r="D379" s="2" t="n">
        <f aca="false">D378+C379</f>
        <v>94.2239354003901</v>
      </c>
    </row>
    <row r="380" customFormat="false" ht="12.8" hidden="false" customHeight="false" outlineLevel="0" collapsed="false">
      <c r="A380" s="6" t="s">
        <v>382</v>
      </c>
      <c r="B380" s="1" t="n">
        <v>1</v>
      </c>
      <c r="C380" s="6" t="n">
        <f aca="false">B380/9435*100</f>
        <v>0.0105988341282459</v>
      </c>
      <c r="D380" s="2" t="n">
        <f aca="false">D379+C380</f>
        <v>94.2345342345184</v>
      </c>
    </row>
    <row r="381" customFormat="false" ht="12.8" hidden="false" customHeight="false" outlineLevel="0" collapsed="false">
      <c r="A381" s="6" t="s">
        <v>383</v>
      </c>
      <c r="B381" s="1" t="n">
        <v>1</v>
      </c>
      <c r="C381" s="6" t="n">
        <f aca="false">B381/9435*100</f>
        <v>0.0105988341282459</v>
      </c>
      <c r="D381" s="2" t="n">
        <f aca="false">D380+C381</f>
        <v>94.2451330686466</v>
      </c>
    </row>
    <row r="382" customFormat="false" ht="12.8" hidden="false" customHeight="false" outlineLevel="0" collapsed="false">
      <c r="A382" s="6" t="s">
        <v>384</v>
      </c>
      <c r="B382" s="1" t="n">
        <v>1</v>
      </c>
      <c r="C382" s="6" t="n">
        <f aca="false">B382/9435*100</f>
        <v>0.0105988341282459</v>
      </c>
      <c r="D382" s="2" t="n">
        <f aca="false">D381+C382</f>
        <v>94.2557319027749</v>
      </c>
    </row>
    <row r="383" customFormat="false" ht="12.8" hidden="false" customHeight="false" outlineLevel="0" collapsed="false">
      <c r="A383" s="6" t="s">
        <v>385</v>
      </c>
      <c r="B383" s="1" t="n">
        <v>1</v>
      </c>
      <c r="C383" s="6" t="n">
        <f aca="false">B383/9435*100</f>
        <v>0.0105988341282459</v>
      </c>
      <c r="D383" s="2" t="n">
        <f aca="false">D382+C383</f>
        <v>94.2663307369031</v>
      </c>
    </row>
    <row r="384" customFormat="false" ht="12.8" hidden="false" customHeight="false" outlineLevel="0" collapsed="false">
      <c r="A384" s="6" t="s">
        <v>386</v>
      </c>
      <c r="B384" s="1" t="n">
        <v>1</v>
      </c>
      <c r="C384" s="6" t="n">
        <f aca="false">B384/9435*100</f>
        <v>0.0105988341282459</v>
      </c>
      <c r="D384" s="2" t="n">
        <f aca="false">D383+C384</f>
        <v>94.2769295710314</v>
      </c>
    </row>
    <row r="385" customFormat="false" ht="12.8" hidden="false" customHeight="false" outlineLevel="0" collapsed="false">
      <c r="A385" s="6" t="s">
        <v>387</v>
      </c>
      <c r="B385" s="1" t="n">
        <v>1</v>
      </c>
      <c r="C385" s="6" t="n">
        <f aca="false">B385/9435*100</f>
        <v>0.0105988341282459</v>
      </c>
      <c r="D385" s="2" t="n">
        <f aca="false">D384+C385</f>
        <v>94.2875284051596</v>
      </c>
    </row>
    <row r="386" customFormat="false" ht="12.8" hidden="false" customHeight="false" outlineLevel="0" collapsed="false">
      <c r="A386" s="6" t="s">
        <v>388</v>
      </c>
      <c r="B386" s="1" t="n">
        <v>1</v>
      </c>
      <c r="C386" s="6" t="n">
        <f aca="false">B386/9435*100</f>
        <v>0.0105988341282459</v>
      </c>
      <c r="D386" s="2" t="n">
        <f aca="false">D385+C386</f>
        <v>94.2981272392879</v>
      </c>
    </row>
    <row r="387" customFormat="false" ht="12.8" hidden="false" customHeight="false" outlineLevel="0" collapsed="false">
      <c r="A387" s="6" t="s">
        <v>389</v>
      </c>
      <c r="B387" s="1" t="n">
        <v>1</v>
      </c>
      <c r="C387" s="6" t="n">
        <f aca="false">B387/9435*100</f>
        <v>0.0105988341282459</v>
      </c>
      <c r="D387" s="2" t="n">
        <f aca="false">D386+C387</f>
        <v>94.3087260734161</v>
      </c>
    </row>
    <row r="388" customFormat="false" ht="12.8" hidden="false" customHeight="false" outlineLevel="0" collapsed="false">
      <c r="A388" s="6" t="s">
        <v>390</v>
      </c>
      <c r="B388" s="1" t="n">
        <v>1</v>
      </c>
      <c r="C388" s="6" t="n">
        <f aca="false">B388/9435*100</f>
        <v>0.0105988341282459</v>
      </c>
      <c r="D388" s="2" t="n">
        <f aca="false">D387+C388</f>
        <v>94.3193249075444</v>
      </c>
    </row>
    <row r="389" customFormat="false" ht="12.8" hidden="false" customHeight="false" outlineLevel="0" collapsed="false">
      <c r="A389" s="6" t="s">
        <v>391</v>
      </c>
      <c r="B389" s="1" t="n">
        <v>1</v>
      </c>
      <c r="C389" s="6" t="n">
        <f aca="false">B389/9435*100</f>
        <v>0.0105988341282459</v>
      </c>
      <c r="D389" s="2" t="n">
        <f aca="false">D388+C389</f>
        <v>94.3299237416726</v>
      </c>
    </row>
    <row r="390" customFormat="false" ht="12.8" hidden="false" customHeight="false" outlineLevel="0" collapsed="false">
      <c r="A390" s="6" t="s">
        <v>392</v>
      </c>
      <c r="B390" s="1" t="n">
        <v>1</v>
      </c>
      <c r="C390" s="6" t="n">
        <f aca="false">B390/9435*100</f>
        <v>0.0105988341282459</v>
      </c>
      <c r="D390" s="2" t="n">
        <f aca="false">D389+C390</f>
        <v>94.3405225758009</v>
      </c>
    </row>
    <row r="391" customFormat="false" ht="12.8" hidden="false" customHeight="false" outlineLevel="0" collapsed="false">
      <c r="A391" s="6" t="s">
        <v>393</v>
      </c>
      <c r="B391" s="1" t="n">
        <v>1</v>
      </c>
      <c r="C391" s="6" t="n">
        <f aca="false">B391/9435*100</f>
        <v>0.0105988341282459</v>
      </c>
      <c r="D391" s="2" t="n">
        <f aca="false">D390+C391</f>
        <v>94.3511214099291</v>
      </c>
    </row>
    <row r="392" customFormat="false" ht="12.8" hidden="false" customHeight="false" outlineLevel="0" collapsed="false">
      <c r="A392" s="6" t="s">
        <v>394</v>
      </c>
      <c r="B392" s="1" t="n">
        <v>1</v>
      </c>
      <c r="C392" s="6" t="n">
        <f aca="false">B392/9435*100</f>
        <v>0.0105988341282459</v>
      </c>
      <c r="D392" s="2" t="n">
        <f aca="false">D391+C392</f>
        <v>94.3617202440573</v>
      </c>
    </row>
    <row r="393" customFormat="false" ht="12.8" hidden="false" customHeight="false" outlineLevel="0" collapsed="false">
      <c r="A393" s="6" t="s">
        <v>395</v>
      </c>
      <c r="B393" s="1" t="n">
        <v>1</v>
      </c>
      <c r="C393" s="6" t="n">
        <f aca="false">B393/9435*100</f>
        <v>0.0105988341282459</v>
      </c>
      <c r="D393" s="2" t="n">
        <f aca="false">D392+C393</f>
        <v>94.3723190781856</v>
      </c>
    </row>
    <row r="394" customFormat="false" ht="12.8" hidden="false" customHeight="false" outlineLevel="0" collapsed="false">
      <c r="A394" s="6" t="s">
        <v>396</v>
      </c>
      <c r="B394" s="1" t="n">
        <v>1</v>
      </c>
      <c r="C394" s="6" t="n">
        <f aca="false">B394/9435*100</f>
        <v>0.0105988341282459</v>
      </c>
      <c r="D394" s="2" t="n">
        <f aca="false">D393+C394</f>
        <v>94.3829179123138</v>
      </c>
    </row>
    <row r="395" customFormat="false" ht="12.8" hidden="false" customHeight="false" outlineLevel="0" collapsed="false">
      <c r="A395" s="6" t="s">
        <v>397</v>
      </c>
      <c r="B395" s="1" t="n">
        <v>1</v>
      </c>
      <c r="C395" s="6" t="n">
        <f aca="false">B395/9435*100</f>
        <v>0.0105988341282459</v>
      </c>
      <c r="D395" s="2" t="n">
        <f aca="false">D394+C395</f>
        <v>94.3935167464421</v>
      </c>
    </row>
    <row r="396" customFormat="false" ht="12.8" hidden="false" customHeight="false" outlineLevel="0" collapsed="false">
      <c r="A396" s="6" t="s">
        <v>398</v>
      </c>
      <c r="B396" s="1" t="n">
        <v>1</v>
      </c>
      <c r="C396" s="6" t="n">
        <f aca="false">B396/9435*100</f>
        <v>0.0105988341282459</v>
      </c>
      <c r="D396" s="2" t="n">
        <f aca="false">D395+C396</f>
        <v>94.4041155805703</v>
      </c>
    </row>
    <row r="397" customFormat="false" ht="12.8" hidden="false" customHeight="false" outlineLevel="0" collapsed="false">
      <c r="A397" s="6" t="s">
        <v>399</v>
      </c>
      <c r="B397" s="1" t="n">
        <v>1</v>
      </c>
      <c r="C397" s="6" t="n">
        <f aca="false">B397/9435*100</f>
        <v>0.0105988341282459</v>
      </c>
      <c r="D397" s="2" t="n">
        <f aca="false">D396+C397</f>
        <v>94.4147144146986</v>
      </c>
    </row>
    <row r="398" customFormat="false" ht="12.8" hidden="false" customHeight="false" outlineLevel="0" collapsed="false">
      <c r="A398" s="6" t="s">
        <v>400</v>
      </c>
      <c r="B398" s="1" t="n">
        <v>1</v>
      </c>
      <c r="C398" s="6" t="n">
        <f aca="false">B398/9435*100</f>
        <v>0.0105988341282459</v>
      </c>
      <c r="D398" s="2" t="n">
        <f aca="false">D397+C398</f>
        <v>94.4253132488268</v>
      </c>
    </row>
    <row r="399" customFormat="false" ht="12.8" hidden="false" customHeight="false" outlineLevel="0" collapsed="false">
      <c r="A399" s="6" t="s">
        <v>401</v>
      </c>
      <c r="B399" s="1" t="n">
        <v>1</v>
      </c>
      <c r="C399" s="6" t="n">
        <f aca="false">B399/9435*100</f>
        <v>0.0105988341282459</v>
      </c>
      <c r="D399" s="2" t="n">
        <f aca="false">D398+C399</f>
        <v>94.4359120829551</v>
      </c>
    </row>
    <row r="400" customFormat="false" ht="12.8" hidden="false" customHeight="false" outlineLevel="0" collapsed="false">
      <c r="A400" s="6" t="s">
        <v>402</v>
      </c>
      <c r="B400" s="1" t="n">
        <v>1</v>
      </c>
      <c r="C400" s="6" t="n">
        <f aca="false">B400/9435*100</f>
        <v>0.0105988341282459</v>
      </c>
      <c r="D400" s="2" t="n">
        <f aca="false">D399+C400</f>
        <v>94.4465109170833</v>
      </c>
    </row>
    <row r="401" customFormat="false" ht="12.8" hidden="false" customHeight="false" outlineLevel="0" collapsed="false">
      <c r="A401" s="6" t="s">
        <v>403</v>
      </c>
      <c r="B401" s="1" t="n">
        <v>1</v>
      </c>
      <c r="C401" s="6" t="n">
        <f aca="false">B401/9435*100</f>
        <v>0.0105988341282459</v>
      </c>
      <c r="D401" s="2" t="n">
        <f aca="false">D400+C401</f>
        <v>94.4571097512116</v>
      </c>
    </row>
    <row r="402" customFormat="false" ht="12.8" hidden="false" customHeight="false" outlineLevel="0" collapsed="false">
      <c r="A402" s="6" t="s">
        <v>404</v>
      </c>
      <c r="B402" s="1" t="n">
        <v>1</v>
      </c>
      <c r="C402" s="6" t="n">
        <f aca="false">B402/9435*100</f>
        <v>0.0105988341282459</v>
      </c>
      <c r="D402" s="2" t="n">
        <f aca="false">D401+C402</f>
        <v>94.4677085853398</v>
      </c>
    </row>
    <row r="403" customFormat="false" ht="12.8" hidden="false" customHeight="false" outlineLevel="0" collapsed="false">
      <c r="A403" s="6" t="s">
        <v>405</v>
      </c>
      <c r="B403" s="1" t="n">
        <v>1</v>
      </c>
      <c r="C403" s="6" t="n">
        <f aca="false">B403/9435*100</f>
        <v>0.0105988341282459</v>
      </c>
      <c r="D403" s="2" t="n">
        <f aca="false">D402+C403</f>
        <v>94.478307419468</v>
      </c>
    </row>
    <row r="404" customFormat="false" ht="12.8" hidden="false" customHeight="false" outlineLevel="0" collapsed="false">
      <c r="A404" s="6" t="s">
        <v>406</v>
      </c>
      <c r="B404" s="1" t="n">
        <v>1</v>
      </c>
      <c r="C404" s="6" t="n">
        <f aca="false">B404/9435*100</f>
        <v>0.0105988341282459</v>
      </c>
      <c r="D404" s="2" t="n">
        <f aca="false">D403+C404</f>
        <v>94.4889062535963</v>
      </c>
    </row>
    <row r="405" customFormat="false" ht="12.8" hidden="false" customHeight="false" outlineLevel="0" collapsed="false">
      <c r="A405" s="6" t="s">
        <v>407</v>
      </c>
      <c r="B405" s="1" t="n">
        <v>1</v>
      </c>
      <c r="C405" s="6" t="n">
        <f aca="false">B405/9435*100</f>
        <v>0.0105988341282459</v>
      </c>
      <c r="D405" s="2" t="n">
        <f aca="false">D404+C405</f>
        <v>94.4995050877245</v>
      </c>
    </row>
    <row r="406" customFormat="false" ht="12.8" hidden="false" customHeight="false" outlineLevel="0" collapsed="false">
      <c r="A406" s="6" t="s">
        <v>408</v>
      </c>
      <c r="B406" s="1" t="n">
        <v>1</v>
      </c>
      <c r="C406" s="6" t="n">
        <f aca="false">B406/9435*100</f>
        <v>0.0105988341282459</v>
      </c>
      <c r="D406" s="2" t="n">
        <f aca="false">D405+C406</f>
        <v>94.5101039218528</v>
      </c>
    </row>
    <row r="407" customFormat="false" ht="12.8" hidden="false" customHeight="false" outlineLevel="0" collapsed="false">
      <c r="A407" s="6" t="s">
        <v>409</v>
      </c>
      <c r="B407" s="1" t="n">
        <v>1</v>
      </c>
      <c r="C407" s="6" t="n">
        <f aca="false">B407/9435*100</f>
        <v>0.0105988341282459</v>
      </c>
      <c r="D407" s="2" t="n">
        <f aca="false">D406+C407</f>
        <v>94.520702755981</v>
      </c>
    </row>
    <row r="408" customFormat="false" ht="12.8" hidden="false" customHeight="false" outlineLevel="0" collapsed="false">
      <c r="A408" s="6" t="s">
        <v>410</v>
      </c>
      <c r="B408" s="1" t="n">
        <v>1</v>
      </c>
      <c r="C408" s="6" t="n">
        <f aca="false">B408/9435*100</f>
        <v>0.0105988341282459</v>
      </c>
      <c r="D408" s="2" t="n">
        <f aca="false">D407+C408</f>
        <v>94.5313015901093</v>
      </c>
    </row>
    <row r="409" customFormat="false" ht="12.8" hidden="false" customHeight="false" outlineLevel="0" collapsed="false">
      <c r="A409" s="6" t="s">
        <v>411</v>
      </c>
      <c r="B409" s="1" t="n">
        <v>1</v>
      </c>
      <c r="C409" s="6" t="n">
        <f aca="false">B409/9435*100</f>
        <v>0.0105988341282459</v>
      </c>
      <c r="D409" s="2" t="n">
        <f aca="false">D408+C409</f>
        <v>94.5419004242375</v>
      </c>
    </row>
    <row r="410" customFormat="false" ht="12.8" hidden="false" customHeight="false" outlineLevel="0" collapsed="false">
      <c r="A410" s="6" t="s">
        <v>412</v>
      </c>
      <c r="B410" s="1" t="n">
        <v>1</v>
      </c>
      <c r="C410" s="6" t="n">
        <f aca="false">B410/9435*100</f>
        <v>0.0105988341282459</v>
      </c>
      <c r="D410" s="2" t="n">
        <f aca="false">D409+C410</f>
        <v>94.5524992583658</v>
      </c>
    </row>
    <row r="411" customFormat="false" ht="12.8" hidden="false" customHeight="false" outlineLevel="0" collapsed="false">
      <c r="A411" s="6" t="s">
        <v>413</v>
      </c>
      <c r="B411" s="1" t="n">
        <v>1</v>
      </c>
      <c r="C411" s="6" t="n">
        <f aca="false">B411/9435*100</f>
        <v>0.0105988341282459</v>
      </c>
      <c r="D411" s="2" t="n">
        <f aca="false">D410+C411</f>
        <v>94.563098092494</v>
      </c>
    </row>
    <row r="412" customFormat="false" ht="12.8" hidden="false" customHeight="false" outlineLevel="0" collapsed="false">
      <c r="A412" s="6" t="s">
        <v>414</v>
      </c>
      <c r="B412" s="1" t="n">
        <v>1</v>
      </c>
      <c r="C412" s="6" t="n">
        <f aca="false">B412/9435*100</f>
        <v>0.0105988341282459</v>
      </c>
      <c r="D412" s="2" t="n">
        <f aca="false">D411+C412</f>
        <v>94.5736969266222</v>
      </c>
    </row>
    <row r="413" customFormat="false" ht="12.8" hidden="false" customHeight="false" outlineLevel="0" collapsed="false">
      <c r="A413" s="6" t="s">
        <v>415</v>
      </c>
      <c r="B413" s="1" t="n">
        <v>1</v>
      </c>
      <c r="C413" s="6" t="n">
        <f aca="false">B413/9435*100</f>
        <v>0.0105988341282459</v>
      </c>
      <c r="D413" s="2" t="n">
        <f aca="false">D412+C413</f>
        <v>94.5842957607505</v>
      </c>
    </row>
    <row r="414" customFormat="false" ht="12.8" hidden="false" customHeight="false" outlineLevel="0" collapsed="false">
      <c r="A414" s="6" t="s">
        <v>416</v>
      </c>
      <c r="B414" s="1" t="n">
        <v>1</v>
      </c>
      <c r="C414" s="6" t="n">
        <f aca="false">B414/9435*100</f>
        <v>0.0105988341282459</v>
      </c>
      <c r="D414" s="2" t="n">
        <f aca="false">D413+C414</f>
        <v>94.5948945948787</v>
      </c>
    </row>
    <row r="415" customFormat="false" ht="12.8" hidden="false" customHeight="false" outlineLevel="0" collapsed="false">
      <c r="A415" s="6" t="s">
        <v>417</v>
      </c>
      <c r="B415" s="1" t="n">
        <v>1</v>
      </c>
      <c r="C415" s="6" t="n">
        <f aca="false">B415/9435*100</f>
        <v>0.0105988341282459</v>
      </c>
      <c r="D415" s="2" t="n">
        <f aca="false">D414+C415</f>
        <v>94.605493429007</v>
      </c>
    </row>
    <row r="416" customFormat="false" ht="12.8" hidden="false" customHeight="false" outlineLevel="0" collapsed="false">
      <c r="A416" s="6" t="s">
        <v>418</v>
      </c>
      <c r="B416" s="1" t="n">
        <v>1</v>
      </c>
      <c r="C416" s="6" t="n">
        <f aca="false">B416/9435*100</f>
        <v>0.0105988341282459</v>
      </c>
      <c r="D416" s="2" t="n">
        <f aca="false">D415+C416</f>
        <v>94.6160922631352</v>
      </c>
    </row>
    <row r="417" customFormat="false" ht="12.8" hidden="false" customHeight="false" outlineLevel="0" collapsed="false">
      <c r="A417" s="6" t="s">
        <v>419</v>
      </c>
      <c r="B417" s="1" t="n">
        <v>1</v>
      </c>
      <c r="C417" s="6" t="n">
        <f aca="false">B417/9435*100</f>
        <v>0.0105988341282459</v>
      </c>
      <c r="D417" s="2" t="n">
        <f aca="false">D416+C417</f>
        <v>94.6266910972635</v>
      </c>
    </row>
    <row r="418" customFormat="false" ht="12.8" hidden="false" customHeight="false" outlineLevel="0" collapsed="false">
      <c r="A418" s="6" t="s">
        <v>420</v>
      </c>
      <c r="B418" s="1" t="n">
        <v>1</v>
      </c>
      <c r="C418" s="6" t="n">
        <f aca="false">B418/9435*100</f>
        <v>0.0105988341282459</v>
      </c>
      <c r="D418" s="2" t="n">
        <f aca="false">D417+C418</f>
        <v>94.6372899313917</v>
      </c>
    </row>
    <row r="419" customFormat="false" ht="12.8" hidden="false" customHeight="false" outlineLevel="0" collapsed="false">
      <c r="A419" s="6" t="s">
        <v>421</v>
      </c>
      <c r="B419" s="1" t="n">
        <v>1</v>
      </c>
      <c r="C419" s="6" t="n">
        <f aca="false">B419/9435*100</f>
        <v>0.0105988341282459</v>
      </c>
      <c r="D419" s="2" t="n">
        <f aca="false">D418+C419</f>
        <v>94.64788876552</v>
      </c>
    </row>
    <row r="420" customFormat="false" ht="12.8" hidden="false" customHeight="false" outlineLevel="0" collapsed="false">
      <c r="A420" s="6" t="s">
        <v>422</v>
      </c>
      <c r="B420" s="1" t="n">
        <v>1</v>
      </c>
      <c r="C420" s="6" t="n">
        <f aca="false">B420/9435*100</f>
        <v>0.0105988341282459</v>
      </c>
      <c r="D420" s="2" t="n">
        <f aca="false">D419+C420</f>
        <v>94.6584875996482</v>
      </c>
    </row>
    <row r="421" customFormat="false" ht="12.8" hidden="false" customHeight="false" outlineLevel="0" collapsed="false">
      <c r="A421" s="6" t="s">
        <v>423</v>
      </c>
      <c r="B421" s="1" t="n">
        <v>1</v>
      </c>
      <c r="C421" s="6" t="n">
        <f aca="false">B421/9435*100</f>
        <v>0.0105988341282459</v>
      </c>
      <c r="D421" s="2" t="n">
        <f aca="false">D420+C421</f>
        <v>94.6690864337765</v>
      </c>
    </row>
    <row r="422" customFormat="false" ht="12.8" hidden="false" customHeight="false" outlineLevel="0" collapsed="false">
      <c r="A422" s="6" t="s">
        <v>424</v>
      </c>
      <c r="B422" s="1" t="n">
        <v>1</v>
      </c>
      <c r="C422" s="6" t="n">
        <f aca="false">B422/9435*100</f>
        <v>0.0105988341282459</v>
      </c>
      <c r="D422" s="2" t="n">
        <f aca="false">D421+C422</f>
        <v>94.6796852679047</v>
      </c>
    </row>
    <row r="423" customFormat="false" ht="12.8" hidden="false" customHeight="false" outlineLevel="0" collapsed="false">
      <c r="A423" s="6" t="s">
        <v>425</v>
      </c>
      <c r="B423" s="1" t="n">
        <v>1</v>
      </c>
      <c r="C423" s="6" t="n">
        <f aca="false">B423/9435*100</f>
        <v>0.0105988341282459</v>
      </c>
      <c r="D423" s="2" t="n">
        <f aca="false">D422+C423</f>
        <v>94.690284102033</v>
      </c>
    </row>
    <row r="424" customFormat="false" ht="12.8" hidden="false" customHeight="false" outlineLevel="0" collapsed="false">
      <c r="A424" s="6" t="s">
        <v>426</v>
      </c>
      <c r="B424" s="1" t="n">
        <v>1</v>
      </c>
      <c r="C424" s="6" t="n">
        <f aca="false">B424/9435*100</f>
        <v>0.0105988341282459</v>
      </c>
      <c r="D424" s="2" t="n">
        <f aca="false">D423+C424</f>
        <v>94.7008829361612</v>
      </c>
    </row>
    <row r="425" customFormat="false" ht="12.8" hidden="false" customHeight="false" outlineLevel="0" collapsed="false">
      <c r="A425" s="6" t="s">
        <v>427</v>
      </c>
      <c r="B425" s="1" t="n">
        <v>1</v>
      </c>
      <c r="C425" s="6" t="n">
        <f aca="false">B425/9435*100</f>
        <v>0.0105988341282459</v>
      </c>
      <c r="D425" s="2" t="n">
        <f aca="false">D424+C425</f>
        <v>94.7114817702894</v>
      </c>
    </row>
    <row r="426" customFormat="false" ht="12.8" hidden="false" customHeight="false" outlineLevel="0" collapsed="false">
      <c r="A426" s="6" t="s">
        <v>428</v>
      </c>
      <c r="B426" s="1" t="n">
        <v>1</v>
      </c>
      <c r="C426" s="6" t="n">
        <f aca="false">B426/9435*100</f>
        <v>0.0105988341282459</v>
      </c>
      <c r="D426" s="2" t="n">
        <f aca="false">D425+C426</f>
        <v>94.7220806044177</v>
      </c>
    </row>
    <row r="427" customFormat="false" ht="12.8" hidden="false" customHeight="false" outlineLevel="0" collapsed="false">
      <c r="A427" s="6" t="s">
        <v>429</v>
      </c>
      <c r="B427" s="1" t="n">
        <v>1</v>
      </c>
      <c r="C427" s="6" t="n">
        <f aca="false">B427/9435*100</f>
        <v>0.0105988341282459</v>
      </c>
      <c r="D427" s="2" t="n">
        <f aca="false">D426+C427</f>
        <v>94.7326794385459</v>
      </c>
    </row>
    <row r="428" customFormat="false" ht="12.8" hidden="false" customHeight="false" outlineLevel="0" collapsed="false">
      <c r="A428" s="6" t="s">
        <v>430</v>
      </c>
      <c r="B428" s="1" t="n">
        <v>1</v>
      </c>
      <c r="C428" s="6" t="n">
        <f aca="false">B428/9435*100</f>
        <v>0.0105988341282459</v>
      </c>
      <c r="D428" s="2" t="n">
        <f aca="false">D427+C428</f>
        <v>94.7432782726742</v>
      </c>
    </row>
    <row r="429" customFormat="false" ht="12.8" hidden="false" customHeight="false" outlineLevel="0" collapsed="false">
      <c r="A429" s="6" t="s">
        <v>431</v>
      </c>
      <c r="B429" s="1" t="n">
        <v>1</v>
      </c>
      <c r="C429" s="6" t="n">
        <f aca="false">B429/9435*100</f>
        <v>0.0105988341282459</v>
      </c>
      <c r="D429" s="2" t="n">
        <f aca="false">D428+C429</f>
        <v>94.7538771068024</v>
      </c>
    </row>
    <row r="430" customFormat="false" ht="12.8" hidden="false" customHeight="false" outlineLevel="0" collapsed="false">
      <c r="A430" s="6" t="s">
        <v>432</v>
      </c>
      <c r="B430" s="1" t="n">
        <v>1</v>
      </c>
      <c r="C430" s="6" t="n">
        <f aca="false">B430/9435*100</f>
        <v>0.0105988341282459</v>
      </c>
      <c r="D430" s="2" t="n">
        <f aca="false">D429+C430</f>
        <v>94.7644759409307</v>
      </c>
    </row>
    <row r="431" customFormat="false" ht="12.8" hidden="false" customHeight="false" outlineLevel="0" collapsed="false">
      <c r="A431" s="6" t="s">
        <v>433</v>
      </c>
      <c r="B431" s="1" t="n">
        <v>1</v>
      </c>
      <c r="C431" s="6" t="n">
        <f aca="false">B431/9435*100</f>
        <v>0.0105988341282459</v>
      </c>
      <c r="D431" s="2" t="n">
        <f aca="false">D430+C431</f>
        <v>94.7750747750589</v>
      </c>
    </row>
    <row r="432" customFormat="false" ht="12.8" hidden="false" customHeight="false" outlineLevel="0" collapsed="false">
      <c r="A432" s="6" t="s">
        <v>434</v>
      </c>
      <c r="B432" s="1" t="n">
        <v>1</v>
      </c>
      <c r="C432" s="6" t="n">
        <f aca="false">B432/9435*100</f>
        <v>0.0105988341282459</v>
      </c>
      <c r="D432" s="2" t="n">
        <f aca="false">D431+C432</f>
        <v>94.7856736091872</v>
      </c>
    </row>
    <row r="433" customFormat="false" ht="12.8" hidden="false" customHeight="false" outlineLevel="0" collapsed="false">
      <c r="A433" s="6" t="s">
        <v>435</v>
      </c>
      <c r="B433" s="1" t="n">
        <v>1</v>
      </c>
      <c r="C433" s="6" t="n">
        <f aca="false">B433/9435*100</f>
        <v>0.0105988341282459</v>
      </c>
      <c r="D433" s="2" t="n">
        <f aca="false">D432+C433</f>
        <v>94.7962724433154</v>
      </c>
    </row>
    <row r="434" customFormat="false" ht="12.8" hidden="false" customHeight="false" outlineLevel="0" collapsed="false">
      <c r="A434" s="6" t="s">
        <v>436</v>
      </c>
      <c r="B434" s="1" t="n">
        <v>1</v>
      </c>
      <c r="C434" s="6" t="n">
        <f aca="false">B434/9435*100</f>
        <v>0.0105988341282459</v>
      </c>
      <c r="D434" s="2" t="n">
        <f aca="false">D433+C434</f>
        <v>94.8068712774436</v>
      </c>
    </row>
    <row r="435" customFormat="false" ht="12.8" hidden="false" customHeight="false" outlineLevel="0" collapsed="false">
      <c r="A435" s="6" t="s">
        <v>437</v>
      </c>
      <c r="B435" s="1" t="n">
        <v>1</v>
      </c>
      <c r="C435" s="6" t="n">
        <f aca="false">B435/9435*100</f>
        <v>0.0105988341282459</v>
      </c>
      <c r="D435" s="2" t="n">
        <f aca="false">D434+C435</f>
        <v>94.8174701115719</v>
      </c>
    </row>
    <row r="436" customFormat="false" ht="12.8" hidden="false" customHeight="false" outlineLevel="0" collapsed="false">
      <c r="A436" s="6" t="s">
        <v>438</v>
      </c>
      <c r="B436" s="1" t="n">
        <v>1</v>
      </c>
      <c r="C436" s="6" t="n">
        <f aca="false">B436/9435*100</f>
        <v>0.0105988341282459</v>
      </c>
      <c r="D436" s="2" t="n">
        <f aca="false">D435+C436</f>
        <v>94.8280689457001</v>
      </c>
    </row>
    <row r="437" customFormat="false" ht="12.8" hidden="false" customHeight="false" outlineLevel="0" collapsed="false">
      <c r="A437" s="6" t="s">
        <v>439</v>
      </c>
      <c r="B437" s="1" t="n">
        <v>1</v>
      </c>
      <c r="C437" s="6" t="n">
        <f aca="false">B437/9435*100</f>
        <v>0.0105988341282459</v>
      </c>
      <c r="D437" s="2" t="n">
        <f aca="false">D436+C437</f>
        <v>94.8386677798284</v>
      </c>
    </row>
    <row r="438" customFormat="false" ht="12.8" hidden="false" customHeight="false" outlineLevel="0" collapsed="false">
      <c r="A438" s="6" t="s">
        <v>440</v>
      </c>
      <c r="B438" s="1" t="n">
        <v>1</v>
      </c>
      <c r="C438" s="6" t="n">
        <f aca="false">B438/9435*100</f>
        <v>0.0105988341282459</v>
      </c>
      <c r="D438" s="2" t="n">
        <f aca="false">D437+C438</f>
        <v>94.8492666139566</v>
      </c>
    </row>
    <row r="439" customFormat="false" ht="12.8" hidden="false" customHeight="false" outlineLevel="0" collapsed="false">
      <c r="A439" s="6" t="s">
        <v>441</v>
      </c>
      <c r="B439" s="1" t="n">
        <v>1</v>
      </c>
      <c r="C439" s="6" t="n">
        <f aca="false">B439/9435*100</f>
        <v>0.0105988341282459</v>
      </c>
      <c r="D439" s="2" t="n">
        <f aca="false">D438+C439</f>
        <v>94.8598654480849</v>
      </c>
    </row>
    <row r="440" customFormat="false" ht="12.8" hidden="false" customHeight="false" outlineLevel="0" collapsed="false">
      <c r="A440" s="6" t="s">
        <v>442</v>
      </c>
      <c r="B440" s="1" t="n">
        <v>1</v>
      </c>
      <c r="C440" s="6" t="n">
        <f aca="false">B440/9435*100</f>
        <v>0.0105988341282459</v>
      </c>
      <c r="D440" s="2" t="n">
        <f aca="false">D439+C440</f>
        <v>94.8704642822131</v>
      </c>
    </row>
    <row r="441" customFormat="false" ht="12.8" hidden="false" customHeight="false" outlineLevel="0" collapsed="false">
      <c r="A441" s="6" t="s">
        <v>443</v>
      </c>
      <c r="B441" s="1" t="n">
        <v>1</v>
      </c>
      <c r="C441" s="6" t="n">
        <f aca="false">B441/9435*100</f>
        <v>0.0105988341282459</v>
      </c>
      <c r="D441" s="2" t="n">
        <f aca="false">D440+C441</f>
        <v>94.8810631163414</v>
      </c>
    </row>
    <row r="442" customFormat="false" ht="12.8" hidden="false" customHeight="false" outlineLevel="0" collapsed="false">
      <c r="A442" s="6" t="s">
        <v>444</v>
      </c>
      <c r="B442" s="1" t="n">
        <v>1</v>
      </c>
      <c r="C442" s="6" t="n">
        <f aca="false">B442/9435*100</f>
        <v>0.0105988341282459</v>
      </c>
      <c r="D442" s="2" t="n">
        <f aca="false">D441+C442</f>
        <v>94.8916619504696</v>
      </c>
    </row>
    <row r="443" customFormat="false" ht="12.8" hidden="false" customHeight="false" outlineLevel="0" collapsed="false">
      <c r="A443" s="6" t="s">
        <v>445</v>
      </c>
      <c r="B443" s="1" t="n">
        <v>1</v>
      </c>
      <c r="C443" s="6" t="n">
        <f aca="false">B443/9435*100</f>
        <v>0.0105988341282459</v>
      </c>
      <c r="D443" s="2" t="n">
        <f aca="false">D442+C443</f>
        <v>94.9022607845979</v>
      </c>
    </row>
    <row r="444" customFormat="false" ht="12.8" hidden="false" customHeight="false" outlineLevel="0" collapsed="false">
      <c r="A444" s="6" t="s">
        <v>446</v>
      </c>
      <c r="B444" s="1" t="n">
        <v>1</v>
      </c>
      <c r="C444" s="6" t="n">
        <f aca="false">B444/9435*100</f>
        <v>0.0105988341282459</v>
      </c>
      <c r="D444" s="2" t="n">
        <f aca="false">D443+C444</f>
        <v>94.9128596187261</v>
      </c>
    </row>
    <row r="445" customFormat="false" ht="12.8" hidden="false" customHeight="false" outlineLevel="0" collapsed="false">
      <c r="A445" s="6" t="s">
        <v>447</v>
      </c>
      <c r="B445" s="1" t="n">
        <v>1</v>
      </c>
      <c r="C445" s="6" t="n">
        <f aca="false">B445/9435*100</f>
        <v>0.0105988341282459</v>
      </c>
      <c r="D445" s="2" t="n">
        <f aca="false">D444+C445</f>
        <v>94.9234584528544</v>
      </c>
    </row>
    <row r="446" customFormat="false" ht="12.8" hidden="false" customHeight="false" outlineLevel="0" collapsed="false">
      <c r="A446" s="6" t="s">
        <v>448</v>
      </c>
      <c r="B446" s="1" t="n">
        <v>1</v>
      </c>
      <c r="C446" s="6" t="n">
        <f aca="false">B446/9435*100</f>
        <v>0.0105988341282459</v>
      </c>
      <c r="D446" s="2" t="n">
        <f aca="false">D445+C446</f>
        <v>94.9340572869826</v>
      </c>
    </row>
    <row r="447" customFormat="false" ht="12.8" hidden="false" customHeight="false" outlineLevel="0" collapsed="false">
      <c r="A447" s="6" t="s">
        <v>449</v>
      </c>
      <c r="B447" s="1" t="n">
        <v>1</v>
      </c>
      <c r="C447" s="6" t="n">
        <f aca="false">B447/9435*100</f>
        <v>0.0105988341282459</v>
      </c>
      <c r="D447" s="2" t="n">
        <f aca="false">D446+C447</f>
        <v>94.9446561211108</v>
      </c>
    </row>
    <row r="448" customFormat="false" ht="12.8" hidden="false" customHeight="false" outlineLevel="0" collapsed="false">
      <c r="A448" s="6" t="s">
        <v>450</v>
      </c>
      <c r="B448" s="1" t="n">
        <v>1</v>
      </c>
      <c r="C448" s="6" t="n">
        <f aca="false">B448/9435*100</f>
        <v>0.0105988341282459</v>
      </c>
      <c r="D448" s="2" t="n">
        <f aca="false">D447+C448</f>
        <v>94.9552549552391</v>
      </c>
    </row>
    <row r="449" customFormat="false" ht="12.8" hidden="false" customHeight="false" outlineLevel="0" collapsed="false">
      <c r="A449" s="6" t="s">
        <v>451</v>
      </c>
      <c r="B449" s="1" t="n">
        <v>1</v>
      </c>
      <c r="C449" s="6" t="n">
        <f aca="false">B449/9435*100</f>
        <v>0.0105988341282459</v>
      </c>
      <c r="D449" s="2" t="n">
        <f aca="false">D448+C449</f>
        <v>94.9658537893673</v>
      </c>
    </row>
    <row r="450" customFormat="false" ht="12.8" hidden="false" customHeight="false" outlineLevel="0" collapsed="false">
      <c r="A450" s="6" t="s">
        <v>452</v>
      </c>
      <c r="B450" s="1" t="n">
        <v>1</v>
      </c>
      <c r="C450" s="6" t="n">
        <f aca="false">B450/9435*100</f>
        <v>0.0105988341282459</v>
      </c>
      <c r="D450" s="2" t="n">
        <f aca="false">D449+C450</f>
        <v>94.9764526234956</v>
      </c>
    </row>
    <row r="451" customFormat="false" ht="12.8" hidden="false" customHeight="false" outlineLevel="0" collapsed="false">
      <c r="A451" s="6" t="s">
        <v>453</v>
      </c>
      <c r="B451" s="1" t="n">
        <v>1</v>
      </c>
      <c r="C451" s="6" t="n">
        <f aca="false">B451/9435*100</f>
        <v>0.0105988341282459</v>
      </c>
      <c r="D451" s="2" t="n">
        <f aca="false">D450+C451</f>
        <v>94.9870514576238</v>
      </c>
    </row>
    <row r="452" customFormat="false" ht="12.8" hidden="false" customHeight="false" outlineLevel="0" collapsed="false">
      <c r="A452" s="6" t="s">
        <v>454</v>
      </c>
      <c r="B452" s="1" t="n">
        <v>1</v>
      </c>
      <c r="C452" s="6" t="n">
        <f aca="false">B452/9435*100</f>
        <v>0.0105988341282459</v>
      </c>
      <c r="D452" s="2" t="n">
        <f aca="false">D451+C452</f>
        <v>94.9976502917521</v>
      </c>
    </row>
    <row r="453" customFormat="false" ht="12.8" hidden="false" customHeight="false" outlineLevel="0" collapsed="false">
      <c r="A453" s="6" t="s">
        <v>455</v>
      </c>
      <c r="B453" s="1" t="n">
        <v>1</v>
      </c>
      <c r="C453" s="6" t="n">
        <f aca="false">B453/9435*100</f>
        <v>0.0105988341282459</v>
      </c>
      <c r="D453" s="2" t="n">
        <f aca="false">D452+C453</f>
        <v>95.0082491258803</v>
      </c>
    </row>
    <row r="454" customFormat="false" ht="14.4" hidden="false" customHeight="false" outlineLevel="0" collapsed="false">
      <c r="A454" s="6" t="s">
        <v>456</v>
      </c>
      <c r="B454" s="1" t="n">
        <v>1</v>
      </c>
      <c r="C454" s="6" t="n">
        <f aca="false">B454/9435*100</f>
        <v>0.0105988341282459</v>
      </c>
      <c r="D454" s="2" t="n">
        <f aca="false">D453+C454</f>
        <v>95.0188479600086</v>
      </c>
    </row>
    <row r="455" customFormat="false" ht="12.8" hidden="false" customHeight="false" outlineLevel="0" collapsed="false">
      <c r="A455" s="6" t="s">
        <v>457</v>
      </c>
      <c r="B455" s="1" t="n">
        <v>1</v>
      </c>
      <c r="C455" s="6" t="n">
        <f aca="false">B455/9435*100</f>
        <v>0.0105988341282459</v>
      </c>
      <c r="D455" s="2" t="n">
        <f aca="false">D454+C455</f>
        <v>95.0294467941368</v>
      </c>
    </row>
    <row r="456" customFormat="false" ht="12.8" hidden="false" customHeight="false" outlineLevel="0" collapsed="false">
      <c r="A456" s="6" t="s">
        <v>458</v>
      </c>
      <c r="B456" s="1" t="n">
        <v>1</v>
      </c>
      <c r="C456" s="6" t="n">
        <f aca="false">B456/9435*100</f>
        <v>0.0105988341282459</v>
      </c>
      <c r="D456" s="2" t="n">
        <f aca="false">D455+C456</f>
        <v>95.0400456282651</v>
      </c>
    </row>
    <row r="457" customFormat="false" ht="12.8" hidden="false" customHeight="false" outlineLevel="0" collapsed="false">
      <c r="A457" s="6" t="s">
        <v>459</v>
      </c>
      <c r="B457" s="1" t="n">
        <v>1</v>
      </c>
      <c r="C457" s="6" t="n">
        <f aca="false">B457/9435*100</f>
        <v>0.0105988341282459</v>
      </c>
      <c r="D457" s="2" t="n">
        <f aca="false">D456+C457</f>
        <v>95.0506444623933</v>
      </c>
    </row>
    <row r="458" customFormat="false" ht="12.8" hidden="false" customHeight="false" outlineLevel="0" collapsed="false">
      <c r="A458" s="6" t="s">
        <v>460</v>
      </c>
      <c r="B458" s="1" t="n">
        <v>1</v>
      </c>
      <c r="C458" s="6" t="n">
        <f aca="false">B458/9435*100</f>
        <v>0.0105988341282459</v>
      </c>
      <c r="D458" s="2" t="n">
        <f aca="false">D457+C458</f>
        <v>95.0612432965215</v>
      </c>
    </row>
    <row r="459" customFormat="false" ht="12.8" hidden="false" customHeight="false" outlineLevel="0" collapsed="false">
      <c r="A459" s="6" t="s">
        <v>461</v>
      </c>
      <c r="B459" s="1" t="n">
        <v>1</v>
      </c>
      <c r="C459" s="6" t="n">
        <f aca="false">B459/9435*100</f>
        <v>0.0105988341282459</v>
      </c>
      <c r="D459" s="2" t="n">
        <f aca="false">D458+C459</f>
        <v>95.0718421306498</v>
      </c>
    </row>
    <row r="460" customFormat="false" ht="12.8" hidden="false" customHeight="false" outlineLevel="0" collapsed="false">
      <c r="A460" s="6" t="s">
        <v>462</v>
      </c>
      <c r="B460" s="1" t="n">
        <v>1</v>
      </c>
      <c r="C460" s="6" t="n">
        <f aca="false">B460/9435*100</f>
        <v>0.0105988341282459</v>
      </c>
      <c r="D460" s="2" t="n">
        <f aca="false">D459+C460</f>
        <v>95.082440964778</v>
      </c>
    </row>
    <row r="461" customFormat="false" ht="12.8" hidden="false" customHeight="false" outlineLevel="0" collapsed="false">
      <c r="A461" s="6" t="s">
        <v>463</v>
      </c>
      <c r="B461" s="1" t="n">
        <v>1</v>
      </c>
      <c r="C461" s="6" t="n">
        <f aca="false">B461/9435*100</f>
        <v>0.0105988341282459</v>
      </c>
      <c r="D461" s="2" t="n">
        <f aca="false">D460+C461</f>
        <v>95.0930397989063</v>
      </c>
    </row>
    <row r="462" customFormat="false" ht="12.8" hidden="false" customHeight="false" outlineLevel="0" collapsed="false">
      <c r="A462" s="6" t="s">
        <v>464</v>
      </c>
      <c r="B462" s="1" t="n">
        <v>1</v>
      </c>
      <c r="C462" s="6" t="n">
        <f aca="false">B462/9435*100</f>
        <v>0.0105988341282459</v>
      </c>
      <c r="D462" s="2" t="n">
        <f aca="false">D461+C462</f>
        <v>95.1036386330345</v>
      </c>
    </row>
    <row r="463" customFormat="false" ht="12.8" hidden="false" customHeight="false" outlineLevel="0" collapsed="false">
      <c r="A463" s="6" t="s">
        <v>465</v>
      </c>
      <c r="B463" s="1" t="n">
        <v>1</v>
      </c>
      <c r="C463" s="6" t="n">
        <f aca="false">B463/9435*100</f>
        <v>0.0105988341282459</v>
      </c>
      <c r="D463" s="2" t="n">
        <f aca="false">D462+C463</f>
        <v>95.1142374671628</v>
      </c>
    </row>
    <row r="464" customFormat="false" ht="12.8" hidden="false" customHeight="false" outlineLevel="0" collapsed="false">
      <c r="A464" s="6" t="s">
        <v>466</v>
      </c>
      <c r="B464" s="1" t="n">
        <v>1</v>
      </c>
      <c r="C464" s="6" t="n">
        <f aca="false">B464/9435*100</f>
        <v>0.0105988341282459</v>
      </c>
      <c r="D464" s="2" t="n">
        <f aca="false">D463+C464</f>
        <v>95.124836301291</v>
      </c>
    </row>
    <row r="465" customFormat="false" ht="12.8" hidden="false" customHeight="false" outlineLevel="0" collapsed="false">
      <c r="A465" s="6" t="s">
        <v>467</v>
      </c>
      <c r="B465" s="1" t="n">
        <v>1</v>
      </c>
      <c r="C465" s="6" t="n">
        <f aca="false">B465/9435*100</f>
        <v>0.0105988341282459</v>
      </c>
      <c r="D465" s="2" t="n">
        <f aca="false">D464+C465</f>
        <v>95.1354351354193</v>
      </c>
    </row>
    <row r="466" customFormat="false" ht="12.8" hidden="false" customHeight="false" outlineLevel="0" collapsed="false">
      <c r="A466" s="6" t="s">
        <v>468</v>
      </c>
      <c r="B466" s="1" t="n">
        <v>1</v>
      </c>
      <c r="C466" s="6" t="n">
        <f aca="false">B466/9435*100</f>
        <v>0.0105988341282459</v>
      </c>
      <c r="D466" s="2" t="n">
        <f aca="false">D465+C466</f>
        <v>95.1460339695475</v>
      </c>
    </row>
    <row r="467" customFormat="false" ht="12.8" hidden="false" customHeight="false" outlineLevel="0" collapsed="false">
      <c r="A467" s="6" t="s">
        <v>469</v>
      </c>
      <c r="B467" s="1" t="n">
        <v>1</v>
      </c>
      <c r="C467" s="6" t="n">
        <f aca="false">B467/9435*100</f>
        <v>0.0105988341282459</v>
      </c>
      <c r="D467" s="2" t="n">
        <f aca="false">D466+C467</f>
        <v>95.1566328036757</v>
      </c>
    </row>
    <row r="468" customFormat="false" ht="12.8" hidden="false" customHeight="false" outlineLevel="0" collapsed="false">
      <c r="A468" s="6" t="s">
        <v>470</v>
      </c>
      <c r="B468" s="1" t="n">
        <v>1</v>
      </c>
      <c r="C468" s="6" t="n">
        <f aca="false">B468/9435*100</f>
        <v>0.0105988341282459</v>
      </c>
      <c r="D468" s="2" t="n">
        <f aca="false">D467+C468</f>
        <v>95.167231637804</v>
      </c>
    </row>
    <row r="469" customFormat="false" ht="12.8" hidden="false" customHeight="false" outlineLevel="0" collapsed="false">
      <c r="A469" s="6" t="s">
        <v>471</v>
      </c>
      <c r="B469" s="1" t="n">
        <v>1</v>
      </c>
      <c r="C469" s="6" t="n">
        <f aca="false">B469/9435*100</f>
        <v>0.0105988341282459</v>
      </c>
      <c r="D469" s="2" t="n">
        <f aca="false">D468+C469</f>
        <v>95.1778304719322</v>
      </c>
    </row>
    <row r="470" customFormat="false" ht="12.8" hidden="false" customHeight="false" outlineLevel="0" collapsed="false">
      <c r="A470" s="6" t="s">
        <v>472</v>
      </c>
      <c r="B470" s="1" t="n">
        <v>1</v>
      </c>
      <c r="C470" s="6" t="n">
        <f aca="false">B470/9435*100</f>
        <v>0.0105988341282459</v>
      </c>
      <c r="D470" s="2" t="n">
        <f aca="false">D469+C470</f>
        <v>95.1884293060605</v>
      </c>
    </row>
    <row r="471" customFormat="false" ht="12.8" hidden="false" customHeight="false" outlineLevel="0" collapsed="false">
      <c r="A471" s="6" t="s">
        <v>473</v>
      </c>
      <c r="B471" s="1" t="n">
        <v>1</v>
      </c>
      <c r="C471" s="6" t="n">
        <f aca="false">B471/9435*100</f>
        <v>0.0105988341282459</v>
      </c>
      <c r="D471" s="2" t="n">
        <f aca="false">D470+C471</f>
        <v>95.1990281401887</v>
      </c>
    </row>
    <row r="472" customFormat="false" ht="12.8" hidden="false" customHeight="false" outlineLevel="0" collapsed="false">
      <c r="A472" s="6" t="s">
        <v>474</v>
      </c>
      <c r="B472" s="1" t="n">
        <v>1</v>
      </c>
      <c r="C472" s="6" t="n">
        <f aca="false">B472/9435*100</f>
        <v>0.0105988341282459</v>
      </c>
      <c r="D472" s="2" t="n">
        <f aca="false">D471+C472</f>
        <v>95.209626974317</v>
      </c>
    </row>
    <row r="473" customFormat="false" ht="12.8" hidden="false" customHeight="false" outlineLevel="0" collapsed="false">
      <c r="A473" s="6" t="s">
        <v>475</v>
      </c>
      <c r="B473" s="1" t="n">
        <v>1</v>
      </c>
      <c r="C473" s="6" t="n">
        <f aca="false">B473/9435*100</f>
        <v>0.0105988341282459</v>
      </c>
      <c r="D473" s="2" t="n">
        <f aca="false">D472+C473</f>
        <v>95.2202258084452</v>
      </c>
    </row>
    <row r="474" customFormat="false" ht="12.8" hidden="false" customHeight="false" outlineLevel="0" collapsed="false">
      <c r="A474" s="6" t="s">
        <v>476</v>
      </c>
      <c r="B474" s="1" t="n">
        <v>1</v>
      </c>
      <c r="C474" s="6" t="n">
        <f aca="false">B474/9435*100</f>
        <v>0.0105988341282459</v>
      </c>
      <c r="D474" s="2" t="n">
        <f aca="false">D473+C474</f>
        <v>95.2308246425735</v>
      </c>
    </row>
    <row r="475" customFormat="false" ht="12.8" hidden="false" customHeight="false" outlineLevel="0" collapsed="false">
      <c r="A475" s="6" t="s">
        <v>477</v>
      </c>
      <c r="B475" s="1" t="n">
        <v>1</v>
      </c>
      <c r="C475" s="6" t="n">
        <f aca="false">B475/9435*100</f>
        <v>0.0105988341282459</v>
      </c>
      <c r="D475" s="2" t="n">
        <f aca="false">D474+C475</f>
        <v>95.2414234767017</v>
      </c>
    </row>
    <row r="476" customFormat="false" ht="12.8" hidden="false" customHeight="false" outlineLevel="0" collapsed="false">
      <c r="A476" s="6" t="s">
        <v>478</v>
      </c>
      <c r="B476" s="1" t="n">
        <v>1</v>
      </c>
      <c r="C476" s="6" t="n">
        <f aca="false">B476/9435*100</f>
        <v>0.0105988341282459</v>
      </c>
      <c r="D476" s="2" t="n">
        <f aca="false">D475+C476</f>
        <v>95.25202231083</v>
      </c>
    </row>
    <row r="477" customFormat="false" ht="12.8" hidden="false" customHeight="false" outlineLevel="0" collapsed="false">
      <c r="A477" s="6" t="s">
        <v>479</v>
      </c>
      <c r="B477" s="1" t="n">
        <v>1</v>
      </c>
      <c r="C477" s="6" t="n">
        <f aca="false">B477/9435*100</f>
        <v>0.0105988341282459</v>
      </c>
      <c r="D477" s="2" t="n">
        <f aca="false">D476+C477</f>
        <v>95.2626211449582</v>
      </c>
    </row>
    <row r="478" customFormat="false" ht="12.8" hidden="false" customHeight="false" outlineLevel="0" collapsed="false">
      <c r="A478" s="6" t="s">
        <v>480</v>
      </c>
      <c r="B478" s="1" t="n">
        <v>1</v>
      </c>
      <c r="C478" s="6" t="n">
        <f aca="false">B478/9435*100</f>
        <v>0.0105988341282459</v>
      </c>
      <c r="D478" s="2" t="n">
        <f aca="false">D477+C478</f>
        <v>95.2732199790865</v>
      </c>
    </row>
    <row r="479" customFormat="false" ht="12.8" hidden="false" customHeight="false" outlineLevel="0" collapsed="false">
      <c r="A479" s="6" t="s">
        <v>481</v>
      </c>
      <c r="B479" s="1" t="n">
        <v>1</v>
      </c>
      <c r="C479" s="6" t="n">
        <f aca="false">B479/9435*100</f>
        <v>0.0105988341282459</v>
      </c>
      <c r="D479" s="2" t="n">
        <f aca="false">D478+C479</f>
        <v>95.2838188132147</v>
      </c>
    </row>
    <row r="480" customFormat="false" ht="12.8" hidden="false" customHeight="false" outlineLevel="0" collapsed="false">
      <c r="A480" s="6" t="s">
        <v>482</v>
      </c>
      <c r="B480" s="1" t="n">
        <v>1</v>
      </c>
      <c r="C480" s="6" t="n">
        <f aca="false">B480/9435*100</f>
        <v>0.0105988341282459</v>
      </c>
      <c r="D480" s="2" t="n">
        <f aca="false">D479+C480</f>
        <v>95.2944176473429</v>
      </c>
    </row>
    <row r="481" customFormat="false" ht="12.8" hidden="false" customHeight="false" outlineLevel="0" collapsed="false">
      <c r="A481" s="6" t="s">
        <v>483</v>
      </c>
      <c r="B481" s="1" t="n">
        <v>1</v>
      </c>
      <c r="C481" s="6" t="n">
        <f aca="false">B481/9435*100</f>
        <v>0.0105988341282459</v>
      </c>
      <c r="D481" s="2" t="n">
        <f aca="false">D480+C481</f>
        <v>95.3050164814712</v>
      </c>
    </row>
    <row r="482" customFormat="false" ht="12.8" hidden="false" customHeight="false" outlineLevel="0" collapsed="false">
      <c r="A482" s="6" t="s">
        <v>484</v>
      </c>
      <c r="B482" s="1" t="n">
        <v>1</v>
      </c>
      <c r="C482" s="6" t="n">
        <f aca="false">B482/9435*100</f>
        <v>0.0105988341282459</v>
      </c>
      <c r="D482" s="2" t="n">
        <f aca="false">D481+C482</f>
        <v>95.3156153155994</v>
      </c>
    </row>
    <row r="483" customFormat="false" ht="12.8" hidden="false" customHeight="false" outlineLevel="0" collapsed="false">
      <c r="A483" s="6" t="s">
        <v>485</v>
      </c>
      <c r="B483" s="1" t="n">
        <v>1</v>
      </c>
      <c r="C483" s="6" t="n">
        <f aca="false">B483/9435*100</f>
        <v>0.0105988341282459</v>
      </c>
      <c r="D483" s="2" t="n">
        <f aca="false">D482+C483</f>
        <v>95.3262141497277</v>
      </c>
    </row>
    <row r="484" customFormat="false" ht="12.8" hidden="false" customHeight="false" outlineLevel="0" collapsed="false">
      <c r="A484" s="6" t="s">
        <v>486</v>
      </c>
      <c r="B484" s="1" t="n">
        <v>1</v>
      </c>
      <c r="C484" s="6" t="n">
        <f aca="false">B484/9435*100</f>
        <v>0.0105988341282459</v>
      </c>
      <c r="D484" s="2" t="n">
        <f aca="false">D483+C484</f>
        <v>95.3368129838559</v>
      </c>
    </row>
    <row r="485" customFormat="false" ht="12.8" hidden="false" customHeight="false" outlineLevel="0" collapsed="false">
      <c r="A485" s="6" t="s">
        <v>487</v>
      </c>
      <c r="B485" s="1" t="n">
        <v>1</v>
      </c>
      <c r="C485" s="6" t="n">
        <f aca="false">B485/9435*100</f>
        <v>0.0105988341282459</v>
      </c>
      <c r="D485" s="2" t="n">
        <f aca="false">D484+C485</f>
        <v>95.3474118179842</v>
      </c>
    </row>
    <row r="486" customFormat="false" ht="12.8" hidden="false" customHeight="false" outlineLevel="0" collapsed="false">
      <c r="A486" s="6" t="s">
        <v>488</v>
      </c>
      <c r="B486" s="1" t="n">
        <v>1</v>
      </c>
      <c r="C486" s="6" t="n">
        <f aca="false">B486/9435*100</f>
        <v>0.0105988341282459</v>
      </c>
      <c r="D486" s="2" t="n">
        <f aca="false">D485+C486</f>
        <v>95.3580106521124</v>
      </c>
    </row>
    <row r="487" customFormat="false" ht="12.8" hidden="false" customHeight="false" outlineLevel="0" collapsed="false">
      <c r="A487" s="6" t="s">
        <v>489</v>
      </c>
      <c r="B487" s="1" t="n">
        <v>1</v>
      </c>
      <c r="C487" s="6" t="n">
        <f aca="false">B487/9435*100</f>
        <v>0.0105988341282459</v>
      </c>
      <c r="D487" s="2" t="n">
        <f aca="false">D486+C487</f>
        <v>95.3686094862407</v>
      </c>
    </row>
    <row r="488" customFormat="false" ht="12.8" hidden="false" customHeight="false" outlineLevel="0" collapsed="false">
      <c r="A488" s="6" t="s">
        <v>490</v>
      </c>
      <c r="B488" s="1" t="n">
        <v>1</v>
      </c>
      <c r="C488" s="6" t="n">
        <f aca="false">B488/9435*100</f>
        <v>0.0105988341282459</v>
      </c>
      <c r="D488" s="2" t="n">
        <f aca="false">D487+C488</f>
        <v>95.3792083203689</v>
      </c>
    </row>
    <row r="489" customFormat="false" ht="12.8" hidden="false" customHeight="false" outlineLevel="0" collapsed="false">
      <c r="A489" s="6" t="s">
        <v>491</v>
      </c>
      <c r="B489" s="1" t="n">
        <v>1</v>
      </c>
      <c r="C489" s="6" t="n">
        <f aca="false">B489/9435*100</f>
        <v>0.0105988341282459</v>
      </c>
      <c r="D489" s="2" t="n">
        <f aca="false">D488+C489</f>
        <v>95.3898071544971</v>
      </c>
    </row>
    <row r="490" customFormat="false" ht="12.8" hidden="false" customHeight="false" outlineLevel="0" collapsed="false">
      <c r="A490" s="6" t="s">
        <v>492</v>
      </c>
      <c r="B490" s="1" t="n">
        <v>1</v>
      </c>
      <c r="C490" s="6" t="n">
        <f aca="false">B490/9435*100</f>
        <v>0.0105988341282459</v>
      </c>
      <c r="D490" s="2" t="n">
        <f aca="false">D489+C490</f>
        <v>95.4004059886254</v>
      </c>
    </row>
    <row r="491" customFormat="false" ht="12.8" hidden="false" customHeight="false" outlineLevel="0" collapsed="false">
      <c r="A491" s="6" t="s">
        <v>493</v>
      </c>
      <c r="B491" s="1" t="n">
        <v>1</v>
      </c>
      <c r="C491" s="6" t="n">
        <f aca="false">B491/9435*100</f>
        <v>0.0105988341282459</v>
      </c>
      <c r="D491" s="2" t="n">
        <f aca="false">D490+C491</f>
        <v>95.4110048227536</v>
      </c>
    </row>
    <row r="492" customFormat="false" ht="12.8" hidden="false" customHeight="false" outlineLevel="0" collapsed="false">
      <c r="A492" s="6" t="s">
        <v>494</v>
      </c>
      <c r="B492" s="1" t="n">
        <v>1</v>
      </c>
      <c r="C492" s="6" t="n">
        <f aca="false">B492/9435*100</f>
        <v>0.0105988341282459</v>
      </c>
      <c r="D492" s="2" t="n">
        <f aca="false">D491+C492</f>
        <v>95.4216036568819</v>
      </c>
    </row>
    <row r="493" customFormat="false" ht="12.8" hidden="false" customHeight="false" outlineLevel="0" collapsed="false">
      <c r="A493" s="6" t="s">
        <v>495</v>
      </c>
      <c r="B493" s="1" t="n">
        <v>1</v>
      </c>
      <c r="C493" s="6" t="n">
        <f aca="false">B493/9435*100</f>
        <v>0.0105988341282459</v>
      </c>
      <c r="D493" s="2" t="n">
        <f aca="false">D492+C493</f>
        <v>95.4322024910101</v>
      </c>
    </row>
    <row r="494" customFormat="false" ht="12.8" hidden="false" customHeight="false" outlineLevel="0" collapsed="false">
      <c r="A494" s="6" t="s">
        <v>496</v>
      </c>
      <c r="B494" s="1" t="n">
        <v>1</v>
      </c>
      <c r="C494" s="6" t="n">
        <f aca="false">B494/9435*100</f>
        <v>0.0105988341282459</v>
      </c>
      <c r="D494" s="2" t="n">
        <f aca="false">D493+C494</f>
        <v>95.4428013251384</v>
      </c>
    </row>
    <row r="495" customFormat="false" ht="12.8" hidden="false" customHeight="false" outlineLevel="0" collapsed="false">
      <c r="A495" s="6" t="s">
        <v>497</v>
      </c>
      <c r="B495" s="1" t="n">
        <v>1</v>
      </c>
      <c r="C495" s="6" t="n">
        <f aca="false">B495/9435*100</f>
        <v>0.0105988341282459</v>
      </c>
      <c r="D495" s="2" t="n">
        <f aca="false">D494+C495</f>
        <v>95.4534001592666</v>
      </c>
    </row>
    <row r="496" customFormat="false" ht="12.8" hidden="false" customHeight="false" outlineLevel="0" collapsed="false">
      <c r="A496" s="6" t="s">
        <v>498</v>
      </c>
      <c r="B496" s="1" t="n">
        <v>1</v>
      </c>
      <c r="C496" s="6" t="n">
        <f aca="false">B496/9435*100</f>
        <v>0.0105988341282459</v>
      </c>
      <c r="D496" s="2" t="n">
        <f aca="false">D495+C496</f>
        <v>95.4639989933949</v>
      </c>
    </row>
    <row r="497" customFormat="false" ht="12.8" hidden="false" customHeight="false" outlineLevel="0" collapsed="false">
      <c r="A497" s="6" t="s">
        <v>499</v>
      </c>
      <c r="B497" s="1" t="n">
        <v>1</v>
      </c>
      <c r="C497" s="6" t="n">
        <f aca="false">B497/9435*100</f>
        <v>0.0105988341282459</v>
      </c>
      <c r="D497" s="2" t="n">
        <f aca="false">D496+C497</f>
        <v>95.4745978275231</v>
      </c>
    </row>
    <row r="498" customFormat="false" ht="12.8" hidden="false" customHeight="false" outlineLevel="0" collapsed="false">
      <c r="A498" s="6" t="s">
        <v>500</v>
      </c>
      <c r="B498" s="1" t="n">
        <v>1</v>
      </c>
      <c r="C498" s="6" t="n">
        <f aca="false">B498/9435*100</f>
        <v>0.0105988341282459</v>
      </c>
      <c r="D498" s="2" t="n">
        <f aca="false">D497+C498</f>
        <v>95.4851966616514</v>
      </c>
    </row>
    <row r="499" customFormat="false" ht="12.8" hidden="false" customHeight="false" outlineLevel="0" collapsed="false">
      <c r="A499" s="6" t="s">
        <v>501</v>
      </c>
      <c r="B499" s="1" t="n">
        <v>1</v>
      </c>
      <c r="C499" s="6" t="n">
        <f aca="false">B499/9435*100</f>
        <v>0.0105988341282459</v>
      </c>
      <c r="D499" s="2" t="n">
        <f aca="false">D498+C499</f>
        <v>95.4957954957796</v>
      </c>
    </row>
    <row r="500" customFormat="false" ht="12.8" hidden="false" customHeight="false" outlineLevel="0" collapsed="false">
      <c r="A500" s="6" t="s">
        <v>502</v>
      </c>
      <c r="B500" s="1" t="n">
        <v>1</v>
      </c>
      <c r="C500" s="6" t="n">
        <f aca="false">B500/9435*100</f>
        <v>0.0105988341282459</v>
      </c>
      <c r="D500" s="2" t="n">
        <f aca="false">D499+C500</f>
        <v>95.5063943299079</v>
      </c>
    </row>
    <row r="501" customFormat="false" ht="12.8" hidden="false" customHeight="false" outlineLevel="0" collapsed="false">
      <c r="A501" s="6" t="s">
        <v>503</v>
      </c>
      <c r="B501" s="1" t="n">
        <v>1</v>
      </c>
      <c r="C501" s="6" t="n">
        <f aca="false">B501/9435*100</f>
        <v>0.0105988341282459</v>
      </c>
      <c r="D501" s="2" t="n">
        <f aca="false">D500+C501</f>
        <v>95.5169931640361</v>
      </c>
    </row>
    <row r="502" customFormat="false" ht="12.8" hidden="false" customHeight="false" outlineLevel="0" collapsed="false">
      <c r="A502" s="6" t="s">
        <v>504</v>
      </c>
      <c r="B502" s="1" t="n">
        <v>1</v>
      </c>
      <c r="C502" s="6" t="n">
        <f aca="false">B502/9435*100</f>
        <v>0.0105988341282459</v>
      </c>
      <c r="D502" s="2" t="n">
        <f aca="false">D501+C502</f>
        <v>95.5275919981643</v>
      </c>
    </row>
    <row r="503" customFormat="false" ht="12.8" hidden="false" customHeight="false" outlineLevel="0" collapsed="false">
      <c r="A503" s="6" t="s">
        <v>505</v>
      </c>
      <c r="B503" s="1" t="n">
        <v>1</v>
      </c>
      <c r="C503" s="6" t="n">
        <f aca="false">B503/9435*100</f>
        <v>0.0105988341282459</v>
      </c>
      <c r="D503" s="2" t="n">
        <f aca="false">D502+C503</f>
        <v>95.5381908322926</v>
      </c>
    </row>
    <row r="504" customFormat="false" ht="12.8" hidden="false" customHeight="false" outlineLevel="0" collapsed="false">
      <c r="A504" s="6" t="s">
        <v>506</v>
      </c>
      <c r="B504" s="1" t="n">
        <v>1</v>
      </c>
      <c r="C504" s="6" t="n">
        <f aca="false">B504/9435*100</f>
        <v>0.0105988341282459</v>
      </c>
      <c r="D504" s="2" t="n">
        <f aca="false">D503+C504</f>
        <v>95.5487896664208</v>
      </c>
    </row>
    <row r="505" customFormat="false" ht="12.8" hidden="false" customHeight="false" outlineLevel="0" collapsed="false">
      <c r="A505" s="6" t="s">
        <v>507</v>
      </c>
      <c r="B505" s="1" t="n">
        <v>1</v>
      </c>
      <c r="C505" s="6" t="n">
        <f aca="false">B505/9435*100</f>
        <v>0.0105988341282459</v>
      </c>
      <c r="D505" s="2" t="n">
        <f aca="false">D504+C505</f>
        <v>95.5593885005491</v>
      </c>
    </row>
    <row r="506" customFormat="false" ht="12.8" hidden="false" customHeight="false" outlineLevel="0" collapsed="false">
      <c r="A506" s="6" t="s">
        <v>508</v>
      </c>
      <c r="B506" s="1" t="n">
        <v>1</v>
      </c>
      <c r="C506" s="6" t="n">
        <f aca="false">B506/9435*100</f>
        <v>0.0105988341282459</v>
      </c>
      <c r="D506" s="2" t="n">
        <f aca="false">D505+C506</f>
        <v>95.5699873346773</v>
      </c>
    </row>
    <row r="507" customFormat="false" ht="12.8" hidden="false" customHeight="false" outlineLevel="0" collapsed="false">
      <c r="A507" s="6" t="s">
        <v>509</v>
      </c>
      <c r="B507" s="1" t="n">
        <v>1</v>
      </c>
      <c r="C507" s="6" t="n">
        <f aca="false">B507/9435*100</f>
        <v>0.0105988341282459</v>
      </c>
      <c r="D507" s="2" t="n">
        <f aca="false">D506+C507</f>
        <v>95.5805861688056</v>
      </c>
    </row>
    <row r="508" customFormat="false" ht="12.8" hidden="false" customHeight="false" outlineLevel="0" collapsed="false">
      <c r="A508" s="6" t="s">
        <v>510</v>
      </c>
      <c r="B508" s="1" t="n">
        <v>1</v>
      </c>
      <c r="C508" s="6" t="n">
        <f aca="false">B508/9435*100</f>
        <v>0.0105988341282459</v>
      </c>
      <c r="D508" s="2" t="n">
        <f aca="false">D507+C508</f>
        <v>95.5911850029338</v>
      </c>
    </row>
    <row r="509" customFormat="false" ht="12.8" hidden="false" customHeight="false" outlineLevel="0" collapsed="false">
      <c r="A509" s="6" t="s">
        <v>511</v>
      </c>
      <c r="B509" s="1" t="n">
        <v>1</v>
      </c>
      <c r="C509" s="6" t="n">
        <f aca="false">B509/9435*100</f>
        <v>0.0105988341282459</v>
      </c>
      <c r="D509" s="2" t="n">
        <f aca="false">D508+C509</f>
        <v>95.6017838370621</v>
      </c>
    </row>
    <row r="510" customFormat="false" ht="12.8" hidden="false" customHeight="false" outlineLevel="0" collapsed="false">
      <c r="A510" s="6" t="s">
        <v>512</v>
      </c>
      <c r="B510" s="1" t="n">
        <v>1</v>
      </c>
      <c r="C510" s="6" t="n">
        <f aca="false">B510/9435*100</f>
        <v>0.0105988341282459</v>
      </c>
      <c r="D510" s="2" t="n">
        <f aca="false">D509+C510</f>
        <v>95.6123826711903</v>
      </c>
    </row>
    <row r="511" customFormat="false" ht="12.8" hidden="false" customHeight="false" outlineLevel="0" collapsed="false">
      <c r="A511" s="6" t="s">
        <v>513</v>
      </c>
      <c r="B511" s="1" t="n">
        <v>1</v>
      </c>
      <c r="C511" s="6" t="n">
        <f aca="false">B511/9435*100</f>
        <v>0.0105988341282459</v>
      </c>
      <c r="D511" s="2" t="n">
        <f aca="false">D510+C511</f>
        <v>95.6229815053186</v>
      </c>
    </row>
    <row r="512" customFormat="false" ht="12.8" hidden="false" customHeight="false" outlineLevel="0" collapsed="false">
      <c r="A512" s="6" t="s">
        <v>514</v>
      </c>
      <c r="B512" s="1" t="n">
        <v>1</v>
      </c>
      <c r="C512" s="6" t="n">
        <f aca="false">B512/9435*100</f>
        <v>0.0105988341282459</v>
      </c>
      <c r="D512" s="2" t="n">
        <f aca="false">D511+C512</f>
        <v>95.6335803394468</v>
      </c>
    </row>
    <row r="513" customFormat="false" ht="12.8" hidden="false" customHeight="false" outlineLevel="0" collapsed="false">
      <c r="A513" s="6" t="s">
        <v>515</v>
      </c>
      <c r="B513" s="1" t="n">
        <v>1</v>
      </c>
      <c r="C513" s="6" t="n">
        <f aca="false">B513/9435*100</f>
        <v>0.0105988341282459</v>
      </c>
      <c r="D513" s="2" t="n">
        <f aca="false">D512+C513</f>
        <v>95.644179173575</v>
      </c>
    </row>
    <row r="514" customFormat="false" ht="12.8" hidden="false" customHeight="false" outlineLevel="0" collapsed="false">
      <c r="A514" s="6" t="s">
        <v>516</v>
      </c>
      <c r="B514" s="1" t="n">
        <v>1</v>
      </c>
      <c r="C514" s="6" t="n">
        <f aca="false">B514/9435*100</f>
        <v>0.0105988341282459</v>
      </c>
      <c r="D514" s="2" t="n">
        <f aca="false">D513+C514</f>
        <v>95.6547780077033</v>
      </c>
    </row>
    <row r="515" customFormat="false" ht="12.8" hidden="false" customHeight="false" outlineLevel="0" collapsed="false">
      <c r="A515" s="6" t="s">
        <v>517</v>
      </c>
      <c r="B515" s="1" t="n">
        <v>1</v>
      </c>
      <c r="C515" s="6" t="n">
        <f aca="false">B515/9435*100</f>
        <v>0.0105988341282459</v>
      </c>
      <c r="D515" s="2" t="n">
        <f aca="false">D514+C515</f>
        <v>95.6653768418315</v>
      </c>
    </row>
    <row r="516" customFormat="false" ht="12.8" hidden="false" customHeight="false" outlineLevel="0" collapsed="false">
      <c r="A516" s="6" t="s">
        <v>518</v>
      </c>
      <c r="B516" s="1" t="n">
        <v>1</v>
      </c>
      <c r="C516" s="6" t="n">
        <f aca="false">B516/9435*100</f>
        <v>0.0105988341282459</v>
      </c>
      <c r="D516" s="2" t="n">
        <f aca="false">D515+C516</f>
        <v>95.6759756759598</v>
      </c>
    </row>
    <row r="517" customFormat="false" ht="12.8" hidden="false" customHeight="false" outlineLevel="0" collapsed="false">
      <c r="A517" s="6" t="s">
        <v>519</v>
      </c>
      <c r="B517" s="1" t="n">
        <v>1</v>
      </c>
      <c r="C517" s="6" t="n">
        <f aca="false">B517/9435*100</f>
        <v>0.0105988341282459</v>
      </c>
      <c r="D517" s="2" t="n">
        <f aca="false">D516+C517</f>
        <v>95.686574510088</v>
      </c>
    </row>
    <row r="518" customFormat="false" ht="12.8" hidden="false" customHeight="false" outlineLevel="0" collapsed="false">
      <c r="A518" s="6" t="s">
        <v>520</v>
      </c>
      <c r="B518" s="1" t="n">
        <v>1</v>
      </c>
      <c r="C518" s="6" t="n">
        <f aca="false">B518/9435*100</f>
        <v>0.0105988341282459</v>
      </c>
      <c r="D518" s="2" t="n">
        <f aca="false">D517+C518</f>
        <v>95.6971733442163</v>
      </c>
    </row>
    <row r="519" customFormat="false" ht="12.8" hidden="false" customHeight="false" outlineLevel="0" collapsed="false">
      <c r="A519" s="6" t="s">
        <v>521</v>
      </c>
      <c r="B519" s="1" t="n">
        <v>1</v>
      </c>
      <c r="C519" s="6" t="n">
        <f aca="false">B519/9435*100</f>
        <v>0.0105988341282459</v>
      </c>
      <c r="D519" s="2" t="n">
        <f aca="false">D518+C519</f>
        <v>95.7077721783445</v>
      </c>
    </row>
    <row r="520" customFormat="false" ht="12.8" hidden="false" customHeight="false" outlineLevel="0" collapsed="false">
      <c r="A520" s="6" t="s">
        <v>522</v>
      </c>
      <c r="B520" s="1" t="n">
        <v>1</v>
      </c>
      <c r="C520" s="6" t="n">
        <f aca="false">B520/9435*100</f>
        <v>0.0105988341282459</v>
      </c>
      <c r="D520" s="2" t="n">
        <f aca="false">D519+C520</f>
        <v>95.7183710124728</v>
      </c>
    </row>
    <row r="521" customFormat="false" ht="12.8" hidden="false" customHeight="false" outlineLevel="0" collapsed="false">
      <c r="A521" s="6" t="s">
        <v>523</v>
      </c>
      <c r="B521" s="1" t="n">
        <v>1</v>
      </c>
      <c r="C521" s="6" t="n">
        <f aca="false">B521/9435*100</f>
        <v>0.0105988341282459</v>
      </c>
      <c r="D521" s="2" t="n">
        <f aca="false">D520+C521</f>
        <v>95.728969846601</v>
      </c>
    </row>
    <row r="522" customFormat="false" ht="12.8" hidden="false" customHeight="false" outlineLevel="0" collapsed="false">
      <c r="A522" s="6" t="s">
        <v>524</v>
      </c>
      <c r="B522" s="1" t="n">
        <v>1</v>
      </c>
      <c r="C522" s="6" t="n">
        <f aca="false">B522/9435*100</f>
        <v>0.0105988341282459</v>
      </c>
      <c r="D522" s="2" t="n">
        <f aca="false">D521+C522</f>
        <v>95.7395686807292</v>
      </c>
    </row>
    <row r="523" customFormat="false" ht="12.8" hidden="false" customHeight="false" outlineLevel="0" collapsed="false">
      <c r="A523" s="6" t="s">
        <v>525</v>
      </c>
      <c r="B523" s="1" t="n">
        <v>1</v>
      </c>
      <c r="C523" s="6" t="n">
        <f aca="false">B523/9435*100</f>
        <v>0.0105988341282459</v>
      </c>
      <c r="D523" s="2" t="n">
        <f aca="false">D522+C523</f>
        <v>95.7501675148575</v>
      </c>
    </row>
    <row r="524" customFormat="false" ht="12.8" hidden="false" customHeight="false" outlineLevel="0" collapsed="false">
      <c r="A524" s="6" t="s">
        <v>526</v>
      </c>
      <c r="B524" s="1" t="n">
        <v>1</v>
      </c>
      <c r="C524" s="6" t="n">
        <f aca="false">B524/9435*100</f>
        <v>0.0105988341282459</v>
      </c>
      <c r="D524" s="2" t="n">
        <f aca="false">D523+C524</f>
        <v>95.7607663489857</v>
      </c>
    </row>
    <row r="525" customFormat="false" ht="12.8" hidden="false" customHeight="false" outlineLevel="0" collapsed="false">
      <c r="A525" s="6" t="s">
        <v>527</v>
      </c>
      <c r="B525" s="1" t="n">
        <v>1</v>
      </c>
      <c r="C525" s="6" t="n">
        <f aca="false">B525/9435*100</f>
        <v>0.0105988341282459</v>
      </c>
      <c r="D525" s="2" t="n">
        <f aca="false">D524+C525</f>
        <v>95.771365183114</v>
      </c>
    </row>
    <row r="526" customFormat="false" ht="12.8" hidden="false" customHeight="false" outlineLevel="0" collapsed="false">
      <c r="A526" s="6" t="s">
        <v>528</v>
      </c>
      <c r="B526" s="1" t="n">
        <v>1</v>
      </c>
      <c r="C526" s="6" t="n">
        <f aca="false">B526/9435*100</f>
        <v>0.0105988341282459</v>
      </c>
      <c r="D526" s="2" t="n">
        <f aca="false">D525+C526</f>
        <v>95.7819640172422</v>
      </c>
    </row>
    <row r="527" customFormat="false" ht="12.8" hidden="false" customHeight="false" outlineLevel="0" collapsed="false">
      <c r="A527" s="6" t="s">
        <v>529</v>
      </c>
      <c r="B527" s="1" t="n">
        <v>1</v>
      </c>
      <c r="C527" s="6" t="n">
        <f aca="false">B527/9435*100</f>
        <v>0.0105988341282459</v>
      </c>
      <c r="D527" s="2" t="n">
        <f aca="false">D526+C527</f>
        <v>95.7925628513705</v>
      </c>
    </row>
    <row r="528" customFormat="false" ht="12.8" hidden="false" customHeight="false" outlineLevel="0" collapsed="false">
      <c r="A528" s="6" t="s">
        <v>530</v>
      </c>
      <c r="B528" s="1" t="n">
        <v>1</v>
      </c>
      <c r="C528" s="6" t="n">
        <f aca="false">B528/9435*100</f>
        <v>0.0105988341282459</v>
      </c>
      <c r="D528" s="2" t="n">
        <f aca="false">D527+C528</f>
        <v>95.8031616854987</v>
      </c>
    </row>
    <row r="529" customFormat="false" ht="12.8" hidden="false" customHeight="false" outlineLevel="0" collapsed="false">
      <c r="A529" s="6" t="s">
        <v>531</v>
      </c>
      <c r="B529" s="1" t="n">
        <v>1</v>
      </c>
      <c r="C529" s="6" t="n">
        <f aca="false">B529/9435*100</f>
        <v>0.0105988341282459</v>
      </c>
      <c r="D529" s="2" t="n">
        <f aca="false">D528+C529</f>
        <v>95.813760519627</v>
      </c>
    </row>
    <row r="530" customFormat="false" ht="12.8" hidden="false" customHeight="false" outlineLevel="0" collapsed="false">
      <c r="A530" s="6" t="s">
        <v>532</v>
      </c>
      <c r="B530" s="1" t="n">
        <v>1</v>
      </c>
      <c r="C530" s="6" t="n">
        <f aca="false">B530/9435*100</f>
        <v>0.0105988341282459</v>
      </c>
      <c r="D530" s="2" t="n">
        <f aca="false">D529+C530</f>
        <v>95.8243593537552</v>
      </c>
    </row>
    <row r="531" customFormat="false" ht="12.8" hidden="false" customHeight="false" outlineLevel="0" collapsed="false">
      <c r="A531" s="6" t="s">
        <v>533</v>
      </c>
      <c r="B531" s="1" t="n">
        <v>1</v>
      </c>
      <c r="C531" s="6" t="n">
        <f aca="false">B531/9435*100</f>
        <v>0.0105988341282459</v>
      </c>
      <c r="D531" s="2" t="n">
        <f aca="false">D530+C531</f>
        <v>95.8349581878835</v>
      </c>
    </row>
    <row r="532" customFormat="false" ht="12.8" hidden="false" customHeight="false" outlineLevel="0" collapsed="false">
      <c r="A532" s="6" t="s">
        <v>534</v>
      </c>
      <c r="B532" s="1" t="n">
        <v>1</v>
      </c>
      <c r="C532" s="6" t="n">
        <f aca="false">B532/9435*100</f>
        <v>0.0105988341282459</v>
      </c>
      <c r="D532" s="2" t="n">
        <f aca="false">D531+C532</f>
        <v>95.8455570220117</v>
      </c>
    </row>
    <row r="533" customFormat="false" ht="12.8" hidden="false" customHeight="false" outlineLevel="0" collapsed="false">
      <c r="A533" s="6" t="s">
        <v>535</v>
      </c>
      <c r="B533" s="1" t="n">
        <v>1</v>
      </c>
      <c r="C533" s="6" t="n">
        <f aca="false">B533/9435*100</f>
        <v>0.0105988341282459</v>
      </c>
      <c r="D533" s="2" t="n">
        <f aca="false">D532+C533</f>
        <v>95.85615585614</v>
      </c>
    </row>
    <row r="534" customFormat="false" ht="12.8" hidden="false" customHeight="false" outlineLevel="0" collapsed="false">
      <c r="A534" s="6" t="s">
        <v>536</v>
      </c>
      <c r="B534" s="1" t="n">
        <v>1</v>
      </c>
      <c r="C534" s="6" t="n">
        <f aca="false">B534/9435*100</f>
        <v>0.0105988341282459</v>
      </c>
      <c r="D534" s="2" t="n">
        <f aca="false">D533+C534</f>
        <v>95.8667546902682</v>
      </c>
    </row>
    <row r="535" customFormat="false" ht="12.8" hidden="false" customHeight="false" outlineLevel="0" collapsed="false">
      <c r="A535" s="6" t="s">
        <v>537</v>
      </c>
      <c r="B535" s="1" t="n">
        <v>1</v>
      </c>
      <c r="C535" s="6" t="n">
        <f aca="false">B535/9435*100</f>
        <v>0.0105988341282459</v>
      </c>
      <c r="D535" s="2" t="n">
        <f aca="false">D534+C535</f>
        <v>95.8773535243964</v>
      </c>
    </row>
    <row r="536" customFormat="false" ht="12.8" hidden="false" customHeight="false" outlineLevel="0" collapsed="false">
      <c r="A536" s="6" t="s">
        <v>538</v>
      </c>
      <c r="B536" s="1" t="n">
        <v>1</v>
      </c>
      <c r="C536" s="6" t="n">
        <f aca="false">B536/9435*100</f>
        <v>0.0105988341282459</v>
      </c>
      <c r="D536" s="2" t="n">
        <f aca="false">D535+C536</f>
        <v>95.8879523585247</v>
      </c>
    </row>
    <row r="537" customFormat="false" ht="12.8" hidden="false" customHeight="false" outlineLevel="0" collapsed="false">
      <c r="A537" s="6" t="s">
        <v>539</v>
      </c>
      <c r="B537" s="1" t="n">
        <v>1</v>
      </c>
      <c r="C537" s="6" t="n">
        <f aca="false">B537/9435*100</f>
        <v>0.0105988341282459</v>
      </c>
      <c r="D537" s="2" t="n">
        <f aca="false">D536+C537</f>
        <v>95.8985511926529</v>
      </c>
    </row>
    <row r="538" customFormat="false" ht="12.8" hidden="false" customHeight="false" outlineLevel="0" collapsed="false">
      <c r="A538" s="6" t="s">
        <v>540</v>
      </c>
      <c r="B538" s="1" t="n">
        <v>1</v>
      </c>
      <c r="C538" s="6" t="n">
        <f aca="false">B538/9435*100</f>
        <v>0.0105988341282459</v>
      </c>
      <c r="D538" s="2" t="n">
        <f aca="false">D537+C538</f>
        <v>95.9091500267812</v>
      </c>
    </row>
    <row r="539" customFormat="false" ht="12.8" hidden="false" customHeight="false" outlineLevel="0" collapsed="false">
      <c r="A539" s="6" t="s">
        <v>541</v>
      </c>
      <c r="B539" s="1" t="n">
        <v>1</v>
      </c>
      <c r="C539" s="6" t="n">
        <f aca="false">B539/9435*100</f>
        <v>0.0105988341282459</v>
      </c>
      <c r="D539" s="2" t="n">
        <f aca="false">D538+C539</f>
        <v>95.9197488609094</v>
      </c>
    </row>
    <row r="540" customFormat="false" ht="12.8" hidden="false" customHeight="false" outlineLevel="0" collapsed="false">
      <c r="A540" s="6" t="s">
        <v>542</v>
      </c>
      <c r="B540" s="1" t="n">
        <v>1</v>
      </c>
      <c r="C540" s="6" t="n">
        <f aca="false">B540/9435*100</f>
        <v>0.0105988341282459</v>
      </c>
      <c r="D540" s="2" t="n">
        <f aca="false">D539+C540</f>
        <v>95.9303476950377</v>
      </c>
    </row>
    <row r="541" customFormat="false" ht="12.8" hidden="false" customHeight="false" outlineLevel="0" collapsed="false">
      <c r="A541" s="6" t="s">
        <v>543</v>
      </c>
      <c r="B541" s="1" t="n">
        <v>1</v>
      </c>
      <c r="C541" s="6" t="n">
        <f aca="false">B541/9435*100</f>
        <v>0.0105988341282459</v>
      </c>
      <c r="D541" s="2" t="n">
        <f aca="false">D540+C541</f>
        <v>95.9409465291659</v>
      </c>
    </row>
    <row r="542" customFormat="false" ht="12.8" hidden="false" customHeight="false" outlineLevel="0" collapsed="false">
      <c r="A542" s="6" t="s">
        <v>544</v>
      </c>
      <c r="B542" s="1" t="n">
        <v>1</v>
      </c>
      <c r="C542" s="6" t="n">
        <f aca="false">B542/9435*100</f>
        <v>0.0105988341282459</v>
      </c>
      <c r="D542" s="2" t="n">
        <f aca="false">D541+C542</f>
        <v>95.9515453632942</v>
      </c>
    </row>
    <row r="543" customFormat="false" ht="12.8" hidden="false" customHeight="false" outlineLevel="0" collapsed="false">
      <c r="A543" s="6" t="s">
        <v>545</v>
      </c>
      <c r="B543" s="1" t="n">
        <v>1</v>
      </c>
      <c r="C543" s="6" t="n">
        <f aca="false">B543/9435*100</f>
        <v>0.0105988341282459</v>
      </c>
      <c r="D543" s="2" t="n">
        <f aca="false">D542+C543</f>
        <v>95.9621441974224</v>
      </c>
    </row>
    <row r="544" customFormat="false" ht="12.8" hidden="false" customHeight="false" outlineLevel="0" collapsed="false">
      <c r="A544" s="6" t="s">
        <v>546</v>
      </c>
      <c r="B544" s="1" t="n">
        <v>1</v>
      </c>
      <c r="C544" s="6" t="n">
        <f aca="false">B544/9435*100</f>
        <v>0.0105988341282459</v>
      </c>
      <c r="D544" s="2" t="n">
        <f aca="false">D543+C544</f>
        <v>95.9727430315506</v>
      </c>
    </row>
    <row r="545" customFormat="false" ht="12.8" hidden="false" customHeight="false" outlineLevel="0" collapsed="false">
      <c r="A545" s="6" t="s">
        <v>547</v>
      </c>
      <c r="B545" s="1" t="n">
        <v>1</v>
      </c>
      <c r="C545" s="6" t="n">
        <f aca="false">B545/9435*100</f>
        <v>0.0105988341282459</v>
      </c>
      <c r="D545" s="2" t="n">
        <f aca="false">D544+C545</f>
        <v>95.9833418656789</v>
      </c>
    </row>
    <row r="546" customFormat="false" ht="12.8" hidden="false" customHeight="false" outlineLevel="0" collapsed="false">
      <c r="A546" s="6" t="s">
        <v>548</v>
      </c>
      <c r="B546" s="1" t="n">
        <v>1</v>
      </c>
      <c r="C546" s="6" t="n">
        <f aca="false">B546/9435*100</f>
        <v>0.0105988341282459</v>
      </c>
      <c r="D546" s="2" t="n">
        <f aca="false">D545+C546</f>
        <v>95.9939406998072</v>
      </c>
    </row>
    <row r="547" customFormat="false" ht="12.8" hidden="false" customHeight="false" outlineLevel="0" collapsed="false">
      <c r="A547" s="6" t="s">
        <v>549</v>
      </c>
      <c r="B547" s="1" t="n">
        <v>1</v>
      </c>
      <c r="C547" s="6" t="n">
        <f aca="false">B547/9435*100</f>
        <v>0.0105988341282459</v>
      </c>
      <c r="D547" s="2" t="n">
        <f aca="false">D546+C547</f>
        <v>96.0045395339354</v>
      </c>
    </row>
    <row r="548" customFormat="false" ht="12.8" hidden="false" customHeight="false" outlineLevel="0" collapsed="false">
      <c r="A548" s="6" t="s">
        <v>550</v>
      </c>
      <c r="B548" s="1" t="n">
        <v>1</v>
      </c>
      <c r="C548" s="6" t="n">
        <f aca="false">B548/9435*100</f>
        <v>0.0105988341282459</v>
      </c>
      <c r="D548" s="2" t="n">
        <f aca="false">D547+C548</f>
        <v>96.0151383680636</v>
      </c>
    </row>
    <row r="549" customFormat="false" ht="12.8" hidden="false" customHeight="false" outlineLevel="0" collapsed="false">
      <c r="A549" s="6" t="s">
        <v>551</v>
      </c>
      <c r="B549" s="1" t="n">
        <v>1</v>
      </c>
      <c r="C549" s="6" t="n">
        <f aca="false">B549/9435*100</f>
        <v>0.0105988341282459</v>
      </c>
      <c r="D549" s="2" t="n">
        <f aca="false">D548+C549</f>
        <v>96.0257372021919</v>
      </c>
    </row>
    <row r="550" customFormat="false" ht="12.8" hidden="false" customHeight="false" outlineLevel="0" collapsed="false">
      <c r="A550" s="6" t="s">
        <v>552</v>
      </c>
      <c r="B550" s="1" t="n">
        <v>1</v>
      </c>
      <c r="C550" s="6" t="n">
        <f aca="false">B550/9435*100</f>
        <v>0.0105988341282459</v>
      </c>
      <c r="D550" s="2" t="n">
        <f aca="false">D549+C550</f>
        <v>96.0363360363201</v>
      </c>
    </row>
    <row r="551" customFormat="false" ht="12.8" hidden="false" customHeight="false" outlineLevel="0" collapsed="false">
      <c r="A551" s="6" t="s">
        <v>553</v>
      </c>
      <c r="B551" s="1" t="n">
        <v>1</v>
      </c>
      <c r="C551" s="6" t="n">
        <f aca="false">B551/9435*100</f>
        <v>0.0105988341282459</v>
      </c>
      <c r="D551" s="2" t="n">
        <f aca="false">D550+C551</f>
        <v>96.0469348704484</v>
      </c>
    </row>
    <row r="552" customFormat="false" ht="12.8" hidden="false" customHeight="false" outlineLevel="0" collapsed="false">
      <c r="A552" s="6" t="s">
        <v>554</v>
      </c>
      <c r="B552" s="1" t="n">
        <v>1</v>
      </c>
      <c r="C552" s="6" t="n">
        <f aca="false">B552/9435*100</f>
        <v>0.0105988341282459</v>
      </c>
      <c r="D552" s="2" t="n">
        <f aca="false">D551+C552</f>
        <v>96.0575337045766</v>
      </c>
    </row>
    <row r="553" customFormat="false" ht="12.8" hidden="false" customHeight="false" outlineLevel="0" collapsed="false">
      <c r="A553" s="6" t="s">
        <v>555</v>
      </c>
      <c r="B553" s="1" t="n">
        <v>1</v>
      </c>
      <c r="C553" s="6" t="n">
        <f aca="false">B553/9435*100</f>
        <v>0.0105988341282459</v>
      </c>
      <c r="D553" s="2" t="n">
        <f aca="false">D552+C553</f>
        <v>96.0681325387049</v>
      </c>
    </row>
    <row r="554" customFormat="false" ht="12.8" hidden="false" customHeight="false" outlineLevel="0" collapsed="false">
      <c r="A554" s="6" t="s">
        <v>556</v>
      </c>
      <c r="B554" s="1" t="n">
        <v>1</v>
      </c>
      <c r="C554" s="6" t="n">
        <f aca="false">B554/9435*100</f>
        <v>0.0105988341282459</v>
      </c>
      <c r="D554" s="2" t="n">
        <f aca="false">D553+C554</f>
        <v>96.0787313728331</v>
      </c>
    </row>
    <row r="555" customFormat="false" ht="12.8" hidden="false" customHeight="false" outlineLevel="0" collapsed="false">
      <c r="A555" s="6" t="s">
        <v>557</v>
      </c>
      <c r="B555" s="1" t="n">
        <v>1</v>
      </c>
      <c r="C555" s="6" t="n">
        <f aca="false">B555/9435*100</f>
        <v>0.0105988341282459</v>
      </c>
      <c r="D555" s="2" t="n">
        <f aca="false">D554+C555</f>
        <v>96.0893302069614</v>
      </c>
    </row>
    <row r="556" customFormat="false" ht="12.8" hidden="false" customHeight="false" outlineLevel="0" collapsed="false">
      <c r="A556" s="6" t="s">
        <v>558</v>
      </c>
      <c r="B556" s="1" t="n">
        <v>1</v>
      </c>
      <c r="C556" s="6" t="n">
        <f aca="false">B556/9435*100</f>
        <v>0.0105988341282459</v>
      </c>
      <c r="D556" s="2" t="n">
        <f aca="false">D555+C556</f>
        <v>96.0999290410896</v>
      </c>
    </row>
    <row r="557" customFormat="false" ht="12.8" hidden="false" customHeight="false" outlineLevel="0" collapsed="false">
      <c r="A557" s="6" t="s">
        <v>559</v>
      </c>
      <c r="B557" s="1" t="n">
        <v>1</v>
      </c>
      <c r="C557" s="6" t="n">
        <f aca="false">B557/9435*100</f>
        <v>0.0105988341282459</v>
      </c>
      <c r="D557" s="2" t="n">
        <f aca="false">D556+C557</f>
        <v>96.1105278752178</v>
      </c>
    </row>
    <row r="558" customFormat="false" ht="12.8" hidden="false" customHeight="false" outlineLevel="0" collapsed="false">
      <c r="A558" s="6" t="s">
        <v>560</v>
      </c>
      <c r="B558" s="1" t="n">
        <v>1</v>
      </c>
      <c r="C558" s="6" t="n">
        <f aca="false">B558/9435*100</f>
        <v>0.0105988341282459</v>
      </c>
      <c r="D558" s="2" t="n">
        <f aca="false">D557+C558</f>
        <v>96.1211267093461</v>
      </c>
    </row>
    <row r="559" customFormat="false" ht="12.8" hidden="false" customHeight="false" outlineLevel="0" collapsed="false">
      <c r="A559" s="6" t="s">
        <v>561</v>
      </c>
      <c r="B559" s="1" t="n">
        <v>1</v>
      </c>
      <c r="C559" s="6" t="n">
        <f aca="false">B559/9435*100</f>
        <v>0.0105988341282459</v>
      </c>
      <c r="D559" s="2" t="n">
        <f aca="false">D558+C559</f>
        <v>96.1317255434743</v>
      </c>
    </row>
    <row r="560" customFormat="false" ht="12.8" hidden="false" customHeight="false" outlineLevel="0" collapsed="false">
      <c r="A560" s="6" t="s">
        <v>562</v>
      </c>
      <c r="B560" s="1" t="n">
        <v>1</v>
      </c>
      <c r="C560" s="6" t="n">
        <f aca="false">B560/9435*100</f>
        <v>0.0105988341282459</v>
      </c>
      <c r="D560" s="2" t="n">
        <f aca="false">D559+C560</f>
        <v>96.1423243776026</v>
      </c>
    </row>
    <row r="561" customFormat="false" ht="12.8" hidden="false" customHeight="false" outlineLevel="0" collapsed="false">
      <c r="A561" s="6" t="s">
        <v>563</v>
      </c>
      <c r="B561" s="1" t="n">
        <v>1</v>
      </c>
      <c r="C561" s="6" t="n">
        <f aca="false">B561/9435*100</f>
        <v>0.0105988341282459</v>
      </c>
      <c r="D561" s="2" t="n">
        <f aca="false">D560+C561</f>
        <v>96.1529232117308</v>
      </c>
    </row>
    <row r="562" customFormat="false" ht="12.8" hidden="false" customHeight="false" outlineLevel="0" collapsed="false">
      <c r="A562" s="6" t="s">
        <v>564</v>
      </c>
      <c r="B562" s="1" t="n">
        <v>1</v>
      </c>
      <c r="C562" s="6" t="n">
        <f aca="false">B562/9435*100</f>
        <v>0.0105988341282459</v>
      </c>
      <c r="D562" s="2" t="n">
        <f aca="false">D561+C562</f>
        <v>96.1635220458591</v>
      </c>
    </row>
    <row r="563" customFormat="false" ht="12.8" hidden="false" customHeight="false" outlineLevel="0" collapsed="false">
      <c r="A563" s="6" t="s">
        <v>565</v>
      </c>
      <c r="B563" s="1" t="n">
        <v>1</v>
      </c>
      <c r="C563" s="6" t="n">
        <f aca="false">B563/9435*100</f>
        <v>0.0105988341282459</v>
      </c>
      <c r="D563" s="2" t="n">
        <f aca="false">D562+C563</f>
        <v>96.1741208799873</v>
      </c>
    </row>
    <row r="564" customFormat="false" ht="12.8" hidden="false" customHeight="false" outlineLevel="0" collapsed="false">
      <c r="A564" s="6" t="s">
        <v>566</v>
      </c>
      <c r="B564" s="1" t="n">
        <v>1</v>
      </c>
      <c r="C564" s="6" t="n">
        <f aca="false">B564/9435*100</f>
        <v>0.0105988341282459</v>
      </c>
      <c r="D564" s="2" t="n">
        <f aca="false">D563+C564</f>
        <v>96.1847197141156</v>
      </c>
    </row>
    <row r="565" customFormat="false" ht="12.8" hidden="false" customHeight="false" outlineLevel="0" collapsed="false">
      <c r="A565" s="6" t="s">
        <v>567</v>
      </c>
      <c r="B565" s="1" t="n">
        <v>1</v>
      </c>
      <c r="C565" s="6" t="n">
        <f aca="false">B565/9435*100</f>
        <v>0.0105988341282459</v>
      </c>
      <c r="D565" s="2" t="n">
        <f aca="false">D564+C565</f>
        <v>96.1953185482438</v>
      </c>
    </row>
    <row r="566" customFormat="false" ht="12.8" hidden="false" customHeight="false" outlineLevel="0" collapsed="false">
      <c r="A566" s="6" t="s">
        <v>568</v>
      </c>
      <c r="B566" s="1" t="n">
        <v>1</v>
      </c>
      <c r="C566" s="6" t="n">
        <f aca="false">B566/9435*100</f>
        <v>0.0105988341282459</v>
      </c>
      <c r="D566" s="2" t="n">
        <f aca="false">D565+C566</f>
        <v>96.2059173823721</v>
      </c>
    </row>
    <row r="567" customFormat="false" ht="12.8" hidden="false" customHeight="false" outlineLevel="0" collapsed="false">
      <c r="A567" s="6" t="s">
        <v>569</v>
      </c>
      <c r="B567" s="1" t="n">
        <v>1</v>
      </c>
      <c r="C567" s="6" t="n">
        <f aca="false">B567/9435*100</f>
        <v>0.0105988341282459</v>
      </c>
      <c r="D567" s="2" t="n">
        <f aca="false">D566+C567</f>
        <v>96.2165162165003</v>
      </c>
    </row>
    <row r="568" customFormat="false" ht="12.8" hidden="false" customHeight="false" outlineLevel="0" collapsed="false">
      <c r="A568" s="6" t="s">
        <v>570</v>
      </c>
      <c r="B568" s="1" t="n">
        <v>1</v>
      </c>
      <c r="C568" s="6" t="n">
        <f aca="false">B568/9435*100</f>
        <v>0.0105988341282459</v>
      </c>
      <c r="D568" s="2" t="n">
        <f aca="false">D567+C568</f>
        <v>96.2271150506285</v>
      </c>
    </row>
    <row r="569" customFormat="false" ht="12.8" hidden="false" customHeight="false" outlineLevel="0" collapsed="false">
      <c r="A569" s="6" t="s">
        <v>571</v>
      </c>
      <c r="B569" s="1" t="n">
        <v>1</v>
      </c>
      <c r="C569" s="6" t="n">
        <f aca="false">B569/9435*100</f>
        <v>0.0105988341282459</v>
      </c>
      <c r="D569" s="2" t="n">
        <f aca="false">D568+C569</f>
        <v>96.2377138847568</v>
      </c>
    </row>
    <row r="570" customFormat="false" ht="12.8" hidden="false" customHeight="false" outlineLevel="0" collapsed="false">
      <c r="A570" s="6" t="s">
        <v>572</v>
      </c>
      <c r="B570" s="1" t="n">
        <v>1</v>
      </c>
      <c r="C570" s="6" t="n">
        <f aca="false">B570/9435*100</f>
        <v>0.0105988341282459</v>
      </c>
      <c r="D570" s="2" t="n">
        <f aca="false">D569+C570</f>
        <v>96.248312718885</v>
      </c>
    </row>
    <row r="571" customFormat="false" ht="12.8" hidden="false" customHeight="false" outlineLevel="0" collapsed="false">
      <c r="A571" s="6" t="s">
        <v>573</v>
      </c>
      <c r="B571" s="1" t="n">
        <v>1</v>
      </c>
      <c r="C571" s="6" t="n">
        <f aca="false">B571/9435*100</f>
        <v>0.0105988341282459</v>
      </c>
      <c r="D571" s="2" t="n">
        <f aca="false">D570+C571</f>
        <v>96.2589115530133</v>
      </c>
    </row>
    <row r="572" customFormat="false" ht="12.8" hidden="false" customHeight="false" outlineLevel="0" collapsed="false">
      <c r="A572" s="6" t="s">
        <v>574</v>
      </c>
      <c r="B572" s="1" t="n">
        <v>1</v>
      </c>
      <c r="C572" s="6" t="n">
        <f aca="false">B572/9435*100</f>
        <v>0.0105988341282459</v>
      </c>
      <c r="D572" s="2" t="n">
        <f aca="false">D571+C572</f>
        <v>96.2695103871415</v>
      </c>
    </row>
    <row r="573" customFormat="false" ht="12.8" hidden="false" customHeight="false" outlineLevel="0" collapsed="false">
      <c r="A573" s="6" t="s">
        <v>575</v>
      </c>
      <c r="B573" s="1" t="n">
        <v>1</v>
      </c>
      <c r="C573" s="6" t="n">
        <f aca="false">B573/9435*100</f>
        <v>0.0105988341282459</v>
      </c>
      <c r="D573" s="2" t="n">
        <f aca="false">D572+C573</f>
        <v>96.2801092212698</v>
      </c>
    </row>
    <row r="574" customFormat="false" ht="12.8" hidden="false" customHeight="false" outlineLevel="0" collapsed="false">
      <c r="A574" s="6" t="s">
        <v>576</v>
      </c>
      <c r="B574" s="1" t="n">
        <v>1</v>
      </c>
      <c r="C574" s="6" t="n">
        <f aca="false">B574/9435*100</f>
        <v>0.0105988341282459</v>
      </c>
      <c r="D574" s="2" t="n">
        <f aca="false">D573+C574</f>
        <v>96.290708055398</v>
      </c>
    </row>
    <row r="575" customFormat="false" ht="12.8" hidden="false" customHeight="false" outlineLevel="0" collapsed="false">
      <c r="A575" s="6" t="s">
        <v>577</v>
      </c>
      <c r="B575" s="1" t="n">
        <v>1</v>
      </c>
      <c r="C575" s="6" t="n">
        <f aca="false">B575/9435*100</f>
        <v>0.0105988341282459</v>
      </c>
      <c r="D575" s="2" t="n">
        <f aca="false">D574+C575</f>
        <v>96.3013068895263</v>
      </c>
    </row>
    <row r="576" customFormat="false" ht="12.8" hidden="false" customHeight="false" outlineLevel="0" collapsed="false">
      <c r="A576" s="6" t="s">
        <v>578</v>
      </c>
      <c r="B576" s="1" t="n">
        <v>1</v>
      </c>
      <c r="C576" s="6" t="n">
        <f aca="false">B576/9435*100</f>
        <v>0.0105988341282459</v>
      </c>
      <c r="D576" s="2" t="n">
        <f aca="false">D575+C576</f>
        <v>96.3119057236545</v>
      </c>
    </row>
    <row r="577" customFormat="false" ht="12.8" hidden="false" customHeight="false" outlineLevel="0" collapsed="false">
      <c r="A577" s="6" t="s">
        <v>579</v>
      </c>
      <c r="B577" s="1" t="n">
        <v>1</v>
      </c>
      <c r="C577" s="6" t="n">
        <f aca="false">B577/9435*100</f>
        <v>0.0105988341282459</v>
      </c>
      <c r="D577" s="2" t="n">
        <f aca="false">D576+C577</f>
        <v>96.3225045577827</v>
      </c>
    </row>
    <row r="578" customFormat="false" ht="12.8" hidden="false" customHeight="false" outlineLevel="0" collapsed="false">
      <c r="A578" s="6" t="s">
        <v>580</v>
      </c>
      <c r="B578" s="1" t="n">
        <v>1</v>
      </c>
      <c r="C578" s="6" t="n">
        <f aca="false">B578/9435*100</f>
        <v>0.0105988341282459</v>
      </c>
      <c r="D578" s="2" t="n">
        <f aca="false">D577+C578</f>
        <v>96.333103391911</v>
      </c>
    </row>
    <row r="579" customFormat="false" ht="12.8" hidden="false" customHeight="false" outlineLevel="0" collapsed="false">
      <c r="A579" s="6" t="s">
        <v>581</v>
      </c>
      <c r="B579" s="1" t="n">
        <v>1</v>
      </c>
      <c r="C579" s="6" t="n">
        <f aca="false">B579/9435*100</f>
        <v>0.0105988341282459</v>
      </c>
      <c r="D579" s="2" t="n">
        <f aca="false">D578+C579</f>
        <v>96.3437022260392</v>
      </c>
    </row>
    <row r="580" customFormat="false" ht="12.8" hidden="false" customHeight="false" outlineLevel="0" collapsed="false">
      <c r="A580" s="6" t="s">
        <v>582</v>
      </c>
      <c r="B580" s="1" t="n">
        <v>1</v>
      </c>
      <c r="C580" s="6" t="n">
        <f aca="false">B580/9435*100</f>
        <v>0.0105988341282459</v>
      </c>
      <c r="D580" s="2" t="n">
        <f aca="false">D579+C580</f>
        <v>96.3543010601675</v>
      </c>
    </row>
    <row r="581" customFormat="false" ht="12.8" hidden="false" customHeight="false" outlineLevel="0" collapsed="false">
      <c r="A581" s="6" t="s">
        <v>583</v>
      </c>
      <c r="B581" s="1" t="n">
        <v>1</v>
      </c>
      <c r="C581" s="6" t="n">
        <f aca="false">B581/9435*100</f>
        <v>0.0105988341282459</v>
      </c>
      <c r="D581" s="2" t="n">
        <f aca="false">D580+C581</f>
        <v>96.3648998942957</v>
      </c>
    </row>
    <row r="582" customFormat="false" ht="12.8" hidden="false" customHeight="false" outlineLevel="0" collapsed="false">
      <c r="A582" s="6" t="s">
        <v>584</v>
      </c>
      <c r="B582" s="1" t="n">
        <v>1</v>
      </c>
      <c r="C582" s="6" t="n">
        <f aca="false">B582/9435*100</f>
        <v>0.0105988341282459</v>
      </c>
      <c r="D582" s="2" t="n">
        <f aca="false">D581+C582</f>
        <v>96.375498728424</v>
      </c>
    </row>
    <row r="583" customFormat="false" ht="12.8" hidden="false" customHeight="false" outlineLevel="0" collapsed="false">
      <c r="A583" s="6" t="s">
        <v>585</v>
      </c>
      <c r="B583" s="1" t="n">
        <v>1</v>
      </c>
      <c r="C583" s="6" t="n">
        <f aca="false">B583/9435*100</f>
        <v>0.0105988341282459</v>
      </c>
      <c r="D583" s="2" t="n">
        <f aca="false">D582+C583</f>
        <v>96.3860975625522</v>
      </c>
    </row>
    <row r="584" customFormat="false" ht="12.8" hidden="false" customHeight="false" outlineLevel="0" collapsed="false">
      <c r="A584" s="6" t="s">
        <v>586</v>
      </c>
      <c r="B584" s="1" t="n">
        <v>1</v>
      </c>
      <c r="C584" s="6" t="n">
        <f aca="false">B584/9435*100</f>
        <v>0.0105988341282459</v>
      </c>
      <c r="D584" s="2" t="n">
        <f aca="false">D583+C584</f>
        <v>96.3966963966805</v>
      </c>
    </row>
    <row r="585" customFormat="false" ht="12.8" hidden="false" customHeight="false" outlineLevel="0" collapsed="false">
      <c r="A585" s="6" t="s">
        <v>587</v>
      </c>
      <c r="B585" s="1" t="n">
        <v>1</v>
      </c>
      <c r="C585" s="6" t="n">
        <f aca="false">B585/9435*100</f>
        <v>0.0105988341282459</v>
      </c>
      <c r="D585" s="2" t="n">
        <f aca="false">D584+C585</f>
        <v>96.4072952308087</v>
      </c>
    </row>
    <row r="586" customFormat="false" ht="12.8" hidden="false" customHeight="false" outlineLevel="0" collapsed="false">
      <c r="A586" s="6" t="s">
        <v>588</v>
      </c>
      <c r="B586" s="1" t="n">
        <v>1</v>
      </c>
      <c r="C586" s="6" t="n">
        <f aca="false">B586/9435*100</f>
        <v>0.0105988341282459</v>
      </c>
      <c r="D586" s="2" t="n">
        <f aca="false">D585+C586</f>
        <v>96.417894064937</v>
      </c>
    </row>
    <row r="587" customFormat="false" ht="12.8" hidden="false" customHeight="false" outlineLevel="0" collapsed="false">
      <c r="A587" s="6" t="s">
        <v>589</v>
      </c>
      <c r="B587" s="1" t="n">
        <v>1</v>
      </c>
      <c r="C587" s="6" t="n">
        <f aca="false">B587/9435*100</f>
        <v>0.0105988341282459</v>
      </c>
      <c r="D587" s="2" t="n">
        <f aca="false">D586+C587</f>
        <v>96.4284928990652</v>
      </c>
    </row>
    <row r="588" customFormat="false" ht="12.8" hidden="false" customHeight="false" outlineLevel="0" collapsed="false">
      <c r="A588" s="6" t="s">
        <v>590</v>
      </c>
      <c r="B588" s="1" t="n">
        <v>1</v>
      </c>
      <c r="C588" s="6" t="n">
        <f aca="false">B588/9435*100</f>
        <v>0.0105988341282459</v>
      </c>
      <c r="D588" s="2" t="n">
        <f aca="false">D587+C588</f>
        <v>96.4390917331935</v>
      </c>
    </row>
    <row r="589" customFormat="false" ht="12.8" hidden="false" customHeight="false" outlineLevel="0" collapsed="false">
      <c r="A589" s="6" t="s">
        <v>591</v>
      </c>
      <c r="B589" s="1" t="n">
        <v>1</v>
      </c>
      <c r="C589" s="6" t="n">
        <f aca="false">B589/9435*100</f>
        <v>0.0105988341282459</v>
      </c>
      <c r="D589" s="2" t="n">
        <f aca="false">D588+C589</f>
        <v>96.4496905673217</v>
      </c>
    </row>
    <row r="590" customFormat="false" ht="12.8" hidden="false" customHeight="false" outlineLevel="0" collapsed="false">
      <c r="A590" s="6" t="s">
        <v>592</v>
      </c>
      <c r="B590" s="1" t="n">
        <v>1</v>
      </c>
      <c r="C590" s="6" t="n">
        <f aca="false">B590/9435*100</f>
        <v>0.0105988341282459</v>
      </c>
      <c r="D590" s="2" t="n">
        <f aca="false">D589+C590</f>
        <v>96.4602894014499</v>
      </c>
    </row>
    <row r="591" customFormat="false" ht="12.8" hidden="false" customHeight="false" outlineLevel="0" collapsed="false">
      <c r="A591" s="6" t="s">
        <v>593</v>
      </c>
      <c r="B591" s="1" t="n">
        <v>1</v>
      </c>
      <c r="C591" s="6" t="n">
        <f aca="false">B591/9435*100</f>
        <v>0.0105988341282459</v>
      </c>
      <c r="D591" s="2" t="n">
        <f aca="false">D590+C591</f>
        <v>96.4708882355782</v>
      </c>
    </row>
    <row r="592" customFormat="false" ht="12.8" hidden="false" customHeight="false" outlineLevel="0" collapsed="false">
      <c r="A592" s="6" t="s">
        <v>594</v>
      </c>
      <c r="B592" s="1" t="n">
        <v>1</v>
      </c>
      <c r="C592" s="6" t="n">
        <f aca="false">B592/9435*100</f>
        <v>0.0105988341282459</v>
      </c>
      <c r="D592" s="2" t="n">
        <f aca="false">D591+C592</f>
        <v>96.4814870697064</v>
      </c>
    </row>
    <row r="593" customFormat="false" ht="12.8" hidden="false" customHeight="false" outlineLevel="0" collapsed="false">
      <c r="A593" s="6" t="s">
        <v>595</v>
      </c>
      <c r="B593" s="1" t="n">
        <v>1</v>
      </c>
      <c r="C593" s="6" t="n">
        <f aca="false">B593/9435*100</f>
        <v>0.0105988341282459</v>
      </c>
      <c r="D593" s="2" t="n">
        <f aca="false">D592+C593</f>
        <v>96.4920859038347</v>
      </c>
    </row>
    <row r="594" customFormat="false" ht="12.8" hidden="false" customHeight="false" outlineLevel="0" collapsed="false">
      <c r="A594" s="6" t="s">
        <v>596</v>
      </c>
      <c r="B594" s="1" t="n">
        <v>1</v>
      </c>
      <c r="C594" s="6" t="n">
        <f aca="false">B594/9435*100</f>
        <v>0.0105988341282459</v>
      </c>
      <c r="D594" s="2" t="n">
        <f aca="false">D593+C594</f>
        <v>96.5026847379629</v>
      </c>
    </row>
    <row r="595" customFormat="false" ht="12.8" hidden="false" customHeight="false" outlineLevel="0" collapsed="false">
      <c r="A595" s="6" t="s">
        <v>597</v>
      </c>
      <c r="B595" s="1" t="n">
        <v>1</v>
      </c>
      <c r="C595" s="6" t="n">
        <f aca="false">B595/9435*100</f>
        <v>0.0105988341282459</v>
      </c>
      <c r="D595" s="2" t="n">
        <f aca="false">D594+C595</f>
        <v>96.5132835720912</v>
      </c>
    </row>
    <row r="596" customFormat="false" ht="12.8" hidden="false" customHeight="false" outlineLevel="0" collapsed="false">
      <c r="A596" s="6" t="s">
        <v>598</v>
      </c>
      <c r="B596" s="1" t="n">
        <v>1</v>
      </c>
      <c r="C596" s="6" t="n">
        <f aca="false">B596/9435*100</f>
        <v>0.0105988341282459</v>
      </c>
      <c r="D596" s="2" t="n">
        <f aca="false">D595+C596</f>
        <v>96.5238824062194</v>
      </c>
    </row>
    <row r="597" customFormat="false" ht="12.8" hidden="false" customHeight="false" outlineLevel="0" collapsed="false">
      <c r="A597" s="6" t="s">
        <v>599</v>
      </c>
      <c r="B597" s="1" t="n">
        <v>1</v>
      </c>
      <c r="C597" s="6" t="n">
        <f aca="false">B597/9435*100</f>
        <v>0.0105988341282459</v>
      </c>
      <c r="D597" s="2" t="n">
        <f aca="false">D596+C597</f>
        <v>96.5344812403477</v>
      </c>
    </row>
    <row r="598" customFormat="false" ht="12.8" hidden="false" customHeight="false" outlineLevel="0" collapsed="false">
      <c r="A598" s="6" t="s">
        <v>600</v>
      </c>
      <c r="B598" s="1" t="n">
        <v>1</v>
      </c>
      <c r="C598" s="6" t="n">
        <f aca="false">B598/9435*100</f>
        <v>0.0105988341282459</v>
      </c>
      <c r="D598" s="2" t="n">
        <f aca="false">D597+C598</f>
        <v>96.5450800744759</v>
      </c>
    </row>
    <row r="599" customFormat="false" ht="12.8" hidden="false" customHeight="false" outlineLevel="0" collapsed="false">
      <c r="A599" s="6" t="s">
        <v>601</v>
      </c>
      <c r="B599" s="1" t="n">
        <v>1</v>
      </c>
      <c r="C599" s="6" t="n">
        <f aca="false">B599/9435*100</f>
        <v>0.0105988341282459</v>
      </c>
      <c r="D599" s="2" t="n">
        <f aca="false">D598+C599</f>
        <v>96.5556789086041</v>
      </c>
    </row>
    <row r="600" customFormat="false" ht="12.8" hidden="false" customHeight="false" outlineLevel="0" collapsed="false">
      <c r="A600" s="6" t="s">
        <v>602</v>
      </c>
      <c r="B600" s="1" t="n">
        <v>1</v>
      </c>
      <c r="C600" s="6" t="n">
        <f aca="false">B600/9435*100</f>
        <v>0.0105988341282459</v>
      </c>
      <c r="D600" s="2" t="n">
        <f aca="false">D599+C600</f>
        <v>96.5662777427324</v>
      </c>
    </row>
    <row r="601" customFormat="false" ht="12.8" hidden="false" customHeight="false" outlineLevel="0" collapsed="false">
      <c r="A601" s="6" t="s">
        <v>603</v>
      </c>
      <c r="B601" s="1" t="n">
        <v>1</v>
      </c>
      <c r="C601" s="6" t="n">
        <f aca="false">B601/9435*100</f>
        <v>0.0105988341282459</v>
      </c>
      <c r="D601" s="2" t="n">
        <f aca="false">D600+C601</f>
        <v>96.5768765768607</v>
      </c>
    </row>
    <row r="602" customFormat="false" ht="12.8" hidden="false" customHeight="false" outlineLevel="0" collapsed="false">
      <c r="A602" s="6" t="s">
        <v>604</v>
      </c>
      <c r="B602" s="1" t="n">
        <v>1</v>
      </c>
      <c r="C602" s="6" t="n">
        <f aca="false">B602/9435*100</f>
        <v>0.0105988341282459</v>
      </c>
      <c r="D602" s="2" t="n">
        <f aca="false">D601+C602</f>
        <v>96.5874754109889</v>
      </c>
    </row>
    <row r="603" customFormat="false" ht="12.8" hidden="false" customHeight="false" outlineLevel="0" collapsed="false">
      <c r="A603" s="6" t="s">
        <v>605</v>
      </c>
      <c r="B603" s="1" t="n">
        <v>1</v>
      </c>
      <c r="C603" s="6" t="n">
        <f aca="false">B603/9435*100</f>
        <v>0.0105988341282459</v>
      </c>
      <c r="D603" s="2" t="n">
        <f aca="false">D602+C603</f>
        <v>96.5980742451171</v>
      </c>
    </row>
    <row r="604" customFormat="false" ht="12.8" hidden="false" customHeight="false" outlineLevel="0" collapsed="false">
      <c r="A604" s="6" t="s">
        <v>606</v>
      </c>
      <c r="B604" s="1" t="n">
        <v>1</v>
      </c>
      <c r="C604" s="6" t="n">
        <f aca="false">B604/9435*100</f>
        <v>0.0105988341282459</v>
      </c>
      <c r="D604" s="2" t="n">
        <f aca="false">D603+C604</f>
        <v>96.6086730792454</v>
      </c>
    </row>
    <row r="605" customFormat="false" ht="12.8" hidden="false" customHeight="false" outlineLevel="0" collapsed="false">
      <c r="A605" s="6" t="s">
        <v>607</v>
      </c>
      <c r="B605" s="1" t="n">
        <v>1</v>
      </c>
      <c r="C605" s="6" t="n">
        <f aca="false">B605/9435*100</f>
        <v>0.0105988341282459</v>
      </c>
      <c r="D605" s="2" t="n">
        <f aca="false">D604+C605</f>
        <v>96.6192719133736</v>
      </c>
    </row>
    <row r="606" customFormat="false" ht="12.8" hidden="false" customHeight="false" outlineLevel="0" collapsed="false">
      <c r="A606" s="6" t="s">
        <v>608</v>
      </c>
      <c r="B606" s="1" t="n">
        <v>1</v>
      </c>
      <c r="C606" s="6" t="n">
        <f aca="false">B606/9435*100</f>
        <v>0.0105988341282459</v>
      </c>
      <c r="D606" s="2" t="n">
        <f aca="false">D605+C606</f>
        <v>96.6298707475019</v>
      </c>
    </row>
    <row r="607" customFormat="false" ht="12.8" hidden="false" customHeight="false" outlineLevel="0" collapsed="false">
      <c r="A607" s="6" t="s">
        <v>609</v>
      </c>
      <c r="B607" s="1" t="n">
        <v>1</v>
      </c>
      <c r="C607" s="6" t="n">
        <f aca="false">B607/9435*100</f>
        <v>0.0105988341282459</v>
      </c>
      <c r="D607" s="2" t="n">
        <f aca="false">D606+C607</f>
        <v>96.6404695816301</v>
      </c>
    </row>
    <row r="608" customFormat="false" ht="12.8" hidden="false" customHeight="false" outlineLevel="0" collapsed="false">
      <c r="A608" s="6" t="s">
        <v>610</v>
      </c>
      <c r="B608" s="1" t="n">
        <v>1</v>
      </c>
      <c r="C608" s="6" t="n">
        <f aca="false">B608/9435*100</f>
        <v>0.0105988341282459</v>
      </c>
      <c r="D608" s="2" t="n">
        <f aca="false">D607+C608</f>
        <v>96.6510684157584</v>
      </c>
    </row>
    <row r="609" customFormat="false" ht="12.8" hidden="false" customHeight="false" outlineLevel="0" collapsed="false">
      <c r="A609" s="6" t="s">
        <v>611</v>
      </c>
      <c r="B609" s="1" t="n">
        <v>1</v>
      </c>
      <c r="C609" s="6" t="n">
        <f aca="false">B609/9435*100</f>
        <v>0.0105988341282459</v>
      </c>
      <c r="D609" s="2" t="n">
        <f aca="false">D608+C609</f>
        <v>96.6616672498866</v>
      </c>
    </row>
    <row r="610" customFormat="false" ht="12.8" hidden="false" customHeight="false" outlineLevel="0" collapsed="false">
      <c r="A610" s="6" t="s">
        <v>612</v>
      </c>
      <c r="B610" s="1" t="n">
        <v>1</v>
      </c>
      <c r="C610" s="6" t="n">
        <f aca="false">B610/9435*100</f>
        <v>0.0105988341282459</v>
      </c>
      <c r="D610" s="2" t="n">
        <f aca="false">D609+C610</f>
        <v>96.6722660840149</v>
      </c>
    </row>
    <row r="611" customFormat="false" ht="12.8" hidden="false" customHeight="false" outlineLevel="0" collapsed="false">
      <c r="A611" s="6" t="s">
        <v>613</v>
      </c>
      <c r="B611" s="1" t="n">
        <v>1</v>
      </c>
      <c r="C611" s="6" t="n">
        <f aca="false">B611/9435*100</f>
        <v>0.0105988341282459</v>
      </c>
      <c r="D611" s="2" t="n">
        <f aca="false">D610+C611</f>
        <v>96.6828649181431</v>
      </c>
    </row>
    <row r="612" customFormat="false" ht="12.8" hidden="false" customHeight="false" outlineLevel="0" collapsed="false">
      <c r="A612" s="6" t="s">
        <v>614</v>
      </c>
      <c r="B612" s="1" t="n">
        <v>1</v>
      </c>
      <c r="C612" s="6" t="n">
        <f aca="false">B612/9435*100</f>
        <v>0.0105988341282459</v>
      </c>
      <c r="D612" s="2" t="n">
        <f aca="false">D611+C612</f>
        <v>96.6934637522713</v>
      </c>
    </row>
    <row r="613" customFormat="false" ht="12.8" hidden="false" customHeight="false" outlineLevel="0" collapsed="false">
      <c r="A613" s="6" t="s">
        <v>615</v>
      </c>
      <c r="B613" s="1" t="n">
        <v>1</v>
      </c>
      <c r="C613" s="6" t="n">
        <f aca="false">B613/9435*100</f>
        <v>0.0105988341282459</v>
      </c>
      <c r="D613" s="2" t="n">
        <f aca="false">D612+C613</f>
        <v>96.7040625863996</v>
      </c>
    </row>
    <row r="614" customFormat="false" ht="12.8" hidden="false" customHeight="false" outlineLevel="0" collapsed="false">
      <c r="A614" s="6" t="s">
        <v>616</v>
      </c>
      <c r="B614" s="1" t="n">
        <v>1</v>
      </c>
      <c r="C614" s="6" t="n">
        <f aca="false">B614/9435*100</f>
        <v>0.0105988341282459</v>
      </c>
      <c r="D614" s="2" t="n">
        <f aca="false">D613+C614</f>
        <v>96.7146614205278</v>
      </c>
    </row>
    <row r="615" customFormat="false" ht="12.8" hidden="false" customHeight="false" outlineLevel="0" collapsed="false">
      <c r="A615" s="6" t="s">
        <v>617</v>
      </c>
      <c r="B615" s="1" t="n">
        <v>1</v>
      </c>
      <c r="C615" s="6" t="n">
        <f aca="false">B615/9435*100</f>
        <v>0.0105988341282459</v>
      </c>
      <c r="D615" s="2" t="n">
        <f aca="false">D614+C615</f>
        <v>96.7252602546561</v>
      </c>
    </row>
    <row r="616" customFormat="false" ht="12.8" hidden="false" customHeight="false" outlineLevel="0" collapsed="false">
      <c r="A616" s="6" t="s">
        <v>618</v>
      </c>
      <c r="B616" s="1" t="n">
        <v>1</v>
      </c>
      <c r="C616" s="6" t="n">
        <f aca="false">B616/9435*100</f>
        <v>0.0105988341282459</v>
      </c>
      <c r="D616" s="2" t="n">
        <f aca="false">D615+C616</f>
        <v>96.7358590887843</v>
      </c>
    </row>
    <row r="617" customFormat="false" ht="12.8" hidden="false" customHeight="false" outlineLevel="0" collapsed="false">
      <c r="A617" s="6" t="s">
        <v>619</v>
      </c>
      <c r="B617" s="1" t="n">
        <v>1</v>
      </c>
      <c r="C617" s="6" t="n">
        <f aca="false">B617/9435*100</f>
        <v>0.0105988341282459</v>
      </c>
      <c r="D617" s="2" t="n">
        <f aca="false">D616+C617</f>
        <v>96.7464579229126</v>
      </c>
    </row>
    <row r="618" customFormat="false" ht="12.8" hidden="false" customHeight="false" outlineLevel="0" collapsed="false">
      <c r="A618" s="6" t="s">
        <v>620</v>
      </c>
      <c r="B618" s="1" t="n">
        <v>1</v>
      </c>
      <c r="C618" s="6" t="n">
        <f aca="false">B618/9435*100</f>
        <v>0.0105988341282459</v>
      </c>
      <c r="D618" s="2" t="n">
        <f aca="false">D617+C618</f>
        <v>96.7570567570408</v>
      </c>
    </row>
    <row r="619" customFormat="false" ht="12.8" hidden="false" customHeight="false" outlineLevel="0" collapsed="false">
      <c r="A619" s="6" t="s">
        <v>621</v>
      </c>
      <c r="B619" s="1" t="n">
        <v>1</v>
      </c>
      <c r="C619" s="6" t="n">
        <f aca="false">B619/9435*100</f>
        <v>0.0105988341282459</v>
      </c>
      <c r="D619" s="2" t="n">
        <f aca="false">D618+C619</f>
        <v>96.7676555911691</v>
      </c>
    </row>
    <row r="620" customFormat="false" ht="12.8" hidden="false" customHeight="false" outlineLevel="0" collapsed="false">
      <c r="A620" s="6" t="s">
        <v>622</v>
      </c>
      <c r="B620" s="1" t="n">
        <v>1</v>
      </c>
      <c r="C620" s="6" t="n">
        <f aca="false">B620/9435*100</f>
        <v>0.0105988341282459</v>
      </c>
      <c r="D620" s="2" t="n">
        <f aca="false">D619+C620</f>
        <v>96.7782544252973</v>
      </c>
    </row>
    <row r="621" customFormat="false" ht="12.8" hidden="false" customHeight="false" outlineLevel="0" collapsed="false">
      <c r="A621" s="6" t="s">
        <v>623</v>
      </c>
      <c r="B621" s="1" t="n">
        <v>1</v>
      </c>
      <c r="C621" s="6" t="n">
        <f aca="false">B621/9435*100</f>
        <v>0.0105988341282459</v>
      </c>
      <c r="D621" s="2" t="n">
        <f aca="false">D620+C621</f>
        <v>96.7888532594256</v>
      </c>
    </row>
    <row r="622" customFormat="false" ht="12.8" hidden="false" customHeight="false" outlineLevel="0" collapsed="false">
      <c r="A622" s="6" t="s">
        <v>624</v>
      </c>
      <c r="B622" s="1" t="n">
        <v>1</v>
      </c>
      <c r="C622" s="6" t="n">
        <f aca="false">B622/9435*100</f>
        <v>0.0105988341282459</v>
      </c>
      <c r="D622" s="2" t="n">
        <f aca="false">D621+C622</f>
        <v>96.7994520935538</v>
      </c>
    </row>
    <row r="623" customFormat="false" ht="12.8" hidden="false" customHeight="false" outlineLevel="0" collapsed="false">
      <c r="A623" s="6" t="s">
        <v>625</v>
      </c>
      <c r="B623" s="1" t="n">
        <v>1</v>
      </c>
      <c r="C623" s="6" t="n">
        <f aca="false">B623/9435*100</f>
        <v>0.0105988341282459</v>
      </c>
      <c r="D623" s="2" t="n">
        <f aca="false">D622+C623</f>
        <v>96.810050927682</v>
      </c>
    </row>
    <row r="624" customFormat="false" ht="12.8" hidden="false" customHeight="false" outlineLevel="0" collapsed="false">
      <c r="A624" s="6" t="s">
        <v>626</v>
      </c>
      <c r="B624" s="1" t="n">
        <v>1</v>
      </c>
      <c r="C624" s="6" t="n">
        <f aca="false">B624/9435*100</f>
        <v>0.0105988341282459</v>
      </c>
      <c r="D624" s="2" t="n">
        <f aca="false">D623+C624</f>
        <v>96.8206497618103</v>
      </c>
    </row>
    <row r="625" customFormat="false" ht="12.8" hidden="false" customHeight="false" outlineLevel="0" collapsed="false">
      <c r="A625" s="6" t="s">
        <v>627</v>
      </c>
      <c r="B625" s="1" t="n">
        <v>1</v>
      </c>
      <c r="C625" s="6" t="n">
        <f aca="false">B625/9435*100</f>
        <v>0.0105988341282459</v>
      </c>
      <c r="D625" s="2" t="n">
        <f aca="false">D624+C625</f>
        <v>96.8312485959385</v>
      </c>
    </row>
    <row r="626" customFormat="false" ht="12.8" hidden="false" customHeight="false" outlineLevel="0" collapsed="false">
      <c r="A626" s="6" t="s">
        <v>628</v>
      </c>
      <c r="B626" s="1" t="n">
        <v>1</v>
      </c>
      <c r="C626" s="6" t="n">
        <f aca="false">B626/9435*100</f>
        <v>0.0105988341282459</v>
      </c>
      <c r="D626" s="2" t="n">
        <f aca="false">D625+C626</f>
        <v>96.8418474300668</v>
      </c>
    </row>
    <row r="627" customFormat="false" ht="12.8" hidden="false" customHeight="false" outlineLevel="0" collapsed="false">
      <c r="A627" s="6" t="s">
        <v>629</v>
      </c>
      <c r="B627" s="1" t="n">
        <v>1</v>
      </c>
      <c r="C627" s="6" t="n">
        <f aca="false">B627/9435*100</f>
        <v>0.0105988341282459</v>
      </c>
      <c r="D627" s="2" t="n">
        <f aca="false">D626+C627</f>
        <v>96.852446264195</v>
      </c>
    </row>
    <row r="628" customFormat="false" ht="12.8" hidden="false" customHeight="false" outlineLevel="0" collapsed="false">
      <c r="A628" s="6" t="s">
        <v>630</v>
      </c>
      <c r="B628" s="1" t="n">
        <v>1</v>
      </c>
      <c r="C628" s="6" t="n">
        <f aca="false">B628/9435*100</f>
        <v>0.0105988341282459</v>
      </c>
      <c r="D628" s="2" t="n">
        <f aca="false">D627+C628</f>
        <v>96.8630450983233</v>
      </c>
    </row>
    <row r="629" customFormat="false" ht="12.8" hidden="false" customHeight="false" outlineLevel="0" collapsed="false">
      <c r="A629" s="6" t="s">
        <v>631</v>
      </c>
      <c r="B629" s="1" t="n">
        <v>1</v>
      </c>
      <c r="C629" s="6" t="n">
        <f aca="false">B629/9435*100</f>
        <v>0.0105988341282459</v>
      </c>
      <c r="D629" s="2" t="n">
        <f aca="false">D628+C629</f>
        <v>96.8736439324515</v>
      </c>
    </row>
    <row r="630" customFormat="false" ht="12.8" hidden="false" customHeight="false" outlineLevel="0" collapsed="false">
      <c r="A630" s="6" t="s">
        <v>632</v>
      </c>
      <c r="B630" s="1" t="n">
        <v>1</v>
      </c>
      <c r="C630" s="6" t="n">
        <f aca="false">B630/9435*100</f>
        <v>0.0105988341282459</v>
      </c>
      <c r="D630" s="2" t="n">
        <f aca="false">D629+C630</f>
        <v>96.8842427665798</v>
      </c>
    </row>
    <row r="631" customFormat="false" ht="12.8" hidden="false" customHeight="false" outlineLevel="0" collapsed="false">
      <c r="A631" s="6" t="s">
        <v>633</v>
      </c>
      <c r="B631" s="1" t="n">
        <v>1</v>
      </c>
      <c r="C631" s="6" t="n">
        <f aca="false">B631/9435*100</f>
        <v>0.0105988341282459</v>
      </c>
      <c r="D631" s="2" t="n">
        <f aca="false">D630+C631</f>
        <v>96.894841600708</v>
      </c>
    </row>
    <row r="632" customFormat="false" ht="12.8" hidden="false" customHeight="false" outlineLevel="0" collapsed="false">
      <c r="A632" s="6" t="s">
        <v>634</v>
      </c>
      <c r="B632" s="1" t="n">
        <v>1</v>
      </c>
      <c r="C632" s="6" t="n">
        <f aca="false">B632/9435*100</f>
        <v>0.0105988341282459</v>
      </c>
      <c r="D632" s="2" t="n">
        <f aca="false">D631+C632</f>
        <v>96.9054404348363</v>
      </c>
    </row>
    <row r="633" customFormat="false" ht="12.8" hidden="false" customHeight="false" outlineLevel="0" collapsed="false">
      <c r="A633" s="6" t="s">
        <v>635</v>
      </c>
      <c r="B633" s="1" t="n">
        <v>1</v>
      </c>
      <c r="C633" s="6" t="n">
        <f aca="false">B633/9435*100</f>
        <v>0.0105988341282459</v>
      </c>
      <c r="D633" s="2" t="n">
        <f aca="false">D632+C633</f>
        <v>96.9160392689645</v>
      </c>
    </row>
    <row r="634" customFormat="false" ht="12.8" hidden="false" customHeight="false" outlineLevel="0" collapsed="false">
      <c r="A634" s="6" t="s">
        <v>636</v>
      </c>
      <c r="B634" s="1" t="n">
        <v>1</v>
      </c>
      <c r="C634" s="6" t="n">
        <f aca="false">B634/9435*100</f>
        <v>0.0105988341282459</v>
      </c>
      <c r="D634" s="2" t="n">
        <f aca="false">D633+C634</f>
        <v>96.9266381030927</v>
      </c>
    </row>
    <row r="635" customFormat="false" ht="12.8" hidden="false" customHeight="false" outlineLevel="0" collapsed="false">
      <c r="A635" s="6" t="s">
        <v>637</v>
      </c>
      <c r="B635" s="1" t="n">
        <v>1</v>
      </c>
      <c r="C635" s="6" t="n">
        <f aca="false">B635/9435*100</f>
        <v>0.0105988341282459</v>
      </c>
      <c r="D635" s="2" t="n">
        <f aca="false">D634+C635</f>
        <v>96.937236937221</v>
      </c>
    </row>
    <row r="636" customFormat="false" ht="12.8" hidden="false" customHeight="false" outlineLevel="0" collapsed="false">
      <c r="A636" s="6" t="s">
        <v>638</v>
      </c>
      <c r="B636" s="1" t="n">
        <v>1</v>
      </c>
      <c r="C636" s="6" t="n">
        <f aca="false">B636/9435*100</f>
        <v>0.0105988341282459</v>
      </c>
      <c r="D636" s="2" t="n">
        <f aca="false">D635+C636</f>
        <v>96.9478357713492</v>
      </c>
    </row>
    <row r="637" customFormat="false" ht="12.8" hidden="false" customHeight="false" outlineLevel="0" collapsed="false">
      <c r="A637" s="6" t="s">
        <v>639</v>
      </c>
      <c r="B637" s="1" t="n">
        <v>1</v>
      </c>
      <c r="C637" s="6" t="n">
        <f aca="false">B637/9435*100</f>
        <v>0.0105988341282459</v>
      </c>
      <c r="D637" s="2" t="n">
        <f aca="false">D636+C637</f>
        <v>96.9584346054775</v>
      </c>
    </row>
    <row r="638" customFormat="false" ht="12.8" hidden="false" customHeight="false" outlineLevel="0" collapsed="false">
      <c r="A638" s="6" t="s">
        <v>640</v>
      </c>
      <c r="B638" s="1" t="n">
        <v>1</v>
      </c>
      <c r="C638" s="6" t="n">
        <f aca="false">B638/9435*100</f>
        <v>0.0105988341282459</v>
      </c>
      <c r="D638" s="2" t="n">
        <f aca="false">D637+C638</f>
        <v>96.9690334396057</v>
      </c>
    </row>
    <row r="639" customFormat="false" ht="12.8" hidden="false" customHeight="false" outlineLevel="0" collapsed="false">
      <c r="A639" s="6" t="s">
        <v>641</v>
      </c>
      <c r="B639" s="1" t="n">
        <v>1</v>
      </c>
      <c r="C639" s="6" t="n">
        <f aca="false">B639/9435*100</f>
        <v>0.0105988341282459</v>
      </c>
      <c r="D639" s="2" t="n">
        <f aca="false">D638+C639</f>
        <v>96.979632273734</v>
      </c>
    </row>
    <row r="640" customFormat="false" ht="12.8" hidden="false" customHeight="false" outlineLevel="0" collapsed="false">
      <c r="A640" s="6" t="s">
        <v>642</v>
      </c>
      <c r="B640" s="1" t="n">
        <v>1</v>
      </c>
      <c r="C640" s="6" t="n">
        <f aca="false">B640/9435*100</f>
        <v>0.0105988341282459</v>
      </c>
      <c r="D640" s="2" t="n">
        <f aca="false">D639+C640</f>
        <v>96.9902311078622</v>
      </c>
    </row>
    <row r="641" customFormat="false" ht="12.8" hidden="false" customHeight="false" outlineLevel="0" collapsed="false">
      <c r="A641" s="6" t="s">
        <v>643</v>
      </c>
      <c r="B641" s="1" t="n">
        <v>1</v>
      </c>
      <c r="C641" s="6" t="n">
        <f aca="false">B641/9435*100</f>
        <v>0.0105988341282459</v>
      </c>
      <c r="D641" s="2" t="n">
        <f aca="false">D640+C641</f>
        <v>97.0008299419905</v>
      </c>
    </row>
    <row r="642" customFormat="false" ht="12.8" hidden="false" customHeight="false" outlineLevel="0" collapsed="false">
      <c r="A642" s="6" t="s">
        <v>644</v>
      </c>
      <c r="B642" s="1" t="n">
        <v>1</v>
      </c>
      <c r="C642" s="6" t="n">
        <f aca="false">B642/9435*100</f>
        <v>0.0105988341282459</v>
      </c>
      <c r="D642" s="2" t="n">
        <f aca="false">D641+C642</f>
        <v>97.0114287761187</v>
      </c>
    </row>
    <row r="643" customFormat="false" ht="12.8" hidden="false" customHeight="false" outlineLevel="0" collapsed="false">
      <c r="A643" s="6" t="s">
        <v>645</v>
      </c>
      <c r="B643" s="1" t="n">
        <v>1</v>
      </c>
      <c r="C643" s="6" t="n">
        <f aca="false">B643/9435*100</f>
        <v>0.0105988341282459</v>
      </c>
      <c r="D643" s="2" t="n">
        <f aca="false">D642+C643</f>
        <v>97.022027610247</v>
      </c>
    </row>
    <row r="644" customFormat="false" ht="12.8" hidden="false" customHeight="false" outlineLevel="0" collapsed="false">
      <c r="A644" s="6" t="s">
        <v>646</v>
      </c>
      <c r="B644" s="1" t="n">
        <v>1</v>
      </c>
      <c r="C644" s="6" t="n">
        <f aca="false">B644/9435*100</f>
        <v>0.0105988341282459</v>
      </c>
      <c r="D644" s="2" t="n">
        <f aca="false">D643+C644</f>
        <v>97.0326264443752</v>
      </c>
    </row>
    <row r="645" customFormat="false" ht="12.8" hidden="false" customHeight="false" outlineLevel="0" collapsed="false">
      <c r="A645" s="6" t="s">
        <v>647</v>
      </c>
      <c r="B645" s="1" t="n">
        <v>1</v>
      </c>
      <c r="C645" s="6" t="n">
        <f aca="false">B645/9435*100</f>
        <v>0.0105988341282459</v>
      </c>
      <c r="D645" s="2" t="n">
        <f aca="false">D644+C645</f>
        <v>97.0432252785034</v>
      </c>
    </row>
    <row r="646" customFormat="false" ht="12.8" hidden="false" customHeight="false" outlineLevel="0" collapsed="false">
      <c r="A646" s="6" t="s">
        <v>648</v>
      </c>
      <c r="B646" s="1" t="n">
        <v>1</v>
      </c>
      <c r="C646" s="6" t="n">
        <f aca="false">B646/9435*100</f>
        <v>0.0105988341282459</v>
      </c>
      <c r="D646" s="2" t="n">
        <f aca="false">D645+C646</f>
        <v>97.0538241126317</v>
      </c>
    </row>
    <row r="647" customFormat="false" ht="12.8" hidden="false" customHeight="false" outlineLevel="0" collapsed="false">
      <c r="A647" s="6" t="s">
        <v>649</v>
      </c>
      <c r="B647" s="1" t="n">
        <v>1</v>
      </c>
      <c r="C647" s="6" t="n">
        <f aca="false">B647/9435*100</f>
        <v>0.0105988341282459</v>
      </c>
      <c r="D647" s="2" t="n">
        <f aca="false">D646+C647</f>
        <v>97.0644229467599</v>
      </c>
    </row>
    <row r="648" customFormat="false" ht="12.8" hidden="false" customHeight="false" outlineLevel="0" collapsed="false">
      <c r="A648" s="6" t="s">
        <v>650</v>
      </c>
      <c r="B648" s="1" t="n">
        <v>1</v>
      </c>
      <c r="C648" s="6" t="n">
        <f aca="false">B648/9435*100</f>
        <v>0.0105988341282459</v>
      </c>
      <c r="D648" s="2" t="n">
        <f aca="false">D647+C648</f>
        <v>97.0750217808882</v>
      </c>
    </row>
    <row r="649" customFormat="false" ht="12.8" hidden="false" customHeight="false" outlineLevel="0" collapsed="false">
      <c r="A649" s="6" t="s">
        <v>651</v>
      </c>
      <c r="B649" s="1" t="n">
        <v>1</v>
      </c>
      <c r="C649" s="6" t="n">
        <f aca="false">B649/9435*100</f>
        <v>0.0105988341282459</v>
      </c>
      <c r="D649" s="2" t="n">
        <f aca="false">D648+C649</f>
        <v>97.0856206150164</v>
      </c>
    </row>
    <row r="650" customFormat="false" ht="12.8" hidden="false" customHeight="false" outlineLevel="0" collapsed="false">
      <c r="A650" s="6" t="s">
        <v>652</v>
      </c>
      <c r="B650" s="1" t="n">
        <v>1</v>
      </c>
      <c r="C650" s="6" t="n">
        <f aca="false">B650/9435*100</f>
        <v>0.0105988341282459</v>
      </c>
      <c r="D650" s="2" t="n">
        <f aca="false">D649+C650</f>
        <v>97.0962194491447</v>
      </c>
    </row>
    <row r="651" customFormat="false" ht="12.8" hidden="false" customHeight="false" outlineLevel="0" collapsed="false">
      <c r="A651" s="6" t="s">
        <v>653</v>
      </c>
      <c r="B651" s="1" t="n">
        <v>1</v>
      </c>
      <c r="C651" s="6" t="n">
        <f aca="false">B651/9435*100</f>
        <v>0.0105988341282459</v>
      </c>
      <c r="D651" s="2" t="n">
        <f aca="false">D650+C651</f>
        <v>97.1068182832729</v>
      </c>
    </row>
    <row r="652" customFormat="false" ht="12.8" hidden="false" customHeight="false" outlineLevel="0" collapsed="false">
      <c r="A652" s="6" t="s">
        <v>654</v>
      </c>
      <c r="B652" s="1" t="n">
        <v>1</v>
      </c>
      <c r="C652" s="6" t="n">
        <f aca="false">B652/9435*100</f>
        <v>0.0105988341282459</v>
      </c>
      <c r="D652" s="2" t="n">
        <f aca="false">D651+C652</f>
        <v>97.1174171174012</v>
      </c>
    </row>
    <row r="653" customFormat="false" ht="12.8" hidden="false" customHeight="false" outlineLevel="0" collapsed="false">
      <c r="A653" s="6" t="s">
        <v>655</v>
      </c>
      <c r="B653" s="1" t="n">
        <v>1</v>
      </c>
      <c r="C653" s="6" t="n">
        <f aca="false">B653/9435*100</f>
        <v>0.0105988341282459</v>
      </c>
      <c r="D653" s="2" t="n">
        <f aca="false">D652+C653</f>
        <v>97.1280159515294</v>
      </c>
    </row>
    <row r="654" customFormat="false" ht="12.8" hidden="false" customHeight="false" outlineLevel="0" collapsed="false">
      <c r="A654" s="6" t="s">
        <v>656</v>
      </c>
      <c r="B654" s="1" t="n">
        <v>1</v>
      </c>
      <c r="C654" s="6" t="n">
        <f aca="false">B654/9435*100</f>
        <v>0.0105988341282459</v>
      </c>
      <c r="D654" s="2" t="n">
        <f aca="false">D653+C654</f>
        <v>97.1386147856576</v>
      </c>
    </row>
    <row r="655" customFormat="false" ht="12.8" hidden="false" customHeight="false" outlineLevel="0" collapsed="false">
      <c r="A655" s="6" t="s">
        <v>657</v>
      </c>
      <c r="B655" s="1" t="n">
        <v>1</v>
      </c>
      <c r="C655" s="6" t="n">
        <f aca="false">B655/9435*100</f>
        <v>0.0105988341282459</v>
      </c>
      <c r="D655" s="2" t="n">
        <f aca="false">D654+C655</f>
        <v>97.1492136197859</v>
      </c>
    </row>
    <row r="656" customFormat="false" ht="12.8" hidden="false" customHeight="false" outlineLevel="0" collapsed="false">
      <c r="A656" s="6" t="s">
        <v>658</v>
      </c>
      <c r="B656" s="1" t="n">
        <v>1</v>
      </c>
      <c r="C656" s="6" t="n">
        <f aca="false">B656/9435*100</f>
        <v>0.0105988341282459</v>
      </c>
      <c r="D656" s="2" t="n">
        <f aca="false">D655+C656</f>
        <v>97.1598124539142</v>
      </c>
    </row>
    <row r="657" customFormat="false" ht="12.8" hidden="false" customHeight="false" outlineLevel="0" collapsed="false">
      <c r="A657" s="6" t="s">
        <v>659</v>
      </c>
      <c r="B657" s="1" t="n">
        <v>1</v>
      </c>
      <c r="C657" s="6" t="n">
        <f aca="false">B657/9435*100</f>
        <v>0.0105988341282459</v>
      </c>
      <c r="D657" s="2" t="n">
        <f aca="false">D656+C657</f>
        <v>97.1704112880424</v>
      </c>
    </row>
    <row r="658" customFormat="false" ht="12.8" hidden="false" customHeight="false" outlineLevel="0" collapsed="false">
      <c r="A658" s="6" t="s">
        <v>660</v>
      </c>
      <c r="B658" s="1" t="n">
        <v>1</v>
      </c>
      <c r="C658" s="6" t="n">
        <f aca="false">B658/9435*100</f>
        <v>0.0105988341282459</v>
      </c>
      <c r="D658" s="2" t="n">
        <f aca="false">D657+C658</f>
        <v>97.1810101221706</v>
      </c>
    </row>
    <row r="659" customFormat="false" ht="12.8" hidden="false" customHeight="false" outlineLevel="0" collapsed="false">
      <c r="A659" s="6" t="s">
        <v>661</v>
      </c>
      <c r="B659" s="1" t="n">
        <v>1</v>
      </c>
      <c r="C659" s="6" t="n">
        <f aca="false">B659/9435*100</f>
        <v>0.0105988341282459</v>
      </c>
      <c r="D659" s="2" t="n">
        <f aca="false">D658+C659</f>
        <v>97.1916089562989</v>
      </c>
    </row>
    <row r="660" customFormat="false" ht="12.8" hidden="false" customHeight="false" outlineLevel="0" collapsed="false">
      <c r="A660" s="6" t="s">
        <v>662</v>
      </c>
      <c r="B660" s="1" t="n">
        <v>1</v>
      </c>
      <c r="C660" s="6" t="n">
        <f aca="false">B660/9435*100</f>
        <v>0.0105988341282459</v>
      </c>
      <c r="D660" s="2" t="n">
        <f aca="false">D659+C660</f>
        <v>97.2022077904271</v>
      </c>
    </row>
    <row r="661" customFormat="false" ht="12.8" hidden="false" customHeight="false" outlineLevel="0" collapsed="false">
      <c r="A661" s="6" t="s">
        <v>663</v>
      </c>
      <c r="B661" s="1" t="n">
        <v>1</v>
      </c>
      <c r="C661" s="6" t="n">
        <f aca="false">B661/9435*100</f>
        <v>0.0105988341282459</v>
      </c>
      <c r="D661" s="2" t="n">
        <f aca="false">D660+C661</f>
        <v>97.2128066245554</v>
      </c>
    </row>
    <row r="662" customFormat="false" ht="12.8" hidden="false" customHeight="false" outlineLevel="0" collapsed="false">
      <c r="A662" s="6" t="s">
        <v>664</v>
      </c>
      <c r="B662" s="1" t="n">
        <v>1</v>
      </c>
      <c r="C662" s="6" t="n">
        <f aca="false">B662/9435*100</f>
        <v>0.0105988341282459</v>
      </c>
      <c r="D662" s="2" t="n">
        <f aca="false">D661+C662</f>
        <v>97.2234054586836</v>
      </c>
    </row>
    <row r="663" customFormat="false" ht="12.8" hidden="false" customHeight="false" outlineLevel="0" collapsed="false">
      <c r="A663" s="6" t="s">
        <v>665</v>
      </c>
      <c r="B663" s="1" t="n">
        <v>1</v>
      </c>
      <c r="C663" s="6" t="n">
        <f aca="false">B663/9435*100</f>
        <v>0.0105988341282459</v>
      </c>
      <c r="D663" s="2" t="n">
        <f aca="false">D662+C663</f>
        <v>97.2340042928119</v>
      </c>
    </row>
    <row r="664" customFormat="false" ht="12.8" hidden="false" customHeight="false" outlineLevel="0" collapsed="false">
      <c r="A664" s="6" t="s">
        <v>666</v>
      </c>
      <c r="B664" s="1" t="n">
        <v>1</v>
      </c>
      <c r="C664" s="6" t="n">
        <f aca="false">B664/9435*100</f>
        <v>0.0105988341282459</v>
      </c>
      <c r="D664" s="2" t="n">
        <f aca="false">D663+C664</f>
        <v>97.2446031269401</v>
      </c>
    </row>
    <row r="665" customFormat="false" ht="12.8" hidden="false" customHeight="false" outlineLevel="0" collapsed="false">
      <c r="A665" s="6" t="s">
        <v>667</v>
      </c>
      <c r="B665" s="1" t="n">
        <v>1</v>
      </c>
      <c r="C665" s="6" t="n">
        <f aca="false">B665/9435*100</f>
        <v>0.0105988341282459</v>
      </c>
      <c r="D665" s="2" t="n">
        <f aca="false">D664+C665</f>
        <v>97.2552019610684</v>
      </c>
    </row>
    <row r="666" customFormat="false" ht="12.8" hidden="false" customHeight="false" outlineLevel="0" collapsed="false">
      <c r="A666" s="6" t="s">
        <v>668</v>
      </c>
      <c r="B666" s="1" t="n">
        <v>1</v>
      </c>
      <c r="C666" s="6" t="n">
        <f aca="false">B666/9435*100</f>
        <v>0.0105988341282459</v>
      </c>
      <c r="D666" s="2" t="n">
        <f aca="false">D665+C666</f>
        <v>97.2658007951966</v>
      </c>
    </row>
    <row r="667" customFormat="false" ht="12.8" hidden="false" customHeight="false" outlineLevel="0" collapsed="false">
      <c r="A667" s="6" t="s">
        <v>669</v>
      </c>
      <c r="B667" s="1" t="n">
        <v>1</v>
      </c>
      <c r="C667" s="6" t="n">
        <f aca="false">B667/9435*100</f>
        <v>0.0105988341282459</v>
      </c>
      <c r="D667" s="2" t="n">
        <f aca="false">D666+C667</f>
        <v>97.2763996293248</v>
      </c>
    </row>
    <row r="668" customFormat="false" ht="12.8" hidden="false" customHeight="false" outlineLevel="0" collapsed="false">
      <c r="A668" s="6" t="s">
        <v>670</v>
      </c>
      <c r="B668" s="1" t="n">
        <v>1</v>
      </c>
      <c r="C668" s="6" t="n">
        <f aca="false">B668/9435*100</f>
        <v>0.0105988341282459</v>
      </c>
      <c r="D668" s="2" t="n">
        <f aca="false">D667+C668</f>
        <v>97.2869984634531</v>
      </c>
    </row>
    <row r="669" customFormat="false" ht="12.8" hidden="false" customHeight="false" outlineLevel="0" collapsed="false">
      <c r="A669" s="6" t="s">
        <v>671</v>
      </c>
      <c r="B669" s="1" t="n">
        <v>1</v>
      </c>
      <c r="C669" s="6" t="n">
        <f aca="false">B669/9435*100</f>
        <v>0.0105988341282459</v>
      </c>
      <c r="D669" s="2" t="n">
        <f aca="false">D668+C669</f>
        <v>97.2975972975813</v>
      </c>
    </row>
    <row r="670" customFormat="false" ht="12.8" hidden="false" customHeight="false" outlineLevel="0" collapsed="false">
      <c r="A670" s="6" t="s">
        <v>672</v>
      </c>
      <c r="B670" s="1" t="n">
        <v>1</v>
      </c>
      <c r="C670" s="6" t="n">
        <f aca="false">B670/9435*100</f>
        <v>0.0105988341282459</v>
      </c>
      <c r="D670" s="2" t="n">
        <f aca="false">D669+C670</f>
        <v>97.3081961317096</v>
      </c>
    </row>
    <row r="671" customFormat="false" ht="12.8" hidden="false" customHeight="false" outlineLevel="0" collapsed="false">
      <c r="A671" s="6" t="s">
        <v>673</v>
      </c>
      <c r="B671" s="1" t="n">
        <v>1</v>
      </c>
      <c r="C671" s="6" t="n">
        <f aca="false">B671/9435*100</f>
        <v>0.0105988341282459</v>
      </c>
      <c r="D671" s="2" t="n">
        <f aca="false">D670+C671</f>
        <v>97.3187949658378</v>
      </c>
    </row>
    <row r="672" customFormat="false" ht="12.8" hidden="false" customHeight="false" outlineLevel="0" collapsed="false">
      <c r="A672" s="6" t="s">
        <v>674</v>
      </c>
      <c r="B672" s="1" t="n">
        <v>1</v>
      </c>
      <c r="C672" s="6" t="n">
        <f aca="false">B672/9435*100</f>
        <v>0.0105988341282459</v>
      </c>
      <c r="D672" s="2" t="n">
        <f aca="false">D671+C672</f>
        <v>97.3293937999661</v>
      </c>
    </row>
    <row r="673" customFormat="false" ht="12.8" hidden="false" customHeight="false" outlineLevel="0" collapsed="false">
      <c r="A673" s="6" t="s">
        <v>675</v>
      </c>
      <c r="B673" s="1" t="n">
        <v>1</v>
      </c>
      <c r="C673" s="6" t="n">
        <f aca="false">B673/9435*100</f>
        <v>0.0105988341282459</v>
      </c>
      <c r="D673" s="2" t="n">
        <f aca="false">D672+C673</f>
        <v>97.3399926340943</v>
      </c>
    </row>
    <row r="674" customFormat="false" ht="12.8" hidden="false" customHeight="false" outlineLevel="0" collapsed="false">
      <c r="A674" s="6" t="s">
        <v>676</v>
      </c>
      <c r="B674" s="1" t="n">
        <v>1</v>
      </c>
      <c r="C674" s="6" t="n">
        <f aca="false">B674/9435*100</f>
        <v>0.0105988341282459</v>
      </c>
      <c r="D674" s="2" t="n">
        <f aca="false">D673+C674</f>
        <v>97.3505914682226</v>
      </c>
    </row>
    <row r="675" customFormat="false" ht="12.8" hidden="false" customHeight="false" outlineLevel="0" collapsed="false">
      <c r="A675" s="6" t="s">
        <v>677</v>
      </c>
      <c r="B675" s="1" t="n">
        <v>1</v>
      </c>
      <c r="C675" s="6" t="n">
        <f aca="false">B675/9435*100</f>
        <v>0.0105988341282459</v>
      </c>
      <c r="D675" s="2" t="n">
        <f aca="false">D674+C675</f>
        <v>97.3611903023508</v>
      </c>
    </row>
    <row r="676" customFormat="false" ht="12.8" hidden="false" customHeight="false" outlineLevel="0" collapsed="false">
      <c r="A676" s="6" t="s">
        <v>678</v>
      </c>
      <c r="B676" s="1" t="n">
        <v>1</v>
      </c>
      <c r="C676" s="6" t="n">
        <f aca="false">B676/9435*100</f>
        <v>0.0105988341282459</v>
      </c>
      <c r="D676" s="2" t="n">
        <f aca="false">D675+C676</f>
        <v>97.3717891364791</v>
      </c>
    </row>
    <row r="677" customFormat="false" ht="12.8" hidden="false" customHeight="false" outlineLevel="0" collapsed="false">
      <c r="A677" s="6" t="s">
        <v>679</v>
      </c>
      <c r="B677" s="1" t="n">
        <v>1</v>
      </c>
      <c r="C677" s="6" t="n">
        <f aca="false">B677/9435*100</f>
        <v>0.0105988341282459</v>
      </c>
      <c r="D677" s="2" t="n">
        <f aca="false">D676+C677</f>
        <v>97.3823879706073</v>
      </c>
    </row>
    <row r="678" customFormat="false" ht="12.8" hidden="false" customHeight="false" outlineLevel="0" collapsed="false">
      <c r="A678" s="6" t="s">
        <v>680</v>
      </c>
      <c r="B678" s="1" t="n">
        <v>1</v>
      </c>
      <c r="C678" s="6" t="n">
        <f aca="false">B678/9435*100</f>
        <v>0.0105988341282459</v>
      </c>
      <c r="D678" s="2" t="n">
        <f aca="false">D677+C678</f>
        <v>97.3929868047355</v>
      </c>
    </row>
    <row r="679" customFormat="false" ht="12.8" hidden="false" customHeight="false" outlineLevel="0" collapsed="false">
      <c r="A679" s="6" t="s">
        <v>681</v>
      </c>
      <c r="B679" s="1" t="n">
        <v>1</v>
      </c>
      <c r="C679" s="6" t="n">
        <f aca="false">B679/9435*100</f>
        <v>0.0105988341282459</v>
      </c>
      <c r="D679" s="2" t="n">
        <f aca="false">D678+C679</f>
        <v>97.4035856388638</v>
      </c>
    </row>
    <row r="680" customFormat="false" ht="12.8" hidden="false" customHeight="false" outlineLevel="0" collapsed="false">
      <c r="A680" s="6" t="s">
        <v>682</v>
      </c>
      <c r="B680" s="1" t="n">
        <v>1</v>
      </c>
      <c r="C680" s="6" t="n">
        <f aca="false">B680/9435*100</f>
        <v>0.0105988341282459</v>
      </c>
      <c r="D680" s="2" t="n">
        <f aca="false">D679+C680</f>
        <v>97.414184472992</v>
      </c>
    </row>
    <row r="681" customFormat="false" ht="12.8" hidden="false" customHeight="false" outlineLevel="0" collapsed="false">
      <c r="A681" s="6" t="s">
        <v>683</v>
      </c>
      <c r="B681" s="1" t="n">
        <v>1</v>
      </c>
      <c r="C681" s="6" t="n">
        <f aca="false">B681/9435*100</f>
        <v>0.0105988341282459</v>
      </c>
      <c r="D681" s="2" t="n">
        <f aca="false">D680+C681</f>
        <v>97.4247833071203</v>
      </c>
    </row>
    <row r="682" customFormat="false" ht="12.8" hidden="false" customHeight="false" outlineLevel="0" collapsed="false">
      <c r="A682" s="6" t="s">
        <v>684</v>
      </c>
      <c r="B682" s="1" t="n">
        <v>1</v>
      </c>
      <c r="C682" s="6" t="n">
        <f aca="false">B682/9435*100</f>
        <v>0.0105988341282459</v>
      </c>
      <c r="D682" s="2" t="n">
        <f aca="false">D681+C682</f>
        <v>97.4353821412485</v>
      </c>
    </row>
    <row r="683" customFormat="false" ht="12.8" hidden="false" customHeight="false" outlineLevel="0" collapsed="false">
      <c r="A683" s="6" t="s">
        <v>685</v>
      </c>
      <c r="B683" s="1" t="n">
        <v>1</v>
      </c>
      <c r="C683" s="6" t="n">
        <f aca="false">B683/9435*100</f>
        <v>0.0105988341282459</v>
      </c>
      <c r="D683" s="2" t="n">
        <f aca="false">D682+C683</f>
        <v>97.4459809753768</v>
      </c>
    </row>
    <row r="684" customFormat="false" ht="12.8" hidden="false" customHeight="false" outlineLevel="0" collapsed="false">
      <c r="A684" s="6" t="s">
        <v>686</v>
      </c>
      <c r="B684" s="1" t="n">
        <v>1</v>
      </c>
      <c r="C684" s="6" t="n">
        <f aca="false">B684/9435*100</f>
        <v>0.0105988341282459</v>
      </c>
      <c r="D684" s="2" t="n">
        <f aca="false">D683+C684</f>
        <v>97.456579809505</v>
      </c>
    </row>
    <row r="685" customFormat="false" ht="12.8" hidden="false" customHeight="false" outlineLevel="0" collapsed="false">
      <c r="A685" s="6" t="s">
        <v>687</v>
      </c>
      <c r="B685" s="1" t="n">
        <v>1</v>
      </c>
      <c r="C685" s="6" t="n">
        <f aca="false">B685/9435*100</f>
        <v>0.0105988341282459</v>
      </c>
      <c r="D685" s="2" t="n">
        <f aca="false">D684+C685</f>
        <v>97.4671786436333</v>
      </c>
    </row>
    <row r="686" customFormat="false" ht="12.8" hidden="false" customHeight="false" outlineLevel="0" collapsed="false">
      <c r="A686" s="6" t="s">
        <v>688</v>
      </c>
      <c r="B686" s="1" t="n">
        <v>1</v>
      </c>
      <c r="C686" s="6" t="n">
        <f aca="false">B686/9435*100</f>
        <v>0.0105988341282459</v>
      </c>
      <c r="D686" s="2" t="n">
        <f aca="false">D685+C686</f>
        <v>97.4777774777615</v>
      </c>
    </row>
    <row r="687" customFormat="false" ht="12.8" hidden="false" customHeight="false" outlineLevel="0" collapsed="false">
      <c r="A687" s="6" t="s">
        <v>689</v>
      </c>
      <c r="B687" s="1" t="n">
        <v>1</v>
      </c>
      <c r="C687" s="6" t="n">
        <f aca="false">B687/9435*100</f>
        <v>0.0105988341282459</v>
      </c>
      <c r="D687" s="2" t="n">
        <f aca="false">D686+C687</f>
        <v>97.4883763118898</v>
      </c>
    </row>
    <row r="688" customFormat="false" ht="12.8" hidden="false" customHeight="false" outlineLevel="0" collapsed="false">
      <c r="A688" s="6" t="s">
        <v>690</v>
      </c>
      <c r="B688" s="1" t="n">
        <v>1</v>
      </c>
      <c r="C688" s="6" t="n">
        <f aca="false">B688/9435*100</f>
        <v>0.0105988341282459</v>
      </c>
      <c r="D688" s="2" t="n">
        <f aca="false">D687+C688</f>
        <v>97.498975146018</v>
      </c>
    </row>
    <row r="689" customFormat="false" ht="12.8" hidden="false" customHeight="false" outlineLevel="0" collapsed="false">
      <c r="A689" s="6" t="s">
        <v>691</v>
      </c>
      <c r="B689" s="1" t="n">
        <v>1</v>
      </c>
      <c r="C689" s="6" t="n">
        <f aca="false">B689/9435*100</f>
        <v>0.0105988341282459</v>
      </c>
      <c r="D689" s="2" t="n">
        <f aca="false">D688+C689</f>
        <v>97.5095739801462</v>
      </c>
    </row>
    <row r="690" customFormat="false" ht="12.8" hidden="false" customHeight="false" outlineLevel="0" collapsed="false">
      <c r="A690" s="6" t="s">
        <v>692</v>
      </c>
      <c r="B690" s="1" t="n">
        <v>1</v>
      </c>
      <c r="C690" s="6" t="n">
        <f aca="false">B690/9435*100</f>
        <v>0.0105988341282459</v>
      </c>
      <c r="D690" s="2" t="n">
        <f aca="false">D689+C690</f>
        <v>97.5201728142745</v>
      </c>
    </row>
    <row r="691" customFormat="false" ht="12.8" hidden="false" customHeight="false" outlineLevel="0" collapsed="false">
      <c r="A691" s="6" t="s">
        <v>693</v>
      </c>
      <c r="B691" s="1" t="n">
        <v>1</v>
      </c>
      <c r="C691" s="6" t="n">
        <f aca="false">B691/9435*100</f>
        <v>0.0105988341282459</v>
      </c>
      <c r="D691" s="2" t="n">
        <f aca="false">D690+C691</f>
        <v>97.5307716484027</v>
      </c>
    </row>
    <row r="692" customFormat="false" ht="12.8" hidden="false" customHeight="false" outlineLevel="0" collapsed="false">
      <c r="A692" s="6" t="s">
        <v>694</v>
      </c>
      <c r="B692" s="1" t="n">
        <v>1</v>
      </c>
      <c r="C692" s="6" t="n">
        <f aca="false">B692/9435*100</f>
        <v>0.0105988341282459</v>
      </c>
      <c r="D692" s="2" t="n">
        <f aca="false">D691+C692</f>
        <v>97.541370482531</v>
      </c>
    </row>
    <row r="693" customFormat="false" ht="12.8" hidden="false" customHeight="false" outlineLevel="0" collapsed="false">
      <c r="A693" s="6" t="s">
        <v>695</v>
      </c>
      <c r="B693" s="1" t="n">
        <v>1</v>
      </c>
      <c r="C693" s="6" t="n">
        <f aca="false">B693/9435*100</f>
        <v>0.0105988341282459</v>
      </c>
      <c r="D693" s="2" t="n">
        <f aca="false">D692+C693</f>
        <v>97.5519693166592</v>
      </c>
    </row>
    <row r="694" customFormat="false" ht="12.8" hidden="false" customHeight="false" outlineLevel="0" collapsed="false">
      <c r="A694" s="6" t="s">
        <v>696</v>
      </c>
      <c r="B694" s="1" t="n">
        <v>1</v>
      </c>
      <c r="C694" s="6" t="n">
        <f aca="false">B694/9435*100</f>
        <v>0.0105988341282459</v>
      </c>
      <c r="D694" s="2" t="n">
        <f aca="false">D693+C694</f>
        <v>97.5625681507875</v>
      </c>
    </row>
    <row r="695" customFormat="false" ht="12.8" hidden="false" customHeight="false" outlineLevel="0" collapsed="false">
      <c r="A695" s="6" t="s">
        <v>697</v>
      </c>
      <c r="B695" s="1" t="n">
        <v>1</v>
      </c>
      <c r="C695" s="6" t="n">
        <f aca="false">B695/9435*100</f>
        <v>0.0105988341282459</v>
      </c>
      <c r="D695" s="2" t="n">
        <f aca="false">D694+C695</f>
        <v>97.5731669849157</v>
      </c>
    </row>
    <row r="696" customFormat="false" ht="12.8" hidden="false" customHeight="false" outlineLevel="0" collapsed="false">
      <c r="A696" s="6" t="s">
        <v>698</v>
      </c>
      <c r="B696" s="1" t="n">
        <v>1</v>
      </c>
      <c r="C696" s="6" t="n">
        <f aca="false">B696/9435*100</f>
        <v>0.0105988341282459</v>
      </c>
      <c r="D696" s="2" t="n">
        <f aca="false">D695+C696</f>
        <v>97.583765819044</v>
      </c>
    </row>
    <row r="697" customFormat="false" ht="12.8" hidden="false" customHeight="false" outlineLevel="0" collapsed="false">
      <c r="A697" s="6" t="s">
        <v>699</v>
      </c>
      <c r="B697" s="1" t="n">
        <v>1</v>
      </c>
      <c r="C697" s="6" t="n">
        <f aca="false">B697/9435*100</f>
        <v>0.0105988341282459</v>
      </c>
      <c r="D697" s="2" t="n">
        <f aca="false">D696+C697</f>
        <v>97.5943646531722</v>
      </c>
    </row>
    <row r="698" customFormat="false" ht="12.8" hidden="false" customHeight="false" outlineLevel="0" collapsed="false">
      <c r="A698" s="6" t="s">
        <v>700</v>
      </c>
      <c r="B698" s="1" t="n">
        <v>1</v>
      </c>
      <c r="C698" s="6" t="n">
        <f aca="false">B698/9435*100</f>
        <v>0.0105988341282459</v>
      </c>
      <c r="D698" s="2" t="n">
        <f aca="false">D697+C698</f>
        <v>97.6049634873005</v>
      </c>
    </row>
    <row r="699" customFormat="false" ht="12.8" hidden="false" customHeight="false" outlineLevel="0" collapsed="false">
      <c r="A699" s="6" t="s">
        <v>701</v>
      </c>
      <c r="B699" s="1" t="n">
        <v>1</v>
      </c>
      <c r="C699" s="6" t="n">
        <f aca="false">B699/9435*100</f>
        <v>0.0105988341282459</v>
      </c>
      <c r="D699" s="2" t="n">
        <f aca="false">D698+C699</f>
        <v>97.6155623214287</v>
      </c>
    </row>
    <row r="700" customFormat="false" ht="12.8" hidden="false" customHeight="false" outlineLevel="0" collapsed="false">
      <c r="A700" s="6" t="s">
        <v>702</v>
      </c>
      <c r="B700" s="1" t="n">
        <v>1</v>
      </c>
      <c r="C700" s="6" t="n">
        <f aca="false">B700/9435*100</f>
        <v>0.0105988341282459</v>
      </c>
      <c r="D700" s="2" t="n">
        <f aca="false">D699+C700</f>
        <v>97.6261611555569</v>
      </c>
    </row>
    <row r="701" customFormat="false" ht="12.8" hidden="false" customHeight="false" outlineLevel="0" collapsed="false">
      <c r="A701" s="6" t="s">
        <v>703</v>
      </c>
      <c r="B701" s="1" t="n">
        <v>1</v>
      </c>
      <c r="C701" s="6" t="n">
        <f aca="false">B701/9435*100</f>
        <v>0.0105988341282459</v>
      </c>
      <c r="D701" s="2" t="n">
        <f aca="false">D700+C701</f>
        <v>97.6367599896852</v>
      </c>
    </row>
    <row r="702" customFormat="false" ht="12.8" hidden="false" customHeight="false" outlineLevel="0" collapsed="false">
      <c r="A702" s="6" t="s">
        <v>704</v>
      </c>
      <c r="B702" s="1" t="n">
        <v>1</v>
      </c>
      <c r="C702" s="6" t="n">
        <f aca="false">B702/9435*100</f>
        <v>0.0105988341282459</v>
      </c>
      <c r="D702" s="2" t="n">
        <f aca="false">D701+C702</f>
        <v>97.6473588238134</v>
      </c>
    </row>
    <row r="703" customFormat="false" ht="12.8" hidden="false" customHeight="false" outlineLevel="0" collapsed="false">
      <c r="A703" s="6" t="s">
        <v>705</v>
      </c>
      <c r="B703" s="1" t="n">
        <v>1</v>
      </c>
      <c r="C703" s="6" t="n">
        <f aca="false">B703/9435*100</f>
        <v>0.0105988341282459</v>
      </c>
      <c r="D703" s="2" t="n">
        <f aca="false">D702+C703</f>
        <v>97.6579576579417</v>
      </c>
    </row>
    <row r="704" customFormat="false" ht="12.8" hidden="false" customHeight="false" outlineLevel="0" collapsed="false">
      <c r="A704" s="6" t="s">
        <v>706</v>
      </c>
      <c r="B704" s="1" t="n">
        <v>1</v>
      </c>
      <c r="C704" s="6" t="n">
        <f aca="false">B704/9435*100</f>
        <v>0.0105988341282459</v>
      </c>
      <c r="D704" s="2" t="n">
        <f aca="false">D703+C704</f>
        <v>97.6685564920699</v>
      </c>
    </row>
    <row r="705" customFormat="false" ht="12.8" hidden="false" customHeight="false" outlineLevel="0" collapsed="false">
      <c r="A705" s="6" t="s">
        <v>707</v>
      </c>
      <c r="B705" s="1" t="n">
        <v>1</v>
      </c>
      <c r="C705" s="6" t="n">
        <f aca="false">B705/9435*100</f>
        <v>0.0105988341282459</v>
      </c>
      <c r="D705" s="2" t="n">
        <f aca="false">D704+C705</f>
        <v>97.6791553261982</v>
      </c>
    </row>
    <row r="706" customFormat="false" ht="12.8" hidden="false" customHeight="false" outlineLevel="0" collapsed="false">
      <c r="A706" s="6" t="s">
        <v>708</v>
      </c>
      <c r="B706" s="1" t="n">
        <v>1</v>
      </c>
      <c r="C706" s="6" t="n">
        <f aca="false">B706/9435*100</f>
        <v>0.0105988341282459</v>
      </c>
      <c r="D706" s="2" t="n">
        <f aca="false">D705+C706</f>
        <v>97.6897541603264</v>
      </c>
    </row>
    <row r="707" customFormat="false" ht="12.8" hidden="false" customHeight="false" outlineLevel="0" collapsed="false">
      <c r="A707" s="6" t="s">
        <v>709</v>
      </c>
      <c r="B707" s="1" t="n">
        <v>1</v>
      </c>
      <c r="C707" s="6" t="n">
        <f aca="false">B707/9435*100</f>
        <v>0.0105988341282459</v>
      </c>
      <c r="D707" s="2" t="n">
        <f aca="false">D706+C707</f>
        <v>97.7003529944547</v>
      </c>
    </row>
    <row r="708" customFormat="false" ht="12.8" hidden="false" customHeight="false" outlineLevel="0" collapsed="false">
      <c r="A708" s="6" t="s">
        <v>710</v>
      </c>
      <c r="B708" s="1" t="n">
        <v>1</v>
      </c>
      <c r="C708" s="6" t="n">
        <f aca="false">B708/9435*100</f>
        <v>0.0105988341282459</v>
      </c>
      <c r="D708" s="2" t="n">
        <f aca="false">D707+C708</f>
        <v>97.7109518285829</v>
      </c>
    </row>
    <row r="709" customFormat="false" ht="12.8" hidden="false" customHeight="false" outlineLevel="0" collapsed="false">
      <c r="A709" s="6" t="s">
        <v>711</v>
      </c>
      <c r="B709" s="1" t="n">
        <v>1</v>
      </c>
      <c r="C709" s="6" t="n">
        <f aca="false">B709/9435*100</f>
        <v>0.0105988341282459</v>
      </c>
      <c r="D709" s="2" t="n">
        <f aca="false">D708+C709</f>
        <v>97.7215506627111</v>
      </c>
    </row>
    <row r="710" customFormat="false" ht="12.8" hidden="false" customHeight="false" outlineLevel="0" collapsed="false">
      <c r="A710" s="6" t="s">
        <v>712</v>
      </c>
      <c r="B710" s="1" t="n">
        <v>1</v>
      </c>
      <c r="C710" s="6" t="n">
        <f aca="false">B710/9435*100</f>
        <v>0.0105988341282459</v>
      </c>
      <c r="D710" s="2" t="n">
        <f aca="false">D709+C710</f>
        <v>97.7321494968394</v>
      </c>
    </row>
    <row r="711" customFormat="false" ht="12.8" hidden="false" customHeight="false" outlineLevel="0" collapsed="false">
      <c r="A711" s="6" t="s">
        <v>713</v>
      </c>
      <c r="B711" s="1" t="n">
        <v>1</v>
      </c>
      <c r="C711" s="6" t="n">
        <f aca="false">B711/9435*100</f>
        <v>0.0105988341282459</v>
      </c>
      <c r="D711" s="2" t="n">
        <f aca="false">D710+C711</f>
        <v>97.7427483309677</v>
      </c>
    </row>
    <row r="712" customFormat="false" ht="12.8" hidden="false" customHeight="false" outlineLevel="0" collapsed="false">
      <c r="A712" s="6" t="s">
        <v>714</v>
      </c>
      <c r="B712" s="1" t="n">
        <v>1</v>
      </c>
      <c r="C712" s="6" t="n">
        <f aca="false">B712/9435*100</f>
        <v>0.0105988341282459</v>
      </c>
      <c r="D712" s="2" t="n">
        <f aca="false">D711+C712</f>
        <v>97.7533471650959</v>
      </c>
    </row>
    <row r="713" customFormat="false" ht="12.8" hidden="false" customHeight="false" outlineLevel="0" collapsed="false">
      <c r="A713" s="6" t="s">
        <v>715</v>
      </c>
      <c r="B713" s="1" t="n">
        <v>1</v>
      </c>
      <c r="C713" s="6" t="n">
        <f aca="false">B713/9435*100</f>
        <v>0.0105988341282459</v>
      </c>
      <c r="D713" s="2" t="n">
        <f aca="false">D712+C713</f>
        <v>97.7639459992241</v>
      </c>
    </row>
    <row r="714" customFormat="false" ht="12.8" hidden="false" customHeight="false" outlineLevel="0" collapsed="false">
      <c r="A714" s="6" t="s">
        <v>716</v>
      </c>
      <c r="B714" s="1" t="n">
        <v>1</v>
      </c>
      <c r="C714" s="6" t="n">
        <f aca="false">B714/9435*100</f>
        <v>0.0105988341282459</v>
      </c>
      <c r="D714" s="2" t="n">
        <f aca="false">D713+C714</f>
        <v>97.7745448333524</v>
      </c>
    </row>
    <row r="715" customFormat="false" ht="12.8" hidden="false" customHeight="false" outlineLevel="0" collapsed="false">
      <c r="A715" s="6" t="s">
        <v>717</v>
      </c>
      <c r="B715" s="1" t="n">
        <v>1</v>
      </c>
      <c r="C715" s="6" t="n">
        <f aca="false">B715/9435*100</f>
        <v>0.0105988341282459</v>
      </c>
      <c r="D715" s="2" t="n">
        <f aca="false">D714+C715</f>
        <v>97.7851436674806</v>
      </c>
    </row>
    <row r="716" customFormat="false" ht="12.8" hidden="false" customHeight="false" outlineLevel="0" collapsed="false">
      <c r="A716" s="6" t="s">
        <v>718</v>
      </c>
      <c r="B716" s="1" t="n">
        <v>1</v>
      </c>
      <c r="C716" s="6" t="n">
        <f aca="false">B716/9435*100</f>
        <v>0.0105988341282459</v>
      </c>
      <c r="D716" s="2" t="n">
        <f aca="false">D715+C716</f>
        <v>97.7957425016089</v>
      </c>
    </row>
    <row r="717" customFormat="false" ht="12.8" hidden="false" customHeight="false" outlineLevel="0" collapsed="false">
      <c r="A717" s="6" t="s">
        <v>719</v>
      </c>
      <c r="B717" s="1" t="n">
        <v>1</v>
      </c>
      <c r="C717" s="6" t="n">
        <f aca="false">B717/9435*100</f>
        <v>0.0105988341282459</v>
      </c>
      <c r="D717" s="2" t="n">
        <f aca="false">D716+C717</f>
        <v>97.8063413357371</v>
      </c>
    </row>
    <row r="718" customFormat="false" ht="12.8" hidden="false" customHeight="false" outlineLevel="0" collapsed="false">
      <c r="A718" s="6" t="s">
        <v>720</v>
      </c>
      <c r="B718" s="1" t="n">
        <v>1</v>
      </c>
      <c r="C718" s="6" t="n">
        <f aca="false">B718/9435*100</f>
        <v>0.0105988341282459</v>
      </c>
      <c r="D718" s="2" t="n">
        <f aca="false">D717+C718</f>
        <v>97.8169401698654</v>
      </c>
    </row>
    <row r="719" customFormat="false" ht="12.8" hidden="false" customHeight="false" outlineLevel="0" collapsed="false">
      <c r="A719" s="6" t="s">
        <v>721</v>
      </c>
      <c r="B719" s="1" t="n">
        <v>1</v>
      </c>
      <c r="C719" s="6" t="n">
        <f aca="false">B719/9435*100</f>
        <v>0.0105988341282459</v>
      </c>
      <c r="D719" s="2" t="n">
        <f aca="false">D718+C719</f>
        <v>97.8275390039936</v>
      </c>
    </row>
    <row r="720" customFormat="false" ht="12.8" hidden="false" customHeight="false" outlineLevel="0" collapsed="false">
      <c r="A720" s="6" t="s">
        <v>722</v>
      </c>
      <c r="B720" s="1" t="n">
        <v>1</v>
      </c>
      <c r="C720" s="6" t="n">
        <f aca="false">B720/9435*100</f>
        <v>0.0105988341282459</v>
      </c>
      <c r="D720" s="2" t="n">
        <f aca="false">D719+C720</f>
        <v>97.8381378381219</v>
      </c>
    </row>
    <row r="721" customFormat="false" ht="12.8" hidden="false" customHeight="false" outlineLevel="0" collapsed="false">
      <c r="A721" s="6" t="s">
        <v>723</v>
      </c>
      <c r="B721" s="1" t="n">
        <v>1</v>
      </c>
      <c r="C721" s="6" t="n">
        <f aca="false">B721/9435*100</f>
        <v>0.0105988341282459</v>
      </c>
      <c r="D721" s="2" t="n">
        <f aca="false">D720+C721</f>
        <v>97.8487366722501</v>
      </c>
    </row>
    <row r="722" customFormat="false" ht="12.8" hidden="false" customHeight="false" outlineLevel="0" collapsed="false">
      <c r="A722" s="6" t="s">
        <v>724</v>
      </c>
      <c r="B722" s="1" t="n">
        <v>1</v>
      </c>
      <c r="C722" s="6" t="n">
        <f aca="false">B722/9435*100</f>
        <v>0.0105988341282459</v>
      </c>
      <c r="D722" s="2" t="n">
        <f aca="false">D721+C722</f>
        <v>97.8593355063783</v>
      </c>
    </row>
    <row r="723" customFormat="false" ht="12.8" hidden="false" customHeight="false" outlineLevel="0" collapsed="false">
      <c r="A723" s="6" t="s">
        <v>725</v>
      </c>
      <c r="B723" s="1" t="n">
        <v>1</v>
      </c>
      <c r="C723" s="6" t="n">
        <f aca="false">B723/9435*100</f>
        <v>0.0105988341282459</v>
      </c>
      <c r="D723" s="2" t="n">
        <f aca="false">D722+C723</f>
        <v>97.8699343405066</v>
      </c>
    </row>
    <row r="724" customFormat="false" ht="12.8" hidden="false" customHeight="false" outlineLevel="0" collapsed="false">
      <c r="A724" s="6" t="s">
        <v>726</v>
      </c>
      <c r="B724" s="1" t="n">
        <v>1</v>
      </c>
      <c r="C724" s="6" t="n">
        <f aca="false">B724/9435*100</f>
        <v>0.0105988341282459</v>
      </c>
      <c r="D724" s="2" t="n">
        <f aca="false">D723+C724</f>
        <v>97.8805331746348</v>
      </c>
    </row>
    <row r="725" customFormat="false" ht="12.8" hidden="false" customHeight="false" outlineLevel="0" collapsed="false">
      <c r="A725" s="6" t="s">
        <v>727</v>
      </c>
      <c r="B725" s="1" t="n">
        <v>1</v>
      </c>
      <c r="C725" s="6" t="n">
        <f aca="false">B725/9435*100</f>
        <v>0.0105988341282459</v>
      </c>
      <c r="D725" s="2" t="n">
        <f aca="false">D724+C725</f>
        <v>97.8911320087631</v>
      </c>
    </row>
    <row r="726" customFormat="false" ht="12.8" hidden="false" customHeight="false" outlineLevel="0" collapsed="false">
      <c r="A726" s="6" t="s">
        <v>728</v>
      </c>
      <c r="B726" s="1" t="n">
        <v>1</v>
      </c>
      <c r="C726" s="6" t="n">
        <f aca="false">B726/9435*100</f>
        <v>0.0105988341282459</v>
      </c>
      <c r="D726" s="2" t="n">
        <f aca="false">D725+C726</f>
        <v>97.9017308428913</v>
      </c>
    </row>
    <row r="727" customFormat="false" ht="12.8" hidden="false" customHeight="false" outlineLevel="0" collapsed="false">
      <c r="A727" s="6" t="s">
        <v>729</v>
      </c>
      <c r="B727" s="1" t="n">
        <v>1</v>
      </c>
      <c r="C727" s="6" t="n">
        <f aca="false">B727/9435*100</f>
        <v>0.0105988341282459</v>
      </c>
      <c r="D727" s="2" t="n">
        <f aca="false">D726+C727</f>
        <v>97.9123296770196</v>
      </c>
    </row>
    <row r="728" customFormat="false" ht="12.8" hidden="false" customHeight="false" outlineLevel="0" collapsed="false">
      <c r="A728" s="6" t="s">
        <v>730</v>
      </c>
      <c r="B728" s="1" t="n">
        <v>1</v>
      </c>
      <c r="C728" s="6" t="n">
        <f aca="false">B728/9435*100</f>
        <v>0.0105988341282459</v>
      </c>
      <c r="D728" s="2" t="n">
        <f aca="false">D727+C728</f>
        <v>97.9229285111478</v>
      </c>
    </row>
    <row r="729" customFormat="false" ht="12.8" hidden="false" customHeight="false" outlineLevel="0" collapsed="false">
      <c r="A729" s="6" t="s">
        <v>731</v>
      </c>
      <c r="B729" s="1" t="n">
        <v>1</v>
      </c>
      <c r="C729" s="6" t="n">
        <f aca="false">B729/9435*100</f>
        <v>0.0105988341282459</v>
      </c>
      <c r="D729" s="2" t="n">
        <f aca="false">D728+C729</f>
        <v>97.9335273452761</v>
      </c>
    </row>
    <row r="730" customFormat="false" ht="12.8" hidden="false" customHeight="false" outlineLevel="0" collapsed="false">
      <c r="A730" s="6" t="s">
        <v>732</v>
      </c>
      <c r="B730" s="1" t="n">
        <v>1</v>
      </c>
      <c r="C730" s="6" t="n">
        <f aca="false">B730/9435*100</f>
        <v>0.0105988341282459</v>
      </c>
      <c r="D730" s="2" t="n">
        <f aca="false">D729+C730</f>
        <v>97.9441261794043</v>
      </c>
    </row>
    <row r="731" customFormat="false" ht="12.8" hidden="false" customHeight="false" outlineLevel="0" collapsed="false">
      <c r="A731" s="6" t="s">
        <v>733</v>
      </c>
      <c r="B731" s="1" t="n">
        <v>1</v>
      </c>
      <c r="C731" s="6" t="n">
        <f aca="false">B731/9435*100</f>
        <v>0.0105988341282459</v>
      </c>
      <c r="D731" s="2" t="n">
        <f aca="false">D730+C731</f>
        <v>97.9547250135326</v>
      </c>
    </row>
    <row r="732" customFormat="false" ht="12.8" hidden="false" customHeight="false" outlineLevel="0" collapsed="false">
      <c r="A732" s="6" t="s">
        <v>734</v>
      </c>
      <c r="B732" s="1" t="n">
        <v>1</v>
      </c>
      <c r="C732" s="6" t="n">
        <f aca="false">B732/9435*100</f>
        <v>0.0105988341282459</v>
      </c>
      <c r="D732" s="2" t="n">
        <f aca="false">D731+C732</f>
        <v>97.9653238476608</v>
      </c>
    </row>
    <row r="733" customFormat="false" ht="12.8" hidden="false" customHeight="false" outlineLevel="0" collapsed="false">
      <c r="A733" s="6" t="s">
        <v>735</v>
      </c>
      <c r="B733" s="1" t="n">
        <v>1</v>
      </c>
      <c r="C733" s="6" t="n">
        <f aca="false">B733/9435*100</f>
        <v>0.0105988341282459</v>
      </c>
      <c r="D733" s="2" t="n">
        <f aca="false">D732+C733</f>
        <v>97.9759226817891</v>
      </c>
    </row>
    <row r="734" customFormat="false" ht="12.8" hidden="false" customHeight="false" outlineLevel="0" collapsed="false">
      <c r="A734" s="6" t="s">
        <v>736</v>
      </c>
      <c r="B734" s="1" t="n">
        <v>1</v>
      </c>
      <c r="C734" s="6" t="n">
        <f aca="false">B734/9435*100</f>
        <v>0.0105988341282459</v>
      </c>
      <c r="D734" s="2" t="n">
        <f aca="false">D733+C734</f>
        <v>97.9865215159173</v>
      </c>
    </row>
    <row r="735" customFormat="false" ht="12.8" hidden="false" customHeight="false" outlineLevel="0" collapsed="false">
      <c r="A735" s="6" t="s">
        <v>737</v>
      </c>
      <c r="B735" s="1" t="n">
        <v>1</v>
      </c>
      <c r="C735" s="6" t="n">
        <f aca="false">B735/9435*100</f>
        <v>0.0105988341282459</v>
      </c>
      <c r="D735" s="2" t="n">
        <f aca="false">D734+C735</f>
        <v>97.9971203500455</v>
      </c>
    </row>
    <row r="736" customFormat="false" ht="12.8" hidden="false" customHeight="false" outlineLevel="0" collapsed="false">
      <c r="A736" s="6" t="s">
        <v>738</v>
      </c>
      <c r="B736" s="1" t="n">
        <v>1</v>
      </c>
      <c r="C736" s="6" t="n">
        <f aca="false">B736/9435*100</f>
        <v>0.0105988341282459</v>
      </c>
      <c r="D736" s="2" t="n">
        <f aca="false">D735+C736</f>
        <v>98.0077191841738</v>
      </c>
    </row>
    <row r="737" customFormat="false" ht="12.8" hidden="false" customHeight="false" outlineLevel="0" collapsed="false">
      <c r="A737" s="6" t="s">
        <v>739</v>
      </c>
      <c r="B737" s="1" t="n">
        <v>1</v>
      </c>
      <c r="C737" s="6" t="n">
        <f aca="false">B737/9435*100</f>
        <v>0.0105988341282459</v>
      </c>
      <c r="D737" s="2" t="n">
        <f aca="false">D736+C737</f>
        <v>98.018318018302</v>
      </c>
    </row>
    <row r="738" customFormat="false" ht="12.8" hidden="false" customHeight="false" outlineLevel="0" collapsed="false">
      <c r="A738" s="6" t="s">
        <v>740</v>
      </c>
      <c r="B738" s="1" t="n">
        <v>1</v>
      </c>
      <c r="C738" s="6" t="n">
        <f aca="false">B738/9435*100</f>
        <v>0.0105988341282459</v>
      </c>
      <c r="D738" s="2" t="n">
        <f aca="false">D737+C738</f>
        <v>98.0289168524303</v>
      </c>
    </row>
    <row r="739" customFormat="false" ht="12.8" hidden="false" customHeight="false" outlineLevel="0" collapsed="false">
      <c r="A739" s="6" t="s">
        <v>741</v>
      </c>
      <c r="B739" s="1" t="n">
        <v>1</v>
      </c>
      <c r="C739" s="6" t="n">
        <f aca="false">B739/9435*100</f>
        <v>0.0105988341282459</v>
      </c>
      <c r="D739" s="2" t="n">
        <f aca="false">D738+C739</f>
        <v>98.0395156865585</v>
      </c>
    </row>
    <row r="740" customFormat="false" ht="12.8" hidden="false" customHeight="false" outlineLevel="0" collapsed="false">
      <c r="A740" s="6" t="s">
        <v>742</v>
      </c>
      <c r="B740" s="1" t="n">
        <v>1</v>
      </c>
      <c r="C740" s="6" t="n">
        <f aca="false">B740/9435*100</f>
        <v>0.0105988341282459</v>
      </c>
      <c r="D740" s="2" t="n">
        <f aca="false">D739+C740</f>
        <v>98.0501145206868</v>
      </c>
    </row>
    <row r="741" customFormat="false" ht="12.8" hidden="false" customHeight="false" outlineLevel="0" collapsed="false">
      <c r="A741" s="6" t="s">
        <v>743</v>
      </c>
      <c r="B741" s="1" t="n">
        <v>1</v>
      </c>
      <c r="C741" s="6" t="n">
        <f aca="false">B741/9435*100</f>
        <v>0.0105988341282459</v>
      </c>
      <c r="D741" s="2" t="n">
        <f aca="false">D740+C741</f>
        <v>98.060713354815</v>
      </c>
    </row>
    <row r="742" customFormat="false" ht="12.8" hidden="false" customHeight="false" outlineLevel="0" collapsed="false">
      <c r="A742" s="6" t="s">
        <v>744</v>
      </c>
      <c r="B742" s="1" t="n">
        <v>1</v>
      </c>
      <c r="C742" s="6" t="n">
        <f aca="false">B742/9435*100</f>
        <v>0.0105988341282459</v>
      </c>
      <c r="D742" s="2" t="n">
        <f aca="false">D741+C742</f>
        <v>98.0713121889433</v>
      </c>
    </row>
    <row r="743" customFormat="false" ht="12.8" hidden="false" customHeight="false" outlineLevel="0" collapsed="false">
      <c r="A743" s="6" t="s">
        <v>745</v>
      </c>
      <c r="B743" s="1" t="n">
        <v>1</v>
      </c>
      <c r="C743" s="6" t="n">
        <f aca="false">B743/9435*100</f>
        <v>0.0105988341282459</v>
      </c>
      <c r="D743" s="2" t="n">
        <f aca="false">D742+C743</f>
        <v>98.0819110230715</v>
      </c>
    </row>
    <row r="744" customFormat="false" ht="12.8" hidden="false" customHeight="false" outlineLevel="0" collapsed="false">
      <c r="A744" s="6" t="s">
        <v>746</v>
      </c>
      <c r="B744" s="1" t="n">
        <v>1</v>
      </c>
      <c r="C744" s="6" t="n">
        <f aca="false">B744/9435*100</f>
        <v>0.0105988341282459</v>
      </c>
      <c r="D744" s="2" t="n">
        <f aca="false">D743+C744</f>
        <v>98.0925098571997</v>
      </c>
    </row>
    <row r="745" customFormat="false" ht="12.8" hidden="false" customHeight="false" outlineLevel="0" collapsed="false">
      <c r="A745" s="6" t="s">
        <v>747</v>
      </c>
      <c r="B745" s="1" t="n">
        <v>1</v>
      </c>
      <c r="C745" s="6" t="n">
        <f aca="false">B745/9435*100</f>
        <v>0.0105988341282459</v>
      </c>
      <c r="D745" s="2" t="n">
        <f aca="false">D744+C745</f>
        <v>98.103108691328</v>
      </c>
    </row>
    <row r="746" customFormat="false" ht="12.8" hidden="false" customHeight="false" outlineLevel="0" collapsed="false">
      <c r="A746" s="6" t="s">
        <v>748</v>
      </c>
      <c r="B746" s="1" t="n">
        <v>1</v>
      </c>
      <c r="C746" s="6" t="n">
        <f aca="false">B746/9435*100</f>
        <v>0.0105988341282459</v>
      </c>
      <c r="D746" s="2" t="n">
        <f aca="false">D745+C746</f>
        <v>98.1137075254562</v>
      </c>
    </row>
    <row r="747" customFormat="false" ht="12.8" hidden="false" customHeight="false" outlineLevel="0" collapsed="false">
      <c r="A747" s="6" t="s">
        <v>749</v>
      </c>
      <c r="B747" s="1" t="n">
        <v>1</v>
      </c>
      <c r="C747" s="6" t="n">
        <f aca="false">B747/9435*100</f>
        <v>0.0105988341282459</v>
      </c>
      <c r="D747" s="2" t="n">
        <f aca="false">D746+C747</f>
        <v>98.1243063595845</v>
      </c>
    </row>
    <row r="748" customFormat="false" ht="12.8" hidden="false" customHeight="false" outlineLevel="0" collapsed="false">
      <c r="A748" s="6" t="s">
        <v>750</v>
      </c>
      <c r="B748" s="1" t="n">
        <v>1</v>
      </c>
      <c r="C748" s="6" t="n">
        <f aca="false">B748/9435*100</f>
        <v>0.0105988341282459</v>
      </c>
      <c r="D748" s="2" t="n">
        <f aca="false">D747+C748</f>
        <v>98.1349051937127</v>
      </c>
    </row>
    <row r="749" customFormat="false" ht="12.8" hidden="false" customHeight="false" outlineLevel="0" collapsed="false">
      <c r="A749" s="6" t="s">
        <v>751</v>
      </c>
      <c r="B749" s="1" t="n">
        <v>1</v>
      </c>
      <c r="C749" s="6" t="n">
        <f aca="false">B749/9435*100</f>
        <v>0.0105988341282459</v>
      </c>
      <c r="D749" s="2" t="n">
        <f aca="false">D748+C749</f>
        <v>98.145504027841</v>
      </c>
    </row>
    <row r="750" customFormat="false" ht="12.8" hidden="false" customHeight="false" outlineLevel="0" collapsed="false">
      <c r="A750" s="6" t="s">
        <v>752</v>
      </c>
      <c r="B750" s="1" t="n">
        <v>1</v>
      </c>
      <c r="C750" s="6" t="n">
        <f aca="false">B750/9435*100</f>
        <v>0.0105988341282459</v>
      </c>
      <c r="D750" s="2" t="n">
        <f aca="false">D749+C750</f>
        <v>98.1561028619692</v>
      </c>
    </row>
    <row r="751" customFormat="false" ht="12.8" hidden="false" customHeight="false" outlineLevel="0" collapsed="false">
      <c r="A751" s="6" t="s">
        <v>753</v>
      </c>
      <c r="B751" s="1" t="n">
        <v>1</v>
      </c>
      <c r="C751" s="6" t="n">
        <f aca="false">B751/9435*100</f>
        <v>0.0105988341282459</v>
      </c>
      <c r="D751" s="2" t="n">
        <f aca="false">D750+C751</f>
        <v>98.1667016960975</v>
      </c>
    </row>
    <row r="752" customFormat="false" ht="12.8" hidden="false" customHeight="false" outlineLevel="0" collapsed="false">
      <c r="A752" s="6" t="s">
        <v>754</v>
      </c>
      <c r="B752" s="1" t="n">
        <v>1</v>
      </c>
      <c r="C752" s="6" t="n">
        <f aca="false">B752/9435*100</f>
        <v>0.0105988341282459</v>
      </c>
      <c r="D752" s="2" t="n">
        <f aca="false">D751+C752</f>
        <v>98.1773005302257</v>
      </c>
    </row>
    <row r="753" customFormat="false" ht="12.8" hidden="false" customHeight="false" outlineLevel="0" collapsed="false">
      <c r="A753" s="6" t="s">
        <v>755</v>
      </c>
      <c r="B753" s="1" t="n">
        <v>1</v>
      </c>
      <c r="C753" s="6" t="n">
        <f aca="false">B753/9435*100</f>
        <v>0.0105988341282459</v>
      </c>
      <c r="D753" s="2" t="n">
        <f aca="false">D752+C753</f>
        <v>98.187899364354</v>
      </c>
    </row>
    <row r="754" customFormat="false" ht="12.8" hidden="false" customHeight="false" outlineLevel="0" collapsed="false">
      <c r="A754" s="6" t="s">
        <v>756</v>
      </c>
      <c r="B754" s="1" t="n">
        <v>1</v>
      </c>
      <c r="C754" s="6" t="n">
        <f aca="false">B754/9435*100</f>
        <v>0.0105988341282459</v>
      </c>
      <c r="D754" s="2" t="n">
        <f aca="false">D753+C754</f>
        <v>98.1984981984822</v>
      </c>
    </row>
    <row r="755" customFormat="false" ht="12.8" hidden="false" customHeight="false" outlineLevel="0" collapsed="false">
      <c r="A755" s="6" t="s">
        <v>757</v>
      </c>
      <c r="B755" s="1" t="n">
        <v>1</v>
      </c>
      <c r="C755" s="6" t="n">
        <f aca="false">B755/9435*100</f>
        <v>0.0105988341282459</v>
      </c>
      <c r="D755" s="2" t="n">
        <f aca="false">D754+C755</f>
        <v>98.2090970326104</v>
      </c>
    </row>
    <row r="756" customFormat="false" ht="12.8" hidden="false" customHeight="false" outlineLevel="0" collapsed="false">
      <c r="A756" s="6" t="s">
        <v>758</v>
      </c>
      <c r="B756" s="1" t="n">
        <v>1</v>
      </c>
      <c r="C756" s="6" t="n">
        <f aca="false">B756/9435*100</f>
        <v>0.0105988341282459</v>
      </c>
      <c r="D756" s="2" t="n">
        <f aca="false">D755+C756</f>
        <v>98.2196958667387</v>
      </c>
    </row>
    <row r="757" customFormat="false" ht="12.8" hidden="false" customHeight="false" outlineLevel="0" collapsed="false">
      <c r="A757" s="6" t="s">
        <v>759</v>
      </c>
      <c r="B757" s="1" t="n">
        <v>1</v>
      </c>
      <c r="C757" s="6" t="n">
        <f aca="false">B757/9435*100</f>
        <v>0.0105988341282459</v>
      </c>
      <c r="D757" s="2" t="n">
        <f aca="false">D756+C757</f>
        <v>98.2302947008669</v>
      </c>
    </row>
    <row r="758" customFormat="false" ht="12.8" hidden="false" customHeight="false" outlineLevel="0" collapsed="false">
      <c r="A758" s="6" t="s">
        <v>760</v>
      </c>
      <c r="B758" s="1" t="n">
        <v>1</v>
      </c>
      <c r="C758" s="6" t="n">
        <f aca="false">B758/9435*100</f>
        <v>0.0105988341282459</v>
      </c>
      <c r="D758" s="2" t="n">
        <f aca="false">D757+C758</f>
        <v>98.2408935349952</v>
      </c>
    </row>
    <row r="759" customFormat="false" ht="12.8" hidden="false" customHeight="false" outlineLevel="0" collapsed="false">
      <c r="A759" s="6" t="s">
        <v>761</v>
      </c>
      <c r="B759" s="1" t="n">
        <v>1</v>
      </c>
      <c r="C759" s="6" t="n">
        <f aca="false">B759/9435*100</f>
        <v>0.0105988341282459</v>
      </c>
      <c r="D759" s="2" t="n">
        <f aca="false">D758+C759</f>
        <v>98.2514923691234</v>
      </c>
    </row>
    <row r="760" customFormat="false" ht="12.8" hidden="false" customHeight="false" outlineLevel="0" collapsed="false">
      <c r="A760" s="6" t="s">
        <v>762</v>
      </c>
      <c r="B760" s="1" t="n">
        <v>1</v>
      </c>
      <c r="C760" s="6" t="n">
        <f aca="false">B760/9435*100</f>
        <v>0.0105988341282459</v>
      </c>
      <c r="D760" s="2" t="n">
        <f aca="false">D759+C760</f>
        <v>98.2620912032517</v>
      </c>
    </row>
    <row r="761" customFormat="false" ht="12.8" hidden="false" customHeight="false" outlineLevel="0" collapsed="false">
      <c r="A761" s="6" t="s">
        <v>763</v>
      </c>
      <c r="B761" s="1" t="n">
        <v>1</v>
      </c>
      <c r="C761" s="6" t="n">
        <f aca="false">B761/9435*100</f>
        <v>0.0105988341282459</v>
      </c>
      <c r="D761" s="2" t="n">
        <f aca="false">D760+C761</f>
        <v>98.2726900373799</v>
      </c>
    </row>
    <row r="762" customFormat="false" ht="12.8" hidden="false" customHeight="false" outlineLevel="0" collapsed="false">
      <c r="A762" s="6" t="s">
        <v>764</v>
      </c>
      <c r="B762" s="1" t="n">
        <v>1</v>
      </c>
      <c r="C762" s="6" t="n">
        <f aca="false">B762/9435*100</f>
        <v>0.0105988341282459</v>
      </c>
      <c r="D762" s="2" t="n">
        <f aca="false">D761+C762</f>
        <v>98.2832888715082</v>
      </c>
    </row>
    <row r="763" customFormat="false" ht="12.8" hidden="false" customHeight="false" outlineLevel="0" collapsed="false">
      <c r="A763" s="6" t="s">
        <v>765</v>
      </c>
      <c r="B763" s="1" t="n">
        <v>1</v>
      </c>
      <c r="C763" s="6" t="n">
        <f aca="false">B763/9435*100</f>
        <v>0.0105988341282459</v>
      </c>
      <c r="D763" s="2" t="n">
        <f aca="false">D762+C763</f>
        <v>98.2938877056364</v>
      </c>
    </row>
    <row r="764" customFormat="false" ht="12.8" hidden="false" customHeight="false" outlineLevel="0" collapsed="false">
      <c r="A764" s="6" t="s">
        <v>766</v>
      </c>
      <c r="B764" s="1" t="n">
        <v>1</v>
      </c>
      <c r="C764" s="6" t="n">
        <f aca="false">B764/9435*100</f>
        <v>0.0105988341282459</v>
      </c>
      <c r="D764" s="2" t="n">
        <f aca="false">D763+C764</f>
        <v>98.3044865397646</v>
      </c>
    </row>
    <row r="765" customFormat="false" ht="12.8" hidden="false" customHeight="false" outlineLevel="0" collapsed="false">
      <c r="A765" s="6" t="s">
        <v>767</v>
      </c>
      <c r="B765" s="1" t="n">
        <v>1</v>
      </c>
      <c r="C765" s="6" t="n">
        <f aca="false">B765/9435*100</f>
        <v>0.0105988341282459</v>
      </c>
      <c r="D765" s="2" t="n">
        <f aca="false">D764+C765</f>
        <v>98.3150853738929</v>
      </c>
    </row>
    <row r="766" customFormat="false" ht="12.8" hidden="false" customHeight="false" outlineLevel="0" collapsed="false">
      <c r="A766" s="6" t="s">
        <v>768</v>
      </c>
      <c r="B766" s="1" t="n">
        <v>1</v>
      </c>
      <c r="C766" s="6" t="n">
        <f aca="false">B766/9435*100</f>
        <v>0.0105988341282459</v>
      </c>
      <c r="D766" s="2" t="n">
        <f aca="false">D765+C766</f>
        <v>98.3256842080212</v>
      </c>
    </row>
    <row r="767" customFormat="false" ht="12.8" hidden="false" customHeight="false" outlineLevel="0" collapsed="false">
      <c r="A767" s="6" t="s">
        <v>769</v>
      </c>
      <c r="B767" s="1" t="n">
        <v>1</v>
      </c>
      <c r="C767" s="6" t="n">
        <f aca="false">B767/9435*100</f>
        <v>0.0105988341282459</v>
      </c>
      <c r="D767" s="2" t="n">
        <f aca="false">D766+C767</f>
        <v>98.3362830421494</v>
      </c>
    </row>
    <row r="768" customFormat="false" ht="12.8" hidden="false" customHeight="false" outlineLevel="0" collapsed="false">
      <c r="A768" s="6" t="s">
        <v>770</v>
      </c>
      <c r="B768" s="1" t="n">
        <v>1</v>
      </c>
      <c r="C768" s="6" t="n">
        <f aca="false">B768/9435*100</f>
        <v>0.0105988341282459</v>
      </c>
      <c r="D768" s="2" t="n">
        <f aca="false">D767+C768</f>
        <v>98.3468818762776</v>
      </c>
    </row>
    <row r="769" customFormat="false" ht="12.8" hidden="false" customHeight="false" outlineLevel="0" collapsed="false">
      <c r="A769" s="6" t="s">
        <v>771</v>
      </c>
      <c r="B769" s="1" t="n">
        <v>1</v>
      </c>
      <c r="C769" s="6" t="n">
        <f aca="false">B769/9435*100</f>
        <v>0.0105988341282459</v>
      </c>
      <c r="D769" s="2" t="n">
        <f aca="false">D768+C769</f>
        <v>98.3574807104059</v>
      </c>
    </row>
    <row r="770" customFormat="false" ht="12.8" hidden="false" customHeight="false" outlineLevel="0" collapsed="false">
      <c r="A770" s="6" t="s">
        <v>772</v>
      </c>
      <c r="B770" s="1" t="n">
        <v>1</v>
      </c>
      <c r="C770" s="6" t="n">
        <f aca="false">B770/9435*100</f>
        <v>0.0105988341282459</v>
      </c>
      <c r="D770" s="2" t="n">
        <f aca="false">D769+C770</f>
        <v>98.3680795445341</v>
      </c>
    </row>
    <row r="771" customFormat="false" ht="12.8" hidden="false" customHeight="false" outlineLevel="0" collapsed="false">
      <c r="A771" s="6" t="s">
        <v>773</v>
      </c>
      <c r="B771" s="1" t="n">
        <v>1</v>
      </c>
      <c r="C771" s="6" t="n">
        <f aca="false">B771/9435*100</f>
        <v>0.0105988341282459</v>
      </c>
      <c r="D771" s="2" t="n">
        <f aca="false">D770+C771</f>
        <v>98.3786783786624</v>
      </c>
    </row>
    <row r="772" customFormat="false" ht="12.8" hidden="false" customHeight="false" outlineLevel="0" collapsed="false">
      <c r="A772" s="6" t="s">
        <v>774</v>
      </c>
      <c r="B772" s="1" t="n">
        <v>1</v>
      </c>
      <c r="C772" s="6" t="n">
        <f aca="false">B772/9435*100</f>
        <v>0.0105988341282459</v>
      </c>
      <c r="D772" s="2" t="n">
        <f aca="false">D771+C772</f>
        <v>98.3892772127906</v>
      </c>
    </row>
    <row r="773" customFormat="false" ht="12.8" hidden="false" customHeight="false" outlineLevel="0" collapsed="false">
      <c r="A773" s="6" t="s">
        <v>775</v>
      </c>
      <c r="B773" s="1" t="n">
        <v>1</v>
      </c>
      <c r="C773" s="6" t="n">
        <f aca="false">B773/9435*100</f>
        <v>0.0105988341282459</v>
      </c>
      <c r="D773" s="2" t="n">
        <f aca="false">D772+C773</f>
        <v>98.3998760469189</v>
      </c>
    </row>
    <row r="774" customFormat="false" ht="12.8" hidden="false" customHeight="false" outlineLevel="0" collapsed="false">
      <c r="A774" s="6" t="s">
        <v>776</v>
      </c>
      <c r="B774" s="1" t="n">
        <v>1</v>
      </c>
      <c r="C774" s="6" t="n">
        <f aca="false">B774/9435*100</f>
        <v>0.0105988341282459</v>
      </c>
      <c r="D774" s="2" t="n">
        <f aca="false">D773+C774</f>
        <v>98.4104748810471</v>
      </c>
    </row>
    <row r="775" customFormat="false" ht="12.8" hidden="false" customHeight="false" outlineLevel="0" collapsed="false">
      <c r="A775" s="6" t="s">
        <v>777</v>
      </c>
      <c r="B775" s="1" t="n">
        <v>1</v>
      </c>
      <c r="C775" s="6" t="n">
        <f aca="false">B775/9435*100</f>
        <v>0.0105988341282459</v>
      </c>
      <c r="D775" s="2" t="n">
        <f aca="false">D774+C775</f>
        <v>98.4210737151754</v>
      </c>
    </row>
    <row r="776" customFormat="false" ht="12.8" hidden="false" customHeight="false" outlineLevel="0" collapsed="false">
      <c r="A776" s="6" t="s">
        <v>778</v>
      </c>
      <c r="B776" s="1" t="n">
        <v>1</v>
      </c>
      <c r="C776" s="6" t="n">
        <f aca="false">B776/9435*100</f>
        <v>0.0105988341282459</v>
      </c>
      <c r="D776" s="2" t="n">
        <f aca="false">D775+C776</f>
        <v>98.4316725493036</v>
      </c>
    </row>
    <row r="777" customFormat="false" ht="12.8" hidden="false" customHeight="false" outlineLevel="0" collapsed="false">
      <c r="A777" s="6" t="s">
        <v>779</v>
      </c>
      <c r="B777" s="1" t="n">
        <v>1</v>
      </c>
      <c r="C777" s="6" t="n">
        <f aca="false">B777/9435*100</f>
        <v>0.0105988341282459</v>
      </c>
      <c r="D777" s="2" t="n">
        <f aca="false">D776+C777</f>
        <v>98.4422713834318</v>
      </c>
    </row>
    <row r="778" customFormat="false" ht="12.8" hidden="false" customHeight="false" outlineLevel="0" collapsed="false">
      <c r="A778" s="6" t="s">
        <v>780</v>
      </c>
      <c r="B778" s="1" t="n">
        <v>1</v>
      </c>
      <c r="C778" s="6" t="n">
        <f aca="false">B778/9435*100</f>
        <v>0.0105988341282459</v>
      </c>
      <c r="D778" s="2" t="n">
        <f aca="false">D777+C778</f>
        <v>98.4528702175601</v>
      </c>
    </row>
    <row r="779" customFormat="false" ht="12.8" hidden="false" customHeight="false" outlineLevel="0" collapsed="false">
      <c r="A779" s="6" t="s">
        <v>781</v>
      </c>
      <c r="B779" s="1" t="n">
        <v>1</v>
      </c>
      <c r="C779" s="6" t="n">
        <f aca="false">B779/9435*100</f>
        <v>0.0105988341282459</v>
      </c>
      <c r="D779" s="2" t="n">
        <f aca="false">D778+C779</f>
        <v>98.4634690516883</v>
      </c>
    </row>
    <row r="780" customFormat="false" ht="12.8" hidden="false" customHeight="false" outlineLevel="0" collapsed="false">
      <c r="A780" s="6" t="s">
        <v>782</v>
      </c>
      <c r="B780" s="1" t="n">
        <v>1</v>
      </c>
      <c r="C780" s="6" t="n">
        <f aca="false">B780/9435*100</f>
        <v>0.0105988341282459</v>
      </c>
      <c r="D780" s="2" t="n">
        <f aca="false">D779+C780</f>
        <v>98.4740678858166</v>
      </c>
    </row>
    <row r="781" customFormat="false" ht="12.8" hidden="false" customHeight="false" outlineLevel="0" collapsed="false">
      <c r="A781" s="6" t="s">
        <v>783</v>
      </c>
      <c r="B781" s="1" t="n">
        <v>1</v>
      </c>
      <c r="C781" s="6" t="n">
        <f aca="false">B781/9435*100</f>
        <v>0.0105988341282459</v>
      </c>
      <c r="D781" s="2" t="n">
        <f aca="false">D780+C781</f>
        <v>98.4846667199448</v>
      </c>
    </row>
    <row r="782" customFormat="false" ht="12.8" hidden="false" customHeight="false" outlineLevel="0" collapsed="false">
      <c r="A782" s="6" t="s">
        <v>784</v>
      </c>
      <c r="B782" s="1" t="n">
        <v>1</v>
      </c>
      <c r="C782" s="6" t="n">
        <f aca="false">B782/9435*100</f>
        <v>0.0105988341282459</v>
      </c>
      <c r="D782" s="2" t="n">
        <f aca="false">D781+C782</f>
        <v>98.4952655540731</v>
      </c>
    </row>
    <row r="783" customFormat="false" ht="12.8" hidden="false" customHeight="false" outlineLevel="0" collapsed="false">
      <c r="A783" s="6" t="s">
        <v>785</v>
      </c>
      <c r="B783" s="1" t="n">
        <v>1</v>
      </c>
      <c r="C783" s="6" t="n">
        <f aca="false">B783/9435*100</f>
        <v>0.0105988341282459</v>
      </c>
      <c r="D783" s="2" t="n">
        <f aca="false">D782+C783</f>
        <v>98.5058643882013</v>
      </c>
    </row>
    <row r="784" customFormat="false" ht="12.8" hidden="false" customHeight="false" outlineLevel="0" collapsed="false">
      <c r="A784" s="6" t="s">
        <v>786</v>
      </c>
      <c r="B784" s="1" t="n">
        <v>1</v>
      </c>
      <c r="C784" s="6" t="n">
        <f aca="false">B784/9435*100</f>
        <v>0.0105988341282459</v>
      </c>
      <c r="D784" s="2" t="n">
        <f aca="false">D783+C784</f>
        <v>98.5164632223296</v>
      </c>
    </row>
    <row r="785" customFormat="false" ht="12.8" hidden="false" customHeight="false" outlineLevel="0" collapsed="false">
      <c r="A785" s="6" t="s">
        <v>787</v>
      </c>
      <c r="B785" s="1" t="n">
        <v>1</v>
      </c>
      <c r="C785" s="6" t="n">
        <f aca="false">B785/9435*100</f>
        <v>0.0105988341282459</v>
      </c>
      <c r="D785" s="2" t="n">
        <f aca="false">D784+C785</f>
        <v>98.5270620564578</v>
      </c>
    </row>
    <row r="786" customFormat="false" ht="12.8" hidden="false" customHeight="false" outlineLevel="0" collapsed="false">
      <c r="A786" s="6" t="s">
        <v>788</v>
      </c>
      <c r="B786" s="1" t="n">
        <v>1</v>
      </c>
      <c r="C786" s="6" t="n">
        <f aca="false">B786/9435*100</f>
        <v>0.0105988341282459</v>
      </c>
      <c r="D786" s="2" t="n">
        <f aca="false">D785+C786</f>
        <v>98.5376608905861</v>
      </c>
    </row>
    <row r="787" customFormat="false" ht="12.8" hidden="false" customHeight="false" outlineLevel="0" collapsed="false">
      <c r="A787" s="6" t="s">
        <v>789</v>
      </c>
      <c r="B787" s="1" t="n">
        <v>1</v>
      </c>
      <c r="C787" s="6" t="n">
        <f aca="false">B787/9435*100</f>
        <v>0.0105988341282459</v>
      </c>
      <c r="D787" s="2" t="n">
        <f aca="false">D786+C787</f>
        <v>98.5482597247143</v>
      </c>
    </row>
    <row r="788" customFormat="false" ht="12.8" hidden="false" customHeight="false" outlineLevel="0" collapsed="false">
      <c r="A788" s="6" t="s">
        <v>790</v>
      </c>
      <c r="B788" s="1" t="n">
        <v>1</v>
      </c>
      <c r="C788" s="6" t="n">
        <f aca="false">B788/9435*100</f>
        <v>0.0105988341282459</v>
      </c>
      <c r="D788" s="2" t="n">
        <f aca="false">D787+C788</f>
        <v>98.5588585588426</v>
      </c>
    </row>
    <row r="789" customFormat="false" ht="12.8" hidden="false" customHeight="false" outlineLevel="0" collapsed="false">
      <c r="A789" s="6" t="s">
        <v>791</v>
      </c>
      <c r="B789" s="1" t="n">
        <v>1</v>
      </c>
      <c r="C789" s="6" t="n">
        <f aca="false">B789/9435*100</f>
        <v>0.0105988341282459</v>
      </c>
      <c r="D789" s="2" t="n">
        <f aca="false">D788+C789</f>
        <v>98.5694573929708</v>
      </c>
    </row>
    <row r="790" customFormat="false" ht="12.8" hidden="false" customHeight="false" outlineLevel="0" collapsed="false">
      <c r="A790" s="6" t="s">
        <v>792</v>
      </c>
      <c r="B790" s="1" t="n">
        <v>1</v>
      </c>
      <c r="C790" s="6" t="n">
        <f aca="false">B790/9435*100</f>
        <v>0.0105988341282459</v>
      </c>
      <c r="D790" s="2" t="n">
        <f aca="false">D789+C790</f>
        <v>98.580056227099</v>
      </c>
    </row>
    <row r="791" customFormat="false" ht="12.8" hidden="false" customHeight="false" outlineLevel="0" collapsed="false">
      <c r="A791" s="6" t="s">
        <v>793</v>
      </c>
      <c r="B791" s="1" t="n">
        <v>1</v>
      </c>
      <c r="C791" s="6" t="n">
        <f aca="false">B791/9435*100</f>
        <v>0.0105988341282459</v>
      </c>
      <c r="D791" s="2" t="n">
        <f aca="false">D790+C791</f>
        <v>98.5906550612273</v>
      </c>
    </row>
    <row r="792" customFormat="false" ht="12.8" hidden="false" customHeight="false" outlineLevel="0" collapsed="false">
      <c r="A792" s="6" t="s">
        <v>794</v>
      </c>
      <c r="B792" s="1" t="n">
        <v>1</v>
      </c>
      <c r="C792" s="6" t="n">
        <f aca="false">B792/9435*100</f>
        <v>0.0105988341282459</v>
      </c>
      <c r="D792" s="2" t="n">
        <f aca="false">D791+C792</f>
        <v>98.6012538953555</v>
      </c>
    </row>
    <row r="793" customFormat="false" ht="12.8" hidden="false" customHeight="false" outlineLevel="0" collapsed="false">
      <c r="A793" s="6" t="s">
        <v>795</v>
      </c>
      <c r="B793" s="1" t="n">
        <v>1</v>
      </c>
      <c r="C793" s="6" t="n">
        <f aca="false">B793/9435*100</f>
        <v>0.0105988341282459</v>
      </c>
      <c r="D793" s="2" t="n">
        <f aca="false">D792+C793</f>
        <v>98.6118527294838</v>
      </c>
    </row>
    <row r="794" customFormat="false" ht="12.8" hidden="false" customHeight="false" outlineLevel="0" collapsed="false">
      <c r="A794" s="6" t="s">
        <v>796</v>
      </c>
      <c r="B794" s="1" t="n">
        <v>1</v>
      </c>
      <c r="C794" s="6" t="n">
        <f aca="false">B794/9435*100</f>
        <v>0.0105988341282459</v>
      </c>
      <c r="D794" s="2" t="n">
        <f aca="false">D793+C794</f>
        <v>98.622451563612</v>
      </c>
    </row>
    <row r="795" customFormat="false" ht="12.8" hidden="false" customHeight="false" outlineLevel="0" collapsed="false">
      <c r="A795" s="6" t="s">
        <v>797</v>
      </c>
      <c r="B795" s="1" t="n">
        <v>1</v>
      </c>
      <c r="C795" s="6" t="n">
        <f aca="false">B795/9435*100</f>
        <v>0.0105988341282459</v>
      </c>
      <c r="D795" s="2" t="n">
        <f aca="false">D794+C795</f>
        <v>98.6330503977403</v>
      </c>
    </row>
    <row r="796" customFormat="false" ht="12.8" hidden="false" customHeight="false" outlineLevel="0" collapsed="false">
      <c r="A796" s="6" t="s">
        <v>798</v>
      </c>
      <c r="B796" s="1" t="n">
        <v>1</v>
      </c>
      <c r="C796" s="6" t="n">
        <f aca="false">B796/9435*100</f>
        <v>0.0105988341282459</v>
      </c>
      <c r="D796" s="2" t="n">
        <f aca="false">D795+C796</f>
        <v>98.6436492318685</v>
      </c>
    </row>
    <row r="797" customFormat="false" ht="12.8" hidden="false" customHeight="false" outlineLevel="0" collapsed="false">
      <c r="A797" s="6" t="s">
        <v>799</v>
      </c>
      <c r="B797" s="1" t="n">
        <v>1</v>
      </c>
      <c r="C797" s="6" t="n">
        <f aca="false">B797/9435*100</f>
        <v>0.0105988341282459</v>
      </c>
      <c r="D797" s="2" t="n">
        <f aca="false">D796+C797</f>
        <v>98.6542480659968</v>
      </c>
    </row>
    <row r="798" customFormat="false" ht="12.8" hidden="false" customHeight="false" outlineLevel="0" collapsed="false">
      <c r="A798" s="6" t="s">
        <v>800</v>
      </c>
      <c r="B798" s="1" t="n">
        <v>1</v>
      </c>
      <c r="C798" s="6" t="n">
        <f aca="false">B798/9435*100</f>
        <v>0.0105988341282459</v>
      </c>
      <c r="D798" s="2" t="n">
        <f aca="false">D797+C798</f>
        <v>98.664846900125</v>
      </c>
    </row>
    <row r="799" customFormat="false" ht="12.8" hidden="false" customHeight="false" outlineLevel="0" collapsed="false">
      <c r="A799" s="6" t="s">
        <v>801</v>
      </c>
      <c r="B799" s="1" t="n">
        <v>1</v>
      </c>
      <c r="C799" s="6" t="n">
        <f aca="false">B799/9435*100</f>
        <v>0.0105988341282459</v>
      </c>
      <c r="D799" s="2" t="n">
        <f aca="false">D798+C799</f>
        <v>98.6754457342532</v>
      </c>
    </row>
    <row r="800" customFormat="false" ht="12.8" hidden="false" customHeight="false" outlineLevel="0" collapsed="false">
      <c r="A800" s="6" t="s">
        <v>802</v>
      </c>
      <c r="B800" s="1" t="n">
        <v>1</v>
      </c>
      <c r="C800" s="6" t="n">
        <f aca="false">B800/9435*100</f>
        <v>0.0105988341282459</v>
      </c>
      <c r="D800" s="2" t="n">
        <f aca="false">D799+C800</f>
        <v>98.6860445683815</v>
      </c>
    </row>
    <row r="801" customFormat="false" ht="12.8" hidden="false" customHeight="false" outlineLevel="0" collapsed="false">
      <c r="A801" s="6" t="s">
        <v>803</v>
      </c>
      <c r="B801" s="1" t="n">
        <v>1</v>
      </c>
      <c r="C801" s="6" t="n">
        <f aca="false">B801/9435*100</f>
        <v>0.0105988341282459</v>
      </c>
      <c r="D801" s="2" t="n">
        <f aca="false">D800+C801</f>
        <v>98.6966434025097</v>
      </c>
    </row>
    <row r="802" customFormat="false" ht="12.8" hidden="false" customHeight="false" outlineLevel="0" collapsed="false">
      <c r="A802" s="6" t="s">
        <v>804</v>
      </c>
      <c r="B802" s="1" t="n">
        <v>1</v>
      </c>
      <c r="C802" s="6" t="n">
        <f aca="false">B802/9435*100</f>
        <v>0.0105988341282459</v>
      </c>
      <c r="D802" s="2" t="n">
        <f aca="false">D801+C802</f>
        <v>98.707242236638</v>
      </c>
    </row>
    <row r="803" customFormat="false" ht="12.8" hidden="false" customHeight="false" outlineLevel="0" collapsed="false">
      <c r="A803" s="6" t="s">
        <v>805</v>
      </c>
      <c r="B803" s="1" t="n">
        <v>1</v>
      </c>
      <c r="C803" s="6" t="n">
        <f aca="false">B803/9435*100</f>
        <v>0.0105988341282459</v>
      </c>
      <c r="D803" s="2" t="n">
        <f aca="false">D802+C803</f>
        <v>98.7178410707662</v>
      </c>
    </row>
    <row r="804" customFormat="false" ht="12.8" hidden="false" customHeight="false" outlineLevel="0" collapsed="false">
      <c r="A804" s="6" t="s">
        <v>806</v>
      </c>
      <c r="B804" s="1" t="n">
        <v>1</v>
      </c>
      <c r="C804" s="6" t="n">
        <f aca="false">B804/9435*100</f>
        <v>0.0105988341282459</v>
      </c>
      <c r="D804" s="2" t="n">
        <f aca="false">D803+C804</f>
        <v>98.7284399048945</v>
      </c>
    </row>
    <row r="805" customFormat="false" ht="12.8" hidden="false" customHeight="false" outlineLevel="0" collapsed="false">
      <c r="A805" s="6" t="s">
        <v>807</v>
      </c>
      <c r="B805" s="1" t="n">
        <v>1</v>
      </c>
      <c r="C805" s="6" t="n">
        <f aca="false">B805/9435*100</f>
        <v>0.0105988341282459</v>
      </c>
      <c r="D805" s="2" t="n">
        <f aca="false">D804+C805</f>
        <v>98.7390387390227</v>
      </c>
    </row>
    <row r="806" customFormat="false" ht="12.8" hidden="false" customHeight="false" outlineLevel="0" collapsed="false">
      <c r="A806" s="6" t="s">
        <v>808</v>
      </c>
      <c r="B806" s="1" t="n">
        <v>1</v>
      </c>
      <c r="C806" s="6" t="n">
        <f aca="false">B806/9435*100</f>
        <v>0.0105988341282459</v>
      </c>
      <c r="D806" s="2" t="n">
        <f aca="false">D805+C806</f>
        <v>98.749637573151</v>
      </c>
    </row>
    <row r="807" customFormat="false" ht="12.8" hidden="false" customHeight="false" outlineLevel="0" collapsed="false">
      <c r="A807" s="6" t="s">
        <v>809</v>
      </c>
      <c r="B807" s="1" t="n">
        <v>1</v>
      </c>
      <c r="C807" s="6" t="n">
        <f aca="false">B807/9435*100</f>
        <v>0.0105988341282459</v>
      </c>
      <c r="D807" s="2" t="n">
        <f aca="false">D806+C807</f>
        <v>98.7602364072792</v>
      </c>
    </row>
    <row r="808" customFormat="false" ht="12.8" hidden="false" customHeight="false" outlineLevel="0" collapsed="false">
      <c r="A808" s="6" t="s">
        <v>810</v>
      </c>
      <c r="B808" s="1" t="n">
        <v>1</v>
      </c>
      <c r="C808" s="6" t="n">
        <f aca="false">B808/9435*100</f>
        <v>0.0105988341282459</v>
      </c>
      <c r="D808" s="2" t="n">
        <f aca="false">D807+C808</f>
        <v>98.7708352414075</v>
      </c>
    </row>
    <row r="809" customFormat="false" ht="12.8" hidden="false" customHeight="false" outlineLevel="0" collapsed="false">
      <c r="A809" s="6" t="s">
        <v>811</v>
      </c>
      <c r="B809" s="1" t="n">
        <v>1</v>
      </c>
      <c r="C809" s="6" t="n">
        <f aca="false">B809/9435*100</f>
        <v>0.0105988341282459</v>
      </c>
      <c r="D809" s="2" t="n">
        <f aca="false">D808+C809</f>
        <v>98.7814340755357</v>
      </c>
    </row>
    <row r="810" customFormat="false" ht="12.8" hidden="false" customHeight="false" outlineLevel="0" collapsed="false">
      <c r="A810" s="6" t="s">
        <v>812</v>
      </c>
      <c r="B810" s="1" t="n">
        <v>1</v>
      </c>
      <c r="C810" s="6" t="n">
        <f aca="false">B810/9435*100</f>
        <v>0.0105988341282459</v>
      </c>
      <c r="D810" s="2" t="n">
        <f aca="false">D809+C810</f>
        <v>98.7920329096639</v>
      </c>
    </row>
    <row r="811" customFormat="false" ht="12.8" hidden="false" customHeight="false" outlineLevel="0" collapsed="false">
      <c r="A811" s="6" t="s">
        <v>813</v>
      </c>
      <c r="B811" s="1" t="n">
        <v>1</v>
      </c>
      <c r="C811" s="6" t="n">
        <f aca="false">B811/9435*100</f>
        <v>0.0105988341282459</v>
      </c>
      <c r="D811" s="2" t="n">
        <f aca="false">D810+C811</f>
        <v>98.8026317437922</v>
      </c>
    </row>
    <row r="812" customFormat="false" ht="12.8" hidden="false" customHeight="false" outlineLevel="0" collapsed="false">
      <c r="A812" s="6" t="s">
        <v>814</v>
      </c>
      <c r="B812" s="1" t="n">
        <v>1</v>
      </c>
      <c r="C812" s="6" t="n">
        <f aca="false">B812/9435*100</f>
        <v>0.0105988341282459</v>
      </c>
      <c r="D812" s="2" t="n">
        <f aca="false">D811+C812</f>
        <v>98.8132305779204</v>
      </c>
    </row>
    <row r="813" customFormat="false" ht="12.8" hidden="false" customHeight="false" outlineLevel="0" collapsed="false">
      <c r="A813" s="6" t="s">
        <v>815</v>
      </c>
      <c r="B813" s="1" t="n">
        <v>1</v>
      </c>
      <c r="C813" s="6" t="n">
        <f aca="false">B813/9435*100</f>
        <v>0.0105988341282459</v>
      </c>
      <c r="D813" s="2" t="n">
        <f aca="false">D812+C813</f>
        <v>98.8238294120487</v>
      </c>
    </row>
    <row r="814" customFormat="false" ht="12.8" hidden="false" customHeight="false" outlineLevel="0" collapsed="false">
      <c r="A814" s="6" t="s">
        <v>816</v>
      </c>
      <c r="B814" s="1" t="n">
        <v>1</v>
      </c>
      <c r="C814" s="6" t="n">
        <f aca="false">B814/9435*100</f>
        <v>0.0105988341282459</v>
      </c>
      <c r="D814" s="2" t="n">
        <f aca="false">D813+C814</f>
        <v>98.8344282461769</v>
      </c>
    </row>
    <row r="815" customFormat="false" ht="12.8" hidden="false" customHeight="false" outlineLevel="0" collapsed="false">
      <c r="A815" s="6" t="s">
        <v>817</v>
      </c>
      <c r="B815" s="1" t="n">
        <v>1</v>
      </c>
      <c r="C815" s="6" t="n">
        <f aca="false">B815/9435*100</f>
        <v>0.0105988341282459</v>
      </c>
      <c r="D815" s="2" t="n">
        <f aca="false">D814+C815</f>
        <v>98.8450270803052</v>
      </c>
    </row>
    <row r="816" customFormat="false" ht="12.8" hidden="false" customHeight="false" outlineLevel="0" collapsed="false">
      <c r="A816" s="6" t="s">
        <v>818</v>
      </c>
      <c r="B816" s="1" t="n">
        <v>1</v>
      </c>
      <c r="C816" s="6" t="n">
        <f aca="false">B816/9435*100</f>
        <v>0.0105988341282459</v>
      </c>
      <c r="D816" s="2" t="n">
        <f aca="false">D815+C816</f>
        <v>98.8556259144334</v>
      </c>
    </row>
    <row r="817" customFormat="false" ht="12.8" hidden="false" customHeight="false" outlineLevel="0" collapsed="false">
      <c r="A817" s="6" t="s">
        <v>819</v>
      </c>
      <c r="B817" s="1" t="n">
        <v>1</v>
      </c>
      <c r="C817" s="6" t="n">
        <f aca="false">B817/9435*100</f>
        <v>0.0105988341282459</v>
      </c>
      <c r="D817" s="2" t="n">
        <f aca="false">D816+C817</f>
        <v>98.8662247485617</v>
      </c>
    </row>
    <row r="818" customFormat="false" ht="12.8" hidden="false" customHeight="false" outlineLevel="0" collapsed="false">
      <c r="A818" s="6" t="s">
        <v>820</v>
      </c>
      <c r="B818" s="1" t="n">
        <v>1</v>
      </c>
      <c r="C818" s="6" t="n">
        <f aca="false">B818/9435*100</f>
        <v>0.0105988341282459</v>
      </c>
      <c r="D818" s="2" t="n">
        <f aca="false">D817+C818</f>
        <v>98.8768235826899</v>
      </c>
    </row>
    <row r="819" customFormat="false" ht="12.8" hidden="false" customHeight="false" outlineLevel="0" collapsed="false">
      <c r="A819" s="6" t="s">
        <v>821</v>
      </c>
      <c r="B819" s="1" t="n">
        <v>1</v>
      </c>
      <c r="C819" s="6" t="n">
        <f aca="false">B819/9435*100</f>
        <v>0.0105988341282459</v>
      </c>
      <c r="D819" s="2" t="n">
        <f aca="false">D818+C819</f>
        <v>98.8874224168182</v>
      </c>
    </row>
    <row r="820" customFormat="false" ht="12.8" hidden="false" customHeight="false" outlineLevel="0" collapsed="false">
      <c r="A820" s="6" t="s">
        <v>822</v>
      </c>
      <c r="B820" s="1" t="n">
        <v>1</v>
      </c>
      <c r="C820" s="6" t="n">
        <f aca="false">B820/9435*100</f>
        <v>0.0105988341282459</v>
      </c>
      <c r="D820" s="2" t="n">
        <f aca="false">D819+C820</f>
        <v>98.8980212509464</v>
      </c>
    </row>
    <row r="821" customFormat="false" ht="12.8" hidden="false" customHeight="false" outlineLevel="0" collapsed="false">
      <c r="A821" s="6" t="s">
        <v>823</v>
      </c>
      <c r="B821" s="1" t="n">
        <v>1</v>
      </c>
      <c r="C821" s="6" t="n">
        <f aca="false">B821/9435*100</f>
        <v>0.0105988341282459</v>
      </c>
      <c r="D821" s="2" t="n">
        <f aca="false">D820+C821</f>
        <v>98.9086200850747</v>
      </c>
    </row>
    <row r="822" customFormat="false" ht="12.8" hidden="false" customHeight="false" outlineLevel="0" collapsed="false">
      <c r="A822" s="6" t="s">
        <v>824</v>
      </c>
      <c r="B822" s="1" t="n">
        <v>1</v>
      </c>
      <c r="C822" s="6" t="n">
        <f aca="false">B822/9435*100</f>
        <v>0.0105988341282459</v>
      </c>
      <c r="D822" s="2" t="n">
        <f aca="false">D821+C822</f>
        <v>98.9192189192029</v>
      </c>
    </row>
    <row r="823" customFormat="false" ht="12.8" hidden="false" customHeight="false" outlineLevel="0" collapsed="false">
      <c r="A823" s="6" t="s">
        <v>825</v>
      </c>
      <c r="B823" s="1" t="n">
        <v>1</v>
      </c>
      <c r="C823" s="6" t="n">
        <f aca="false">B823/9435*100</f>
        <v>0.0105988341282459</v>
      </c>
      <c r="D823" s="2" t="n">
        <f aca="false">D822+C823</f>
        <v>98.9298177533311</v>
      </c>
    </row>
    <row r="824" customFormat="false" ht="12.8" hidden="false" customHeight="false" outlineLevel="0" collapsed="false">
      <c r="A824" s="6" t="s">
        <v>826</v>
      </c>
      <c r="B824" s="1" t="n">
        <v>1</v>
      </c>
      <c r="C824" s="6" t="n">
        <f aca="false">B824/9435*100</f>
        <v>0.0105988341282459</v>
      </c>
      <c r="D824" s="2" t="n">
        <f aca="false">D823+C824</f>
        <v>98.9404165874594</v>
      </c>
    </row>
    <row r="825" customFormat="false" ht="12.8" hidden="false" customHeight="false" outlineLevel="0" collapsed="false">
      <c r="A825" s="6" t="s">
        <v>827</v>
      </c>
      <c r="B825" s="1" t="n">
        <v>1</v>
      </c>
      <c r="C825" s="6" t="n">
        <f aca="false">B825/9435*100</f>
        <v>0.0105988341282459</v>
      </c>
      <c r="D825" s="2" t="n">
        <f aca="false">D824+C825</f>
        <v>98.9510154215876</v>
      </c>
    </row>
    <row r="826" customFormat="false" ht="12.8" hidden="false" customHeight="false" outlineLevel="0" collapsed="false">
      <c r="A826" s="6" t="s">
        <v>828</v>
      </c>
      <c r="B826" s="1" t="n">
        <v>1</v>
      </c>
      <c r="C826" s="6" t="n">
        <f aca="false">B826/9435*100</f>
        <v>0.0105988341282459</v>
      </c>
      <c r="D826" s="2" t="n">
        <f aca="false">D825+C826</f>
        <v>98.9616142557159</v>
      </c>
    </row>
    <row r="827" customFormat="false" ht="12.8" hidden="false" customHeight="false" outlineLevel="0" collapsed="false">
      <c r="A827" s="6" t="s">
        <v>829</v>
      </c>
      <c r="B827" s="1" t="n">
        <v>1</v>
      </c>
      <c r="C827" s="6" t="n">
        <f aca="false">B827/9435*100</f>
        <v>0.0105988341282459</v>
      </c>
      <c r="D827" s="2" t="n">
        <f aca="false">D826+C827</f>
        <v>98.9722130898441</v>
      </c>
    </row>
    <row r="828" customFormat="false" ht="12.8" hidden="false" customHeight="false" outlineLevel="0" collapsed="false">
      <c r="A828" s="6" t="s">
        <v>830</v>
      </c>
      <c r="B828" s="1" t="n">
        <v>1</v>
      </c>
      <c r="C828" s="6" t="n">
        <f aca="false">B828/9435*100</f>
        <v>0.0105988341282459</v>
      </c>
      <c r="D828" s="2" t="n">
        <f aca="false">D827+C828</f>
        <v>98.9828119239724</v>
      </c>
    </row>
    <row r="829" customFormat="false" ht="12.8" hidden="false" customHeight="false" outlineLevel="0" collapsed="false">
      <c r="A829" s="6" t="s">
        <v>831</v>
      </c>
      <c r="B829" s="1" t="n">
        <v>1</v>
      </c>
      <c r="C829" s="6" t="n">
        <f aca="false">B829/9435*100</f>
        <v>0.0105988341282459</v>
      </c>
      <c r="D829" s="2" t="n">
        <f aca="false">D828+C829</f>
        <v>98.9934107581006</v>
      </c>
    </row>
    <row r="830" customFormat="false" ht="12.8" hidden="false" customHeight="false" outlineLevel="0" collapsed="false">
      <c r="A830" s="6" t="s">
        <v>832</v>
      </c>
      <c r="B830" s="1" t="n">
        <v>1</v>
      </c>
      <c r="C830" s="6" t="n">
        <f aca="false">B830/9435*100</f>
        <v>0.0105988341282459</v>
      </c>
      <c r="D830" s="2" t="n">
        <f aca="false">D829+C830</f>
        <v>99.0040095922289</v>
      </c>
    </row>
    <row r="831" customFormat="false" ht="12.8" hidden="false" customHeight="false" outlineLevel="0" collapsed="false">
      <c r="A831" s="6" t="s">
        <v>833</v>
      </c>
      <c r="B831" s="1" t="n">
        <v>1</v>
      </c>
      <c r="C831" s="6" t="n">
        <f aca="false">B831/9435*100</f>
        <v>0.0105988341282459</v>
      </c>
      <c r="D831" s="2" t="n">
        <f aca="false">D830+C831</f>
        <v>99.0146084263571</v>
      </c>
    </row>
    <row r="832" customFormat="false" ht="12.8" hidden="false" customHeight="false" outlineLevel="0" collapsed="false">
      <c r="A832" s="6" t="s">
        <v>834</v>
      </c>
      <c r="B832" s="1" t="n">
        <v>1</v>
      </c>
      <c r="C832" s="6" t="n">
        <f aca="false">B832/9435*100</f>
        <v>0.0105988341282459</v>
      </c>
      <c r="D832" s="2" t="n">
        <f aca="false">D831+C832</f>
        <v>99.0252072604853</v>
      </c>
    </row>
    <row r="833" customFormat="false" ht="12.8" hidden="false" customHeight="false" outlineLevel="0" collapsed="false">
      <c r="A833" s="6" t="s">
        <v>835</v>
      </c>
      <c r="B833" s="1" t="n">
        <v>1</v>
      </c>
      <c r="C833" s="6" t="n">
        <f aca="false">B833/9435*100</f>
        <v>0.0105988341282459</v>
      </c>
      <c r="D833" s="2" t="n">
        <f aca="false">D832+C833</f>
        <v>99.0358060946136</v>
      </c>
    </row>
    <row r="834" customFormat="false" ht="12.8" hidden="false" customHeight="false" outlineLevel="0" collapsed="false">
      <c r="A834" s="6" t="s">
        <v>836</v>
      </c>
      <c r="B834" s="1" t="n">
        <v>1</v>
      </c>
      <c r="C834" s="6" t="n">
        <f aca="false">B834/9435*100</f>
        <v>0.0105988341282459</v>
      </c>
      <c r="D834" s="2" t="n">
        <f aca="false">D833+C834</f>
        <v>99.0464049287418</v>
      </c>
    </row>
    <row r="835" customFormat="false" ht="12.8" hidden="false" customHeight="false" outlineLevel="0" collapsed="false">
      <c r="A835" s="6" t="s">
        <v>837</v>
      </c>
      <c r="B835" s="1" t="n">
        <v>1</v>
      </c>
      <c r="C835" s="6" t="n">
        <f aca="false">B835/9435*100</f>
        <v>0.0105988341282459</v>
      </c>
      <c r="D835" s="2" t="n">
        <f aca="false">D834+C835</f>
        <v>99.0570037628701</v>
      </c>
    </row>
    <row r="836" customFormat="false" ht="12.8" hidden="false" customHeight="false" outlineLevel="0" collapsed="false">
      <c r="A836" s="6" t="s">
        <v>838</v>
      </c>
      <c r="B836" s="1" t="n">
        <v>1</v>
      </c>
      <c r="C836" s="6" t="n">
        <f aca="false">B836/9435*100</f>
        <v>0.0105988341282459</v>
      </c>
      <c r="D836" s="2" t="n">
        <f aca="false">D835+C836</f>
        <v>99.0676025969983</v>
      </c>
    </row>
    <row r="837" customFormat="false" ht="12.8" hidden="false" customHeight="false" outlineLevel="0" collapsed="false">
      <c r="A837" s="6" t="s">
        <v>839</v>
      </c>
      <c r="B837" s="1" t="n">
        <v>1</v>
      </c>
      <c r="C837" s="6" t="n">
        <f aca="false">B837/9435*100</f>
        <v>0.0105988341282459</v>
      </c>
      <c r="D837" s="2" t="n">
        <f aca="false">D836+C837</f>
        <v>99.0782014311266</v>
      </c>
    </row>
    <row r="838" customFormat="false" ht="12.8" hidden="false" customHeight="false" outlineLevel="0" collapsed="false">
      <c r="A838" s="6" t="s">
        <v>840</v>
      </c>
      <c r="B838" s="1" t="n">
        <v>1</v>
      </c>
      <c r="C838" s="6" t="n">
        <f aca="false">B838/9435*100</f>
        <v>0.0105988341282459</v>
      </c>
      <c r="D838" s="2" t="n">
        <f aca="false">D837+C838</f>
        <v>99.0888002652548</v>
      </c>
    </row>
    <row r="839" customFormat="false" ht="12.8" hidden="false" customHeight="false" outlineLevel="0" collapsed="false">
      <c r="A839" s="6" t="s">
        <v>841</v>
      </c>
      <c r="B839" s="1" t="n">
        <v>1</v>
      </c>
      <c r="C839" s="6" t="n">
        <f aca="false">B839/9435*100</f>
        <v>0.0105988341282459</v>
      </c>
      <c r="D839" s="2" t="n">
        <f aca="false">D838+C839</f>
        <v>99.0993990993831</v>
      </c>
    </row>
    <row r="840" customFormat="false" ht="12.8" hidden="false" customHeight="false" outlineLevel="0" collapsed="false">
      <c r="A840" s="6" t="s">
        <v>842</v>
      </c>
      <c r="B840" s="1" t="n">
        <v>1</v>
      </c>
      <c r="C840" s="6" t="n">
        <f aca="false">B840/9435*100</f>
        <v>0.0105988341282459</v>
      </c>
      <c r="D840" s="2" t="n">
        <f aca="false">D839+C840</f>
        <v>99.1099979335113</v>
      </c>
    </row>
    <row r="841" customFormat="false" ht="12.8" hidden="false" customHeight="false" outlineLevel="0" collapsed="false">
      <c r="A841" s="6" t="s">
        <v>843</v>
      </c>
      <c r="B841" s="1" t="n">
        <v>1</v>
      </c>
      <c r="C841" s="6" t="n">
        <f aca="false">B841/9435*100</f>
        <v>0.0105988341282459</v>
      </c>
      <c r="D841" s="2" t="n">
        <f aca="false">D840+C841</f>
        <v>99.1205967676396</v>
      </c>
    </row>
    <row r="842" customFormat="false" ht="12.8" hidden="false" customHeight="false" outlineLevel="0" collapsed="false">
      <c r="A842" s="6" t="s">
        <v>844</v>
      </c>
      <c r="B842" s="1" t="n">
        <v>1</v>
      </c>
      <c r="C842" s="6" t="n">
        <f aca="false">B842/9435*100</f>
        <v>0.0105988341282459</v>
      </c>
      <c r="D842" s="2" t="n">
        <f aca="false">D841+C842</f>
        <v>99.1311956017678</v>
      </c>
    </row>
    <row r="843" customFormat="false" ht="12.8" hidden="false" customHeight="false" outlineLevel="0" collapsed="false">
      <c r="A843" s="6" t="s">
        <v>845</v>
      </c>
      <c r="B843" s="1" t="n">
        <v>1</v>
      </c>
      <c r="C843" s="6" t="n">
        <f aca="false">B843/9435*100</f>
        <v>0.0105988341282459</v>
      </c>
      <c r="D843" s="2" t="n">
        <f aca="false">D842+C843</f>
        <v>99.1417944358961</v>
      </c>
    </row>
    <row r="844" customFormat="false" ht="12.8" hidden="false" customHeight="false" outlineLevel="0" collapsed="false">
      <c r="A844" s="6" t="s">
        <v>846</v>
      </c>
      <c r="B844" s="1" t="n">
        <v>1</v>
      </c>
      <c r="C844" s="6" t="n">
        <f aca="false">B844/9435*100</f>
        <v>0.0105988341282459</v>
      </c>
      <c r="D844" s="2" t="n">
        <f aca="false">D843+C844</f>
        <v>99.1523932700243</v>
      </c>
    </row>
    <row r="845" customFormat="false" ht="12.8" hidden="false" customHeight="false" outlineLevel="0" collapsed="false">
      <c r="A845" s="6" t="s">
        <v>847</v>
      </c>
      <c r="B845" s="1" t="n">
        <v>1</v>
      </c>
      <c r="C845" s="6" t="n">
        <f aca="false">B845/9435*100</f>
        <v>0.0105988341282459</v>
      </c>
      <c r="D845" s="2" t="n">
        <f aca="false">D844+C845</f>
        <v>99.1629921041525</v>
      </c>
    </row>
    <row r="846" customFormat="false" ht="12.8" hidden="false" customHeight="false" outlineLevel="0" collapsed="false">
      <c r="A846" s="6" t="s">
        <v>848</v>
      </c>
      <c r="B846" s="1" t="n">
        <v>1</v>
      </c>
      <c r="C846" s="6" t="n">
        <f aca="false">B846/9435*100</f>
        <v>0.0105988341282459</v>
      </c>
      <c r="D846" s="2" t="n">
        <f aca="false">D845+C846</f>
        <v>99.1735909382808</v>
      </c>
    </row>
    <row r="847" customFormat="false" ht="12.8" hidden="false" customHeight="false" outlineLevel="0" collapsed="false">
      <c r="A847" s="6" t="s">
        <v>849</v>
      </c>
      <c r="B847" s="1" t="n">
        <v>1</v>
      </c>
      <c r="C847" s="6" t="n">
        <f aca="false">B847/9435*100</f>
        <v>0.0105988341282459</v>
      </c>
      <c r="D847" s="2" t="n">
        <f aca="false">D846+C847</f>
        <v>99.184189772409</v>
      </c>
    </row>
    <row r="848" customFormat="false" ht="12.8" hidden="false" customHeight="false" outlineLevel="0" collapsed="false">
      <c r="A848" s="6" t="s">
        <v>850</v>
      </c>
      <c r="B848" s="1" t="n">
        <v>1</v>
      </c>
      <c r="C848" s="6" t="n">
        <f aca="false">B848/9435*100</f>
        <v>0.0105988341282459</v>
      </c>
      <c r="D848" s="2" t="n">
        <f aca="false">D847+C848</f>
        <v>99.1947886065373</v>
      </c>
    </row>
    <row r="849" customFormat="false" ht="12.8" hidden="false" customHeight="false" outlineLevel="0" collapsed="false">
      <c r="A849" s="6" t="s">
        <v>851</v>
      </c>
      <c r="B849" s="1" t="n">
        <v>1</v>
      </c>
      <c r="C849" s="6" t="n">
        <f aca="false">B849/9435*100</f>
        <v>0.0105988341282459</v>
      </c>
      <c r="D849" s="2" t="n">
        <f aca="false">D848+C849</f>
        <v>99.2053874406655</v>
      </c>
    </row>
    <row r="850" customFormat="false" ht="12.8" hidden="false" customHeight="false" outlineLevel="0" collapsed="false">
      <c r="A850" s="6" t="s">
        <v>852</v>
      </c>
      <c r="B850" s="1" t="n">
        <v>1</v>
      </c>
      <c r="C850" s="6" t="n">
        <f aca="false">B850/9435*100</f>
        <v>0.0105988341282459</v>
      </c>
      <c r="D850" s="2" t="n">
        <f aca="false">D849+C850</f>
        <v>99.2159862747938</v>
      </c>
    </row>
    <row r="851" customFormat="false" ht="12.8" hidden="false" customHeight="false" outlineLevel="0" collapsed="false">
      <c r="A851" s="6" t="s">
        <v>853</v>
      </c>
      <c r="B851" s="1" t="n">
        <v>1</v>
      </c>
      <c r="C851" s="6" t="n">
        <f aca="false">B851/9435*100</f>
        <v>0.0105988341282459</v>
      </c>
      <c r="D851" s="2" t="n">
        <f aca="false">D850+C851</f>
        <v>99.226585108922</v>
      </c>
    </row>
    <row r="852" customFormat="false" ht="12.8" hidden="false" customHeight="false" outlineLevel="0" collapsed="false">
      <c r="A852" s="6" t="s">
        <v>854</v>
      </c>
      <c r="B852" s="1" t="n">
        <v>1</v>
      </c>
      <c r="C852" s="6" t="n">
        <f aca="false">B852/9435*100</f>
        <v>0.0105988341282459</v>
      </c>
      <c r="D852" s="2" t="n">
        <f aca="false">D851+C852</f>
        <v>99.2371839430503</v>
      </c>
    </row>
    <row r="853" customFormat="false" ht="12.8" hidden="false" customHeight="false" outlineLevel="0" collapsed="false">
      <c r="A853" s="6" t="s">
        <v>855</v>
      </c>
      <c r="B853" s="1" t="n">
        <v>1</v>
      </c>
      <c r="C853" s="6" t="n">
        <f aca="false">B853/9435*100</f>
        <v>0.0105988341282459</v>
      </c>
      <c r="D853" s="2" t="n">
        <f aca="false">D852+C853</f>
        <v>99.2477827771785</v>
      </c>
    </row>
    <row r="854" customFormat="false" ht="12.8" hidden="false" customHeight="false" outlineLevel="0" collapsed="false">
      <c r="A854" s="6" t="s">
        <v>856</v>
      </c>
      <c r="B854" s="1" t="n">
        <v>1</v>
      </c>
      <c r="C854" s="6" t="n">
        <f aca="false">B854/9435*100</f>
        <v>0.0105988341282459</v>
      </c>
      <c r="D854" s="2" t="n">
        <f aca="false">D853+C854</f>
        <v>99.2583816113067</v>
      </c>
    </row>
    <row r="855" customFormat="false" ht="12.8" hidden="false" customHeight="false" outlineLevel="0" collapsed="false">
      <c r="A855" s="6" t="s">
        <v>857</v>
      </c>
      <c r="B855" s="1" t="n">
        <v>1</v>
      </c>
      <c r="C855" s="6" t="n">
        <f aca="false">B855/9435*100</f>
        <v>0.0105988341282459</v>
      </c>
      <c r="D855" s="2" t="n">
        <f aca="false">D854+C855</f>
        <v>99.268980445435</v>
      </c>
    </row>
    <row r="856" customFormat="false" ht="12.8" hidden="false" customHeight="false" outlineLevel="0" collapsed="false">
      <c r="A856" s="6" t="s">
        <v>858</v>
      </c>
      <c r="B856" s="1" t="n">
        <v>1</v>
      </c>
      <c r="C856" s="6" t="n">
        <f aca="false">B856/9435*100</f>
        <v>0.0105988341282459</v>
      </c>
      <c r="D856" s="2" t="n">
        <f aca="false">D855+C856</f>
        <v>99.2795792795632</v>
      </c>
    </row>
    <row r="857" customFormat="false" ht="12.8" hidden="false" customHeight="false" outlineLevel="0" collapsed="false">
      <c r="A857" s="6" t="s">
        <v>859</v>
      </c>
      <c r="B857" s="1" t="n">
        <v>1</v>
      </c>
      <c r="C857" s="6" t="n">
        <f aca="false">B857/9435*100</f>
        <v>0.0105988341282459</v>
      </c>
      <c r="D857" s="2" t="n">
        <f aca="false">D856+C857</f>
        <v>99.2901781136915</v>
      </c>
    </row>
    <row r="858" customFormat="false" ht="12.8" hidden="false" customHeight="false" outlineLevel="0" collapsed="false">
      <c r="A858" s="6" t="s">
        <v>860</v>
      </c>
      <c r="B858" s="1" t="n">
        <v>1</v>
      </c>
      <c r="C858" s="6" t="n">
        <f aca="false">B858/9435*100</f>
        <v>0.0105988341282459</v>
      </c>
      <c r="D858" s="2" t="n">
        <f aca="false">D857+C858</f>
        <v>99.3007769478197</v>
      </c>
    </row>
    <row r="859" customFormat="false" ht="12.8" hidden="false" customHeight="false" outlineLevel="0" collapsed="false">
      <c r="A859" s="6" t="s">
        <v>861</v>
      </c>
      <c r="B859" s="1" t="n">
        <v>1</v>
      </c>
      <c r="C859" s="6" t="n">
        <f aca="false">B859/9435*100</f>
        <v>0.0105988341282459</v>
      </c>
      <c r="D859" s="2" t="n">
        <f aca="false">D858+C859</f>
        <v>99.311375781948</v>
      </c>
    </row>
    <row r="860" customFormat="false" ht="12.8" hidden="false" customHeight="false" outlineLevel="0" collapsed="false">
      <c r="A860" s="6" t="s">
        <v>862</v>
      </c>
      <c r="B860" s="1" t="n">
        <v>1</v>
      </c>
      <c r="C860" s="6" t="n">
        <f aca="false">B860/9435*100</f>
        <v>0.0105988341282459</v>
      </c>
      <c r="D860" s="2" t="n">
        <f aca="false">D859+C860</f>
        <v>99.3219746160762</v>
      </c>
    </row>
    <row r="861" customFormat="false" ht="12.8" hidden="false" customHeight="false" outlineLevel="0" collapsed="false">
      <c r="A861" s="6" t="s">
        <v>863</v>
      </c>
      <c r="B861" s="1" t="n">
        <v>1</v>
      </c>
      <c r="C861" s="6" t="n">
        <f aca="false">B861/9435*100</f>
        <v>0.0105988341282459</v>
      </c>
      <c r="D861" s="2" t="n">
        <f aca="false">D860+C861</f>
        <v>99.3325734502045</v>
      </c>
    </row>
    <row r="862" customFormat="false" ht="12.8" hidden="false" customHeight="false" outlineLevel="0" collapsed="false">
      <c r="A862" s="6" t="s">
        <v>864</v>
      </c>
      <c r="B862" s="1" t="n">
        <v>1</v>
      </c>
      <c r="C862" s="6" t="n">
        <f aca="false">B862/9435*100</f>
        <v>0.0105988341282459</v>
      </c>
      <c r="D862" s="2" t="n">
        <f aca="false">D861+C862</f>
        <v>99.3431722843327</v>
      </c>
    </row>
    <row r="863" customFormat="false" ht="12.8" hidden="false" customHeight="false" outlineLevel="0" collapsed="false">
      <c r="A863" s="6" t="s">
        <v>865</v>
      </c>
      <c r="B863" s="1" t="n">
        <v>1</v>
      </c>
      <c r="C863" s="6" t="n">
        <f aca="false">B863/9435*100</f>
        <v>0.0105988341282459</v>
      </c>
      <c r="D863" s="2" t="n">
        <f aca="false">D862+C863</f>
        <v>99.353771118461</v>
      </c>
    </row>
    <row r="864" customFormat="false" ht="12.8" hidden="false" customHeight="false" outlineLevel="0" collapsed="false">
      <c r="A864" s="6" t="s">
        <v>866</v>
      </c>
      <c r="B864" s="1" t="n">
        <v>1</v>
      </c>
      <c r="C864" s="6" t="n">
        <f aca="false">B864/9435*100</f>
        <v>0.0105988341282459</v>
      </c>
      <c r="D864" s="2" t="n">
        <f aca="false">D863+C864</f>
        <v>99.3643699525892</v>
      </c>
    </row>
    <row r="865" customFormat="false" ht="12.8" hidden="false" customHeight="false" outlineLevel="0" collapsed="false">
      <c r="A865" s="6" t="s">
        <v>867</v>
      </c>
      <c r="B865" s="1" t="n">
        <v>1</v>
      </c>
      <c r="C865" s="6" t="n">
        <f aca="false">B865/9435*100</f>
        <v>0.0105988341282459</v>
      </c>
      <c r="D865" s="2" t="n">
        <f aca="false">D864+C865</f>
        <v>99.3749687867174</v>
      </c>
    </row>
    <row r="866" customFormat="false" ht="12.8" hidden="false" customHeight="false" outlineLevel="0" collapsed="false">
      <c r="A866" s="6" t="s">
        <v>868</v>
      </c>
      <c r="B866" s="1" t="n">
        <v>1</v>
      </c>
      <c r="C866" s="6" t="n">
        <f aca="false">B866/9435*100</f>
        <v>0.0105988341282459</v>
      </c>
      <c r="D866" s="2" t="n">
        <f aca="false">D865+C866</f>
        <v>99.3855676208457</v>
      </c>
    </row>
    <row r="867" customFormat="false" ht="12.8" hidden="false" customHeight="false" outlineLevel="0" collapsed="false">
      <c r="A867" s="6" t="s">
        <v>869</v>
      </c>
      <c r="B867" s="1" t="n">
        <v>1</v>
      </c>
      <c r="C867" s="6" t="n">
        <f aca="false">B867/9435*100</f>
        <v>0.0105988341282459</v>
      </c>
      <c r="D867" s="2" t="n">
        <f aca="false">D866+C867</f>
        <v>99.3961664549739</v>
      </c>
    </row>
    <row r="868" customFormat="false" ht="12.8" hidden="false" customHeight="false" outlineLevel="0" collapsed="false">
      <c r="A868" s="6" t="s">
        <v>870</v>
      </c>
      <c r="B868" s="1" t="n">
        <v>1</v>
      </c>
      <c r="C868" s="6" t="n">
        <f aca="false">B868/9435*100</f>
        <v>0.0105988341282459</v>
      </c>
      <c r="D868" s="2" t="n">
        <f aca="false">D867+C868</f>
        <v>99.4067652891022</v>
      </c>
    </row>
    <row r="869" customFormat="false" ht="12.8" hidden="false" customHeight="false" outlineLevel="0" collapsed="false">
      <c r="A869" s="6" t="s">
        <v>871</v>
      </c>
      <c r="B869" s="1" t="n">
        <v>1</v>
      </c>
      <c r="C869" s="6" t="n">
        <f aca="false">B869/9435*100</f>
        <v>0.0105988341282459</v>
      </c>
      <c r="D869" s="2" t="n">
        <f aca="false">D868+C869</f>
        <v>99.4173641232304</v>
      </c>
    </row>
    <row r="870" customFormat="false" ht="12.8" hidden="false" customHeight="false" outlineLevel="0" collapsed="false">
      <c r="A870" s="6" t="s">
        <v>872</v>
      </c>
      <c r="B870" s="1" t="n">
        <v>1</v>
      </c>
      <c r="C870" s="6" t="n">
        <f aca="false">B870/9435*100</f>
        <v>0.0105988341282459</v>
      </c>
      <c r="D870" s="2" t="n">
        <f aca="false">D869+C870</f>
        <v>99.4279629573587</v>
      </c>
    </row>
    <row r="871" customFormat="false" ht="12.8" hidden="false" customHeight="false" outlineLevel="0" collapsed="false">
      <c r="A871" s="6" t="s">
        <v>873</v>
      </c>
      <c r="B871" s="1" t="n">
        <v>1</v>
      </c>
      <c r="C871" s="6" t="n">
        <f aca="false">B871/9435*100</f>
        <v>0.0105988341282459</v>
      </c>
      <c r="D871" s="2" t="n">
        <f aca="false">D870+C871</f>
        <v>99.4385617914869</v>
      </c>
    </row>
    <row r="872" customFormat="false" ht="12.8" hidden="false" customHeight="false" outlineLevel="0" collapsed="false">
      <c r="A872" s="6" t="s">
        <v>874</v>
      </c>
      <c r="B872" s="1" t="n">
        <v>1</v>
      </c>
      <c r="C872" s="6" t="n">
        <f aca="false">B872/9435*100</f>
        <v>0.0105988341282459</v>
      </c>
      <c r="D872" s="2" t="n">
        <f aca="false">D871+C872</f>
        <v>99.4491606256152</v>
      </c>
    </row>
    <row r="873" customFormat="false" ht="12.8" hidden="false" customHeight="false" outlineLevel="0" collapsed="false">
      <c r="A873" s="6" t="s">
        <v>875</v>
      </c>
      <c r="B873" s="1" t="n">
        <v>1</v>
      </c>
      <c r="C873" s="6" t="n">
        <f aca="false">B873/9435*100</f>
        <v>0.0105988341282459</v>
      </c>
      <c r="D873" s="2" t="n">
        <f aca="false">D872+C873</f>
        <v>99.4597594597434</v>
      </c>
    </row>
    <row r="874" customFormat="false" ht="12.8" hidden="false" customHeight="false" outlineLevel="0" collapsed="false">
      <c r="A874" s="6" t="s">
        <v>876</v>
      </c>
      <c r="B874" s="1" t="n">
        <v>1</v>
      </c>
      <c r="C874" s="6" t="n">
        <f aca="false">B874/9435*100</f>
        <v>0.0105988341282459</v>
      </c>
      <c r="D874" s="2" t="n">
        <f aca="false">D873+C874</f>
        <v>99.4703582938717</v>
      </c>
    </row>
    <row r="875" customFormat="false" ht="12.8" hidden="false" customHeight="false" outlineLevel="0" collapsed="false">
      <c r="A875" s="6" t="s">
        <v>877</v>
      </c>
      <c r="B875" s="1" t="n">
        <v>1</v>
      </c>
      <c r="C875" s="6" t="n">
        <f aca="false">B875/9435*100</f>
        <v>0.0105988341282459</v>
      </c>
      <c r="D875" s="2" t="n">
        <f aca="false">D874+C875</f>
        <v>99.4809571279999</v>
      </c>
    </row>
    <row r="876" customFormat="false" ht="12.8" hidden="false" customHeight="false" outlineLevel="0" collapsed="false">
      <c r="A876" s="6" t="s">
        <v>878</v>
      </c>
      <c r="B876" s="1" t="n">
        <v>1</v>
      </c>
      <c r="C876" s="6" t="n">
        <f aca="false">B876/9435*100</f>
        <v>0.0105988341282459</v>
      </c>
      <c r="D876" s="2" t="n">
        <f aca="false">D875+C876</f>
        <v>99.4915559621282</v>
      </c>
    </row>
    <row r="877" customFormat="false" ht="12.8" hidden="false" customHeight="false" outlineLevel="0" collapsed="false">
      <c r="A877" s="6" t="s">
        <v>879</v>
      </c>
      <c r="B877" s="1" t="n">
        <v>1</v>
      </c>
      <c r="C877" s="6" t="n">
        <f aca="false">B877/9435*100</f>
        <v>0.0105988341282459</v>
      </c>
      <c r="D877" s="2" t="n">
        <f aca="false">D876+C877</f>
        <v>99.5021547962564</v>
      </c>
    </row>
    <row r="878" customFormat="false" ht="12.8" hidden="false" customHeight="false" outlineLevel="0" collapsed="false">
      <c r="A878" s="6" t="s">
        <v>880</v>
      </c>
      <c r="B878" s="1" t="n">
        <v>1</v>
      </c>
      <c r="C878" s="6" t="n">
        <f aca="false">B878/9435*100</f>
        <v>0.0105988341282459</v>
      </c>
      <c r="D878" s="2" t="n">
        <f aca="false">D877+C878</f>
        <v>99.5127536303846</v>
      </c>
    </row>
    <row r="879" customFormat="false" ht="12.8" hidden="false" customHeight="false" outlineLevel="0" collapsed="false">
      <c r="A879" s="6" t="s">
        <v>881</v>
      </c>
      <c r="B879" s="1" t="n">
        <v>1</v>
      </c>
      <c r="C879" s="6" t="n">
        <f aca="false">B879/9435*100</f>
        <v>0.0105988341282459</v>
      </c>
      <c r="D879" s="2" t="n">
        <f aca="false">D878+C879</f>
        <v>99.5233524645129</v>
      </c>
    </row>
    <row r="880" customFormat="false" ht="12.8" hidden="false" customHeight="false" outlineLevel="0" collapsed="false">
      <c r="A880" s="6" t="s">
        <v>882</v>
      </c>
      <c r="B880" s="1" t="n">
        <v>1</v>
      </c>
      <c r="C880" s="6" t="n">
        <f aca="false">B880/9435*100</f>
        <v>0.0105988341282459</v>
      </c>
      <c r="D880" s="2" t="n">
        <f aca="false">D879+C880</f>
        <v>99.5339512986411</v>
      </c>
    </row>
    <row r="881" customFormat="false" ht="12.8" hidden="false" customHeight="false" outlineLevel="0" collapsed="false">
      <c r="A881" s="6" t="s">
        <v>883</v>
      </c>
      <c r="B881" s="1" t="n">
        <v>1</v>
      </c>
      <c r="C881" s="6" t="n">
        <f aca="false">B881/9435*100</f>
        <v>0.0105988341282459</v>
      </c>
      <c r="D881" s="2" t="n">
        <f aca="false">D880+C881</f>
        <v>99.5445501327694</v>
      </c>
    </row>
    <row r="882" customFormat="false" ht="12.8" hidden="false" customHeight="false" outlineLevel="0" collapsed="false">
      <c r="A882" s="6" t="s">
        <v>884</v>
      </c>
      <c r="B882" s="1" t="n">
        <v>1</v>
      </c>
      <c r="C882" s="6" t="n">
        <f aca="false">B882/9435*100</f>
        <v>0.0105988341282459</v>
      </c>
      <c r="D882" s="2" t="n">
        <f aca="false">D881+C882</f>
        <v>99.5551489668976</v>
      </c>
    </row>
    <row r="883" customFormat="false" ht="12.8" hidden="false" customHeight="false" outlineLevel="0" collapsed="false">
      <c r="A883" s="6" t="s">
        <v>885</v>
      </c>
      <c r="B883" s="1" t="n">
        <v>1</v>
      </c>
      <c r="C883" s="6" t="n">
        <f aca="false">B883/9435*100</f>
        <v>0.0105988341282459</v>
      </c>
      <c r="D883" s="2" t="n">
        <f aca="false">D882+C883</f>
        <v>99.5657478010259</v>
      </c>
    </row>
    <row r="884" customFormat="false" ht="12.8" hidden="false" customHeight="false" outlineLevel="0" collapsed="false">
      <c r="A884" s="6" t="s">
        <v>886</v>
      </c>
      <c r="B884" s="1" t="n">
        <v>1</v>
      </c>
      <c r="C884" s="6" t="n">
        <f aca="false">B884/9435*100</f>
        <v>0.0105988341282459</v>
      </c>
      <c r="D884" s="2" t="n">
        <f aca="false">D883+C884</f>
        <v>99.5763466351541</v>
      </c>
    </row>
    <row r="885" customFormat="false" ht="12.8" hidden="false" customHeight="false" outlineLevel="0" collapsed="false">
      <c r="A885" s="6" t="s">
        <v>887</v>
      </c>
      <c r="B885" s="1" t="n">
        <v>1</v>
      </c>
      <c r="C885" s="6" t="n">
        <f aca="false">B885/9435*100</f>
        <v>0.0105988341282459</v>
      </c>
      <c r="D885" s="2" t="n">
        <f aca="false">D884+C885</f>
        <v>99.5869454692824</v>
      </c>
    </row>
    <row r="886" customFormat="false" ht="12.8" hidden="false" customHeight="false" outlineLevel="0" collapsed="false">
      <c r="A886" s="6" t="s">
        <v>888</v>
      </c>
      <c r="B886" s="1" t="n">
        <v>1</v>
      </c>
      <c r="C886" s="6" t="n">
        <f aca="false">B886/9435*100</f>
        <v>0.0105988341282459</v>
      </c>
      <c r="D886" s="2" t="n">
        <f aca="false">D885+C886</f>
        <v>99.5975443034106</v>
      </c>
    </row>
    <row r="887" customFormat="false" ht="12.8" hidden="false" customHeight="false" outlineLevel="0" collapsed="false">
      <c r="A887" s="6" t="s">
        <v>889</v>
      </c>
      <c r="B887" s="1" t="n">
        <v>1</v>
      </c>
      <c r="C887" s="6" t="n">
        <f aca="false">B887/9435*100</f>
        <v>0.0105988341282459</v>
      </c>
      <c r="D887" s="2" t="n">
        <f aca="false">D886+C887</f>
        <v>99.6081431375388</v>
      </c>
    </row>
    <row r="888" customFormat="false" ht="12.8" hidden="false" customHeight="false" outlineLevel="0" collapsed="false">
      <c r="A888" s="6" t="s">
        <v>890</v>
      </c>
      <c r="B888" s="1" t="n">
        <v>1</v>
      </c>
      <c r="C888" s="6" t="n">
        <f aca="false">B888/9435*100</f>
        <v>0.0105988341282459</v>
      </c>
      <c r="D888" s="2" t="n">
        <f aca="false">D887+C888</f>
        <v>99.6187419716671</v>
      </c>
    </row>
    <row r="889" customFormat="false" ht="12.8" hidden="false" customHeight="false" outlineLevel="0" collapsed="false">
      <c r="A889" s="6" t="s">
        <v>891</v>
      </c>
      <c r="B889" s="1" t="n">
        <v>1</v>
      </c>
      <c r="C889" s="6" t="n">
        <f aca="false">B889/9435*100</f>
        <v>0.0105988341282459</v>
      </c>
      <c r="D889" s="2" t="n">
        <f aca="false">D888+C889</f>
        <v>99.6293408057953</v>
      </c>
    </row>
    <row r="890" customFormat="false" ht="12.8" hidden="false" customHeight="false" outlineLevel="0" collapsed="false">
      <c r="A890" s="6" t="s">
        <v>892</v>
      </c>
      <c r="B890" s="1" t="n">
        <v>1</v>
      </c>
      <c r="C890" s="6" t="n">
        <f aca="false">B890/9435*100</f>
        <v>0.0105988341282459</v>
      </c>
      <c r="D890" s="2" t="n">
        <f aca="false">D889+C890</f>
        <v>99.6399396399236</v>
      </c>
    </row>
    <row r="891" customFormat="false" ht="12.8" hidden="false" customHeight="false" outlineLevel="0" collapsed="false">
      <c r="A891" s="6" t="s">
        <v>893</v>
      </c>
      <c r="B891" s="1" t="n">
        <v>1</v>
      </c>
      <c r="C891" s="6" t="n">
        <f aca="false">B891/9435*100</f>
        <v>0.0105988341282459</v>
      </c>
      <c r="D891" s="2" t="n">
        <f aca="false">D890+C891</f>
        <v>99.6505384740518</v>
      </c>
    </row>
    <row r="892" customFormat="false" ht="12.8" hidden="false" customHeight="false" outlineLevel="0" collapsed="false">
      <c r="A892" s="6" t="s">
        <v>894</v>
      </c>
      <c r="B892" s="1" t="n">
        <v>1</v>
      </c>
      <c r="C892" s="6" t="n">
        <f aca="false">B892/9435*100</f>
        <v>0.0105988341282459</v>
      </c>
      <c r="D892" s="2" t="n">
        <f aca="false">D891+C892</f>
        <v>99.6611373081801</v>
      </c>
    </row>
    <row r="893" customFormat="false" ht="12.8" hidden="false" customHeight="false" outlineLevel="0" collapsed="false">
      <c r="A893" s="6" t="s">
        <v>895</v>
      </c>
      <c r="B893" s="1" t="n">
        <v>1</v>
      </c>
      <c r="C893" s="6" t="n">
        <f aca="false">B893/9435*100</f>
        <v>0.0105988341282459</v>
      </c>
      <c r="D893" s="2" t="n">
        <f aca="false">D892+C893</f>
        <v>99.6717361423083</v>
      </c>
    </row>
    <row r="894" customFormat="false" ht="12.8" hidden="false" customHeight="false" outlineLevel="0" collapsed="false">
      <c r="A894" s="6" t="s">
        <v>896</v>
      </c>
      <c r="B894" s="1" t="n">
        <v>1</v>
      </c>
      <c r="C894" s="6" t="n">
        <f aca="false">B894/9435*100</f>
        <v>0.0105988341282459</v>
      </c>
      <c r="D894" s="2" t="n">
        <f aca="false">D893+C894</f>
        <v>99.6823349764366</v>
      </c>
    </row>
    <row r="895" customFormat="false" ht="12.8" hidden="false" customHeight="false" outlineLevel="0" collapsed="false">
      <c r="A895" s="6" t="s">
        <v>897</v>
      </c>
      <c r="B895" s="1" t="n">
        <v>1</v>
      </c>
      <c r="C895" s="6" t="n">
        <f aca="false">B895/9435*100</f>
        <v>0.0105988341282459</v>
      </c>
      <c r="D895" s="2" t="n">
        <f aca="false">D894+C895</f>
        <v>99.6929338105648</v>
      </c>
    </row>
    <row r="896" customFormat="false" ht="12.8" hidden="false" customHeight="false" outlineLevel="0" collapsed="false">
      <c r="A896" s="6" t="s">
        <v>898</v>
      </c>
      <c r="B896" s="1" t="n">
        <v>1</v>
      </c>
      <c r="C896" s="6" t="n">
        <f aca="false">B896/9435*100</f>
        <v>0.0105988341282459</v>
      </c>
      <c r="D896" s="2" t="n">
        <f aca="false">D895+C896</f>
        <v>99.7035326446931</v>
      </c>
    </row>
    <row r="897" customFormat="false" ht="12.8" hidden="false" customHeight="false" outlineLevel="0" collapsed="false">
      <c r="A897" s="6" t="s">
        <v>899</v>
      </c>
      <c r="B897" s="1" t="n">
        <v>1</v>
      </c>
      <c r="C897" s="6" t="n">
        <f aca="false">B897/9435*100</f>
        <v>0.0105988341282459</v>
      </c>
      <c r="D897" s="2" t="n">
        <f aca="false">D896+C897</f>
        <v>99.7141314788213</v>
      </c>
    </row>
    <row r="898" customFormat="false" ht="12.8" hidden="false" customHeight="false" outlineLevel="0" collapsed="false">
      <c r="A898" s="6" t="s">
        <v>900</v>
      </c>
      <c r="B898" s="1" t="n">
        <v>1</v>
      </c>
      <c r="C898" s="6" t="n">
        <f aca="false">B898/9435*100</f>
        <v>0.0105988341282459</v>
      </c>
      <c r="D898" s="2" t="n">
        <f aca="false">D897+C898</f>
        <v>99.7247303129496</v>
      </c>
    </row>
    <row r="899" customFormat="false" ht="12.8" hidden="false" customHeight="false" outlineLevel="0" collapsed="false">
      <c r="A899" s="6" t="s">
        <v>901</v>
      </c>
      <c r="B899" s="1" t="n">
        <v>1</v>
      </c>
      <c r="C899" s="6" t="n">
        <f aca="false">B899/9435*100</f>
        <v>0.0105988341282459</v>
      </c>
      <c r="D899" s="2" t="n">
        <f aca="false">D898+C899</f>
        <v>99.7353291470778</v>
      </c>
    </row>
    <row r="900" customFormat="false" ht="12.8" hidden="false" customHeight="false" outlineLevel="0" collapsed="false">
      <c r="A900" s="6" t="s">
        <v>902</v>
      </c>
      <c r="B900" s="1" t="n">
        <v>1</v>
      </c>
      <c r="C900" s="6" t="n">
        <f aca="false">B900/9435*100</f>
        <v>0.0105988341282459</v>
      </c>
      <c r="D900" s="2" t="n">
        <f aca="false">D899+C900</f>
        <v>99.745927981206</v>
      </c>
    </row>
    <row r="901" customFormat="false" ht="12.8" hidden="false" customHeight="false" outlineLevel="0" collapsed="false">
      <c r="A901" s="6" t="s">
        <v>903</v>
      </c>
      <c r="B901" s="1" t="n">
        <v>1</v>
      </c>
      <c r="C901" s="6" t="n">
        <f aca="false">B901/9435*100</f>
        <v>0.0105988341282459</v>
      </c>
      <c r="D901" s="2" t="n">
        <f aca="false">D900+C901</f>
        <v>99.7565268153343</v>
      </c>
    </row>
    <row r="902" customFormat="false" ht="12.8" hidden="false" customHeight="false" outlineLevel="0" collapsed="false">
      <c r="A902" s="6" t="s">
        <v>904</v>
      </c>
      <c r="B902" s="1" t="n">
        <v>1</v>
      </c>
      <c r="C902" s="6" t="n">
        <f aca="false">B902/9435*100</f>
        <v>0.0105988341282459</v>
      </c>
      <c r="D902" s="2" t="n">
        <f aca="false">D901+C902</f>
        <v>99.7671256494625</v>
      </c>
    </row>
    <row r="903" customFormat="false" ht="12.8" hidden="false" customHeight="false" outlineLevel="0" collapsed="false">
      <c r="A903" s="6" t="s">
        <v>905</v>
      </c>
      <c r="B903" s="1" t="n">
        <v>1</v>
      </c>
      <c r="C903" s="6" t="n">
        <f aca="false">B903/9435*100</f>
        <v>0.0105988341282459</v>
      </c>
      <c r="D903" s="2" t="n">
        <f aca="false">D902+C903</f>
        <v>99.7777244835908</v>
      </c>
    </row>
    <row r="904" customFormat="false" ht="12.8" hidden="false" customHeight="false" outlineLevel="0" collapsed="false">
      <c r="A904" s="6" t="s">
        <v>906</v>
      </c>
      <c r="B904" s="1" t="n">
        <v>1</v>
      </c>
      <c r="C904" s="6" t="n">
        <f aca="false">B904/9435*100</f>
        <v>0.0105988341282459</v>
      </c>
      <c r="D904" s="2" t="n">
        <f aca="false">D903+C904</f>
        <v>99.788323317719</v>
      </c>
    </row>
    <row r="905" customFormat="false" ht="12.8" hidden="false" customHeight="false" outlineLevel="0" collapsed="false">
      <c r="A905" s="6" t="s">
        <v>907</v>
      </c>
      <c r="B905" s="1" t="n">
        <v>1</v>
      </c>
      <c r="C905" s="6" t="n">
        <f aca="false">B905/9435*100</f>
        <v>0.0105988341282459</v>
      </c>
      <c r="D905" s="2" t="n">
        <f aca="false">D904+C905</f>
        <v>99.7989221518473</v>
      </c>
    </row>
    <row r="906" customFormat="false" ht="12.8" hidden="false" customHeight="false" outlineLevel="0" collapsed="false">
      <c r="A906" s="6" t="s">
        <v>908</v>
      </c>
      <c r="B906" s="1" t="n">
        <v>1</v>
      </c>
      <c r="C906" s="6" t="n">
        <f aca="false">B906/9435*100</f>
        <v>0.0105988341282459</v>
      </c>
      <c r="D906" s="2" t="n">
        <f aca="false">D905+C906</f>
        <v>99.8095209859755</v>
      </c>
    </row>
    <row r="907" customFormat="false" ht="12.8" hidden="false" customHeight="false" outlineLevel="0" collapsed="false">
      <c r="A907" s="6" t="s">
        <v>909</v>
      </c>
      <c r="B907" s="1" t="n">
        <v>1</v>
      </c>
      <c r="C907" s="6" t="n">
        <f aca="false">B907/9435*100</f>
        <v>0.0105988341282459</v>
      </c>
      <c r="D907" s="2" t="n">
        <f aca="false">D906+C907</f>
        <v>99.8201198201038</v>
      </c>
    </row>
    <row r="908" customFormat="false" ht="12.8" hidden="false" customHeight="false" outlineLevel="0" collapsed="false">
      <c r="A908" s="6" t="s">
        <v>910</v>
      </c>
      <c r="B908" s="1" t="n">
        <v>1</v>
      </c>
      <c r="C908" s="6" t="n">
        <f aca="false">B908/9435*100</f>
        <v>0.0105988341282459</v>
      </c>
      <c r="D908" s="2" t="n">
        <f aca="false">D907+C908</f>
        <v>99.830718654232</v>
      </c>
    </row>
    <row r="909" customFormat="false" ht="12.8" hidden="false" customHeight="false" outlineLevel="0" collapsed="false">
      <c r="A909" s="6" t="s">
        <v>911</v>
      </c>
      <c r="B909" s="1" t="n">
        <v>1</v>
      </c>
      <c r="C909" s="6" t="n">
        <f aca="false">B909/9435*100</f>
        <v>0.0105988341282459</v>
      </c>
      <c r="D909" s="2" t="n">
        <f aca="false">D908+C909</f>
        <v>99.8413174883602</v>
      </c>
    </row>
    <row r="910" customFormat="false" ht="12.8" hidden="false" customHeight="false" outlineLevel="0" collapsed="false">
      <c r="A910" s="6" t="s">
        <v>912</v>
      </c>
      <c r="B910" s="1" t="n">
        <v>1</v>
      </c>
      <c r="C910" s="6" t="n">
        <f aca="false">B910/9435*100</f>
        <v>0.0105988341282459</v>
      </c>
      <c r="D910" s="2" t="n">
        <f aca="false">D909+C910</f>
        <v>99.8519163224885</v>
      </c>
    </row>
    <row r="911" customFormat="false" ht="12.8" hidden="false" customHeight="false" outlineLevel="0" collapsed="false">
      <c r="A911" s="6" t="s">
        <v>913</v>
      </c>
      <c r="B911" s="1" t="n">
        <v>1</v>
      </c>
      <c r="C911" s="6" t="n">
        <f aca="false">B911/9435*100</f>
        <v>0.0105988341282459</v>
      </c>
      <c r="D911" s="2" t="n">
        <f aca="false">D910+C911</f>
        <v>99.8625151566167</v>
      </c>
    </row>
    <row r="912" customFormat="false" ht="12.8" hidden="false" customHeight="false" outlineLevel="0" collapsed="false">
      <c r="A912" s="6" t="s">
        <v>914</v>
      </c>
      <c r="B912" s="1" t="n">
        <v>1</v>
      </c>
      <c r="C912" s="6" t="n">
        <f aca="false">B912/9435*100</f>
        <v>0.0105988341282459</v>
      </c>
      <c r="D912" s="2" t="n">
        <f aca="false">D911+C912</f>
        <v>99.873113990745</v>
      </c>
    </row>
    <row r="913" customFormat="false" ht="12.8" hidden="false" customHeight="false" outlineLevel="0" collapsed="false">
      <c r="A913" s="6" t="s">
        <v>915</v>
      </c>
      <c r="B913" s="1" t="n">
        <v>1</v>
      </c>
      <c r="C913" s="6" t="n">
        <f aca="false">B913/9435*100</f>
        <v>0.0105988341282459</v>
      </c>
      <c r="D913" s="2" t="n">
        <f aca="false">D912+C913</f>
        <v>99.8837128248732</v>
      </c>
    </row>
    <row r="914" customFormat="false" ht="12.8" hidden="false" customHeight="false" outlineLevel="0" collapsed="false">
      <c r="A914" s="6" t="s">
        <v>916</v>
      </c>
      <c r="B914" s="1" t="n">
        <v>1</v>
      </c>
      <c r="C914" s="6" t="n">
        <f aca="false">B914/9435*100</f>
        <v>0.0105988341282459</v>
      </c>
      <c r="D914" s="2" t="n">
        <f aca="false">D913+C914</f>
        <v>99.8943116590015</v>
      </c>
    </row>
    <row r="915" customFormat="false" ht="12.8" hidden="false" customHeight="false" outlineLevel="0" collapsed="false">
      <c r="A915" s="6" t="s">
        <v>917</v>
      </c>
      <c r="B915" s="1" t="n">
        <v>1</v>
      </c>
      <c r="C915" s="6" t="n">
        <f aca="false">B915/9435*100</f>
        <v>0.0105988341282459</v>
      </c>
      <c r="D915" s="2" t="n">
        <f aca="false">D914+C915</f>
        <v>99.9049104931297</v>
      </c>
    </row>
    <row r="916" customFormat="false" ht="12.8" hidden="false" customHeight="false" outlineLevel="0" collapsed="false">
      <c r="A916" s="6" t="s">
        <v>918</v>
      </c>
      <c r="B916" s="1" t="n">
        <v>1</v>
      </c>
      <c r="C916" s="6" t="n">
        <f aca="false">B916/9435*100</f>
        <v>0.0105988341282459</v>
      </c>
      <c r="D916" s="2" t="n">
        <f aca="false">D915+C916</f>
        <v>99.915509327258</v>
      </c>
    </row>
    <row r="917" customFormat="false" ht="12.8" hidden="false" customHeight="false" outlineLevel="0" collapsed="false">
      <c r="A917" s="6" t="s">
        <v>919</v>
      </c>
      <c r="B917" s="1" t="n">
        <v>1</v>
      </c>
      <c r="C917" s="6" t="n">
        <f aca="false">B917/9435*100</f>
        <v>0.0105988341282459</v>
      </c>
      <c r="D917" s="2" t="n">
        <f aca="false">D916+C917</f>
        <v>99.9261081613862</v>
      </c>
    </row>
    <row r="918" customFormat="false" ht="12.8" hidden="false" customHeight="false" outlineLevel="0" collapsed="false">
      <c r="A918" s="6" t="s">
        <v>920</v>
      </c>
      <c r="B918" s="1" t="n">
        <v>1</v>
      </c>
      <c r="C918" s="6" t="n">
        <f aca="false">B918/9435*100</f>
        <v>0.0105988341282459</v>
      </c>
      <c r="D918" s="2" t="n">
        <f aca="false">D917+C918</f>
        <v>99.9367069955145</v>
      </c>
    </row>
    <row r="919" customFormat="false" ht="12.8" hidden="false" customHeight="false" outlineLevel="0" collapsed="false">
      <c r="A919" s="6" t="s">
        <v>921</v>
      </c>
      <c r="B919" s="1" t="n">
        <v>1</v>
      </c>
      <c r="C919" s="6" t="n">
        <f aca="false">B919/9435*100</f>
        <v>0.0105988341282459</v>
      </c>
      <c r="D919" s="2" t="n">
        <f aca="false">D918+C919</f>
        <v>99.9473058296427</v>
      </c>
    </row>
    <row r="920" customFormat="false" ht="12.8" hidden="false" customHeight="false" outlineLevel="0" collapsed="false">
      <c r="A920" s="6" t="s">
        <v>922</v>
      </c>
      <c r="B920" s="1" t="n">
        <v>1</v>
      </c>
      <c r="C920" s="6" t="n">
        <f aca="false">B920/9435*100</f>
        <v>0.0105988341282459</v>
      </c>
      <c r="D920" s="2" t="n">
        <f aca="false">D919+C920</f>
        <v>99.957904663771</v>
      </c>
    </row>
    <row r="921" customFormat="false" ht="12.8" hidden="false" customHeight="false" outlineLevel="0" collapsed="false">
      <c r="A921" s="6" t="s">
        <v>923</v>
      </c>
      <c r="B921" s="1" t="n">
        <v>1</v>
      </c>
      <c r="C921" s="6" t="n">
        <f aca="false">B921/9435*100</f>
        <v>0.0105988341282459</v>
      </c>
      <c r="D921" s="2" t="n">
        <f aca="false">D920+C921</f>
        <v>99.9685034978992</v>
      </c>
    </row>
    <row r="922" customFormat="false" ht="12.8" hidden="false" customHeight="false" outlineLevel="0" collapsed="false">
      <c r="A922" s="6" t="s">
        <v>924</v>
      </c>
      <c r="B922" s="1" t="n">
        <v>1</v>
      </c>
      <c r="C922" s="6" t="n">
        <f aca="false">B922/9435*100</f>
        <v>0.0105988341282459</v>
      </c>
      <c r="D922" s="2" t="n">
        <f aca="false">D921+C922</f>
        <v>99.9791023320274</v>
      </c>
    </row>
    <row r="923" customFormat="false" ht="12.8" hidden="false" customHeight="false" outlineLevel="0" collapsed="false">
      <c r="A923" s="6" t="s">
        <v>925</v>
      </c>
      <c r="B923" s="1" t="n">
        <v>1</v>
      </c>
      <c r="C923" s="6" t="n">
        <f aca="false">B923/9435*100</f>
        <v>0.0105988341282459</v>
      </c>
      <c r="D923" s="2" t="n">
        <f aca="false">D922+C923</f>
        <v>99.9897011661557</v>
      </c>
    </row>
    <row r="924" customFormat="false" ht="12.8" hidden="false" customHeight="false" outlineLevel="0" collapsed="false">
      <c r="A924" s="6" t="s">
        <v>926</v>
      </c>
      <c r="B924" s="1" t="n">
        <v>1</v>
      </c>
      <c r="C924" s="6" t="n">
        <f aca="false">B924/9435*100</f>
        <v>0.0105988341282459</v>
      </c>
      <c r="D924" s="2" t="n">
        <f aca="false">D923+C924</f>
        <v>100.000300000284</v>
      </c>
    </row>
    <row r="925" customFormat="false" ht="12.8" hidden="false" customHeight="false" outlineLevel="0" collapsed="false">
      <c r="B925" s="1" t="n">
        <f aca="false">SUM(B2:B924)</f>
        <v>9435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8984375" defaultRowHeight="12.8" zeroHeight="false" outlineLevelRow="0" outlineLevelCol="0"/>
  <cols>
    <col collapsed="false" customWidth="true" hidden="false" outlineLevel="0" max="4" min="4" style="2" width="15.2"/>
  </cols>
  <sheetData>
    <row r="1" s="10" customFormat="true" ht="56.65" hidden="false" customHeight="false" outlineLevel="0" collapsed="false">
      <c r="A1" s="10" t="s">
        <v>927</v>
      </c>
      <c r="B1" s="10" t="s">
        <v>1</v>
      </c>
      <c r="C1" s="10" t="s">
        <v>928</v>
      </c>
      <c r="D1" s="11" t="s">
        <v>929</v>
      </c>
      <c r="E1" s="10" t="s">
        <v>930</v>
      </c>
      <c r="F1" s="10" t="s">
        <v>931</v>
      </c>
      <c r="G1" s="10" t="s">
        <v>932</v>
      </c>
    </row>
    <row r="2" customFormat="false" ht="12.8" hidden="false" customHeight="false" outlineLevel="0" collapsed="false">
      <c r="A2" s="6" t="s">
        <v>933</v>
      </c>
      <c r="B2" s="6" t="n">
        <v>0</v>
      </c>
      <c r="C2" s="6" t="n">
        <v>299</v>
      </c>
      <c r="D2" s="12" t="n">
        <f aca="false">C2/(B2+C2)*100</f>
        <v>100</v>
      </c>
      <c r="E2" s="6" t="n">
        <v>5</v>
      </c>
      <c r="F2" s="6" t="s">
        <v>934</v>
      </c>
      <c r="G2" s="6" t="n">
        <v>286</v>
      </c>
      <c r="H2" s="6" t="s">
        <v>935</v>
      </c>
      <c r="I2" s="6" t="n">
        <v>12</v>
      </c>
      <c r="J2" s="6" t="s">
        <v>936</v>
      </c>
      <c r="K2" s="6" t="n">
        <v>1</v>
      </c>
      <c r="L2" s="6" t="s">
        <v>937</v>
      </c>
      <c r="M2" s="6" t="n">
        <v>0</v>
      </c>
      <c r="N2" s="6" t="s">
        <v>938</v>
      </c>
      <c r="O2" s="6" t="n">
        <v>0</v>
      </c>
    </row>
    <row r="3" customFormat="false" ht="12.8" hidden="false" customHeight="false" outlineLevel="0" collapsed="false">
      <c r="A3" s="6" t="s">
        <v>939</v>
      </c>
      <c r="B3" s="6" t="n">
        <v>0</v>
      </c>
      <c r="C3" s="6" t="n">
        <v>267</v>
      </c>
      <c r="D3" s="12" t="n">
        <f aca="false">C3/(B3+C3)*100</f>
        <v>100</v>
      </c>
      <c r="E3" s="6" t="n">
        <v>6</v>
      </c>
      <c r="F3" s="6" t="s">
        <v>940</v>
      </c>
      <c r="G3" s="6" t="n">
        <v>203</v>
      </c>
      <c r="H3" s="6" t="s">
        <v>941</v>
      </c>
      <c r="I3" s="6" t="n">
        <v>61</v>
      </c>
      <c r="J3" s="6" t="s">
        <v>942</v>
      </c>
      <c r="K3" s="6" t="n">
        <v>2</v>
      </c>
      <c r="L3" s="6" t="s">
        <v>943</v>
      </c>
      <c r="M3" s="6" t="n">
        <v>1</v>
      </c>
      <c r="N3" s="6" t="s">
        <v>944</v>
      </c>
      <c r="O3" s="6" t="n">
        <v>0</v>
      </c>
      <c r="P3" s="6" t="s">
        <v>945</v>
      </c>
      <c r="Q3" s="6" t="n">
        <v>0</v>
      </c>
    </row>
    <row r="4" customFormat="false" ht="12.8" hidden="false" customHeight="false" outlineLevel="0" collapsed="false">
      <c r="A4" s="6" t="s">
        <v>946</v>
      </c>
      <c r="B4" s="6" t="n">
        <v>0</v>
      </c>
      <c r="C4" s="6" t="n">
        <v>132</v>
      </c>
      <c r="D4" s="12" t="n">
        <f aca="false">C4/(B4+C4)*100</f>
        <v>100</v>
      </c>
      <c r="E4" s="6" t="n">
        <v>4</v>
      </c>
      <c r="F4" s="6" t="s">
        <v>947</v>
      </c>
      <c r="G4" s="6" t="n">
        <v>113</v>
      </c>
      <c r="H4" s="6" t="s">
        <v>948</v>
      </c>
      <c r="I4" s="6" t="n">
        <v>19</v>
      </c>
      <c r="J4" s="6" t="s">
        <v>949</v>
      </c>
      <c r="K4" s="6" t="n">
        <v>0</v>
      </c>
      <c r="L4" s="6" t="s">
        <v>950</v>
      </c>
      <c r="M4" s="6" t="n">
        <v>0</v>
      </c>
    </row>
    <row r="5" customFormat="false" ht="12.8" hidden="false" customHeight="false" outlineLevel="0" collapsed="false">
      <c r="A5" s="6" t="s">
        <v>951</v>
      </c>
      <c r="B5" s="6" t="n">
        <v>0</v>
      </c>
      <c r="C5" s="6" t="n">
        <v>102</v>
      </c>
      <c r="D5" s="12" t="n">
        <f aca="false">C5/(B5+C5)*100</f>
        <v>100</v>
      </c>
      <c r="E5" s="6" t="n">
        <v>3</v>
      </c>
      <c r="F5" s="6" t="s">
        <v>952</v>
      </c>
      <c r="G5" s="6" t="n">
        <v>100</v>
      </c>
      <c r="H5" s="6" t="s">
        <v>953</v>
      </c>
      <c r="I5" s="6" t="n">
        <v>2</v>
      </c>
      <c r="J5" s="6" t="s">
        <v>954</v>
      </c>
      <c r="K5" s="6" t="n">
        <v>0</v>
      </c>
    </row>
    <row r="6" customFormat="false" ht="12.8" hidden="false" customHeight="false" outlineLevel="0" collapsed="false">
      <c r="A6" s="6" t="s">
        <v>955</v>
      </c>
      <c r="B6" s="6" t="n">
        <v>0</v>
      </c>
      <c r="C6" s="6" t="n">
        <v>97</v>
      </c>
      <c r="D6" s="12" t="n">
        <f aca="false">C6/(B6+C6)*100</f>
        <v>100</v>
      </c>
      <c r="E6" s="6" t="n">
        <v>6</v>
      </c>
      <c r="F6" s="6" t="s">
        <v>956</v>
      </c>
      <c r="G6" s="6" t="n">
        <v>74</v>
      </c>
      <c r="H6" s="6" t="s">
        <v>957</v>
      </c>
      <c r="I6" s="6" t="n">
        <v>17</v>
      </c>
      <c r="J6" s="6" t="s">
        <v>958</v>
      </c>
      <c r="K6" s="6" t="n">
        <v>3</v>
      </c>
      <c r="L6" s="6" t="s">
        <v>959</v>
      </c>
      <c r="M6" s="6" t="n">
        <v>1</v>
      </c>
      <c r="N6" s="6" t="s">
        <v>960</v>
      </c>
      <c r="O6" s="6" t="n">
        <v>1</v>
      </c>
      <c r="P6" s="6" t="s">
        <v>961</v>
      </c>
      <c r="Q6" s="6" t="n">
        <v>1</v>
      </c>
    </row>
    <row r="7" customFormat="false" ht="12.8" hidden="false" customHeight="false" outlineLevel="0" collapsed="false">
      <c r="A7" s="6" t="s">
        <v>962</v>
      </c>
      <c r="B7" s="6" t="n">
        <v>0</v>
      </c>
      <c r="C7" s="6" t="n">
        <v>95</v>
      </c>
      <c r="D7" s="12" t="n">
        <f aca="false">C7/(B7+C7)*100</f>
        <v>100</v>
      </c>
      <c r="E7" s="6" t="n">
        <v>5</v>
      </c>
      <c r="F7" s="6" t="s">
        <v>963</v>
      </c>
      <c r="G7" s="6" t="n">
        <v>89</v>
      </c>
      <c r="H7" s="6" t="s">
        <v>964</v>
      </c>
      <c r="I7" s="6" t="n">
        <v>5</v>
      </c>
      <c r="J7" s="6" t="s">
        <v>965</v>
      </c>
      <c r="K7" s="6" t="n">
        <v>1</v>
      </c>
      <c r="L7" s="6" t="s">
        <v>966</v>
      </c>
      <c r="M7" s="6" t="n">
        <v>0</v>
      </c>
      <c r="N7" s="6" t="s">
        <v>967</v>
      </c>
      <c r="O7" s="6" t="n">
        <v>0</v>
      </c>
    </row>
    <row r="8" customFormat="false" ht="12.8" hidden="false" customHeight="false" outlineLevel="0" collapsed="false">
      <c r="A8" s="6" t="s">
        <v>968</v>
      </c>
      <c r="B8" s="6" t="n">
        <v>0</v>
      </c>
      <c r="C8" s="6" t="n">
        <v>61</v>
      </c>
      <c r="D8" s="12" t="n">
        <f aca="false">C8/(B8+C8)*100</f>
        <v>100</v>
      </c>
      <c r="E8" s="6" t="n">
        <v>4</v>
      </c>
      <c r="F8" s="6" t="s">
        <v>969</v>
      </c>
      <c r="G8" s="6" t="n">
        <v>54</v>
      </c>
      <c r="H8" s="6" t="s">
        <v>970</v>
      </c>
      <c r="I8" s="6" t="n">
        <v>5</v>
      </c>
      <c r="J8" s="6" t="s">
        <v>971</v>
      </c>
      <c r="K8" s="6" t="n">
        <v>1</v>
      </c>
      <c r="L8" s="6" t="s">
        <v>972</v>
      </c>
      <c r="M8" s="6" t="n">
        <v>1</v>
      </c>
    </row>
    <row r="9" customFormat="false" ht="12.8" hidden="false" customHeight="false" outlineLevel="0" collapsed="false">
      <c r="A9" s="6" t="s">
        <v>973</v>
      </c>
      <c r="B9" s="6" t="n">
        <v>0</v>
      </c>
      <c r="C9" s="6" t="n">
        <v>55</v>
      </c>
      <c r="D9" s="12" t="n">
        <f aca="false">C9/(B9+C9)*100</f>
        <v>100</v>
      </c>
      <c r="E9" s="6" t="n">
        <v>4</v>
      </c>
      <c r="F9" s="6" t="s">
        <v>974</v>
      </c>
      <c r="G9" s="6" t="n">
        <v>41</v>
      </c>
      <c r="H9" s="6" t="s">
        <v>975</v>
      </c>
      <c r="I9" s="6" t="n">
        <v>7</v>
      </c>
      <c r="J9" s="6" t="s">
        <v>976</v>
      </c>
      <c r="K9" s="6" t="n">
        <v>7</v>
      </c>
      <c r="L9" s="6" t="s">
        <v>977</v>
      </c>
      <c r="M9" s="6" t="n">
        <v>0</v>
      </c>
    </row>
    <row r="10" customFormat="false" ht="12.8" hidden="false" customHeight="false" outlineLevel="0" collapsed="false">
      <c r="A10" s="6" t="s">
        <v>978</v>
      </c>
      <c r="B10" s="6" t="n">
        <v>0</v>
      </c>
      <c r="C10" s="6" t="n">
        <v>45</v>
      </c>
      <c r="D10" s="12" t="n">
        <f aca="false">C10/(B10+C10)*100</f>
        <v>100</v>
      </c>
      <c r="E10" s="6" t="n">
        <v>4</v>
      </c>
      <c r="F10" s="6" t="s">
        <v>979</v>
      </c>
      <c r="G10" s="6" t="n">
        <v>39</v>
      </c>
      <c r="H10" s="6" t="s">
        <v>980</v>
      </c>
      <c r="I10" s="6" t="n">
        <v>3</v>
      </c>
      <c r="J10" s="6" t="s">
        <v>981</v>
      </c>
      <c r="K10" s="6" t="n">
        <v>2</v>
      </c>
      <c r="L10" s="6" t="s">
        <v>982</v>
      </c>
      <c r="M10" s="6" t="n">
        <v>1</v>
      </c>
    </row>
    <row r="11" customFormat="false" ht="12.8" hidden="false" customHeight="false" outlineLevel="0" collapsed="false">
      <c r="A11" s="6" t="s">
        <v>983</v>
      </c>
      <c r="B11" s="6" t="n">
        <v>0</v>
      </c>
      <c r="C11" s="6" t="n">
        <v>44</v>
      </c>
      <c r="D11" s="12" t="n">
        <f aca="false">C11/(B11+C11)*100</f>
        <v>100</v>
      </c>
      <c r="E11" s="6" t="n">
        <v>4</v>
      </c>
      <c r="F11" s="6" t="s">
        <v>984</v>
      </c>
      <c r="G11" s="6" t="n">
        <v>41</v>
      </c>
      <c r="H11" s="6" t="s">
        <v>985</v>
      </c>
      <c r="I11" s="6" t="n">
        <v>1</v>
      </c>
      <c r="J11" s="6" t="s">
        <v>986</v>
      </c>
      <c r="K11" s="6" t="n">
        <v>1</v>
      </c>
      <c r="L11" s="6" t="s">
        <v>987</v>
      </c>
      <c r="M11" s="6" t="n">
        <v>1</v>
      </c>
    </row>
    <row r="12" customFormat="false" ht="12.8" hidden="false" customHeight="false" outlineLevel="0" collapsed="false">
      <c r="A12" s="6" t="s">
        <v>988</v>
      </c>
      <c r="B12" s="6" t="n">
        <v>0</v>
      </c>
      <c r="C12" s="6" t="n">
        <v>42</v>
      </c>
      <c r="D12" s="12" t="n">
        <f aca="false">C12/(B12+C12)*100</f>
        <v>100</v>
      </c>
      <c r="E12" s="6" t="n">
        <v>3</v>
      </c>
      <c r="F12" s="6" t="s">
        <v>989</v>
      </c>
      <c r="G12" s="6" t="n">
        <v>30</v>
      </c>
      <c r="H12" s="6" t="s">
        <v>990</v>
      </c>
      <c r="I12" s="6" t="n">
        <v>6</v>
      </c>
      <c r="J12" s="6" t="s">
        <v>991</v>
      </c>
      <c r="K12" s="6" t="n">
        <v>6</v>
      </c>
    </row>
    <row r="13" customFormat="false" ht="12.8" hidden="false" customHeight="false" outlineLevel="0" collapsed="false">
      <c r="A13" s="6" t="s">
        <v>992</v>
      </c>
      <c r="B13" s="6" t="n">
        <v>0</v>
      </c>
      <c r="C13" s="6" t="n">
        <v>42</v>
      </c>
      <c r="D13" s="12" t="n">
        <f aca="false">C13/(B13+C13)*100</f>
        <v>100</v>
      </c>
      <c r="E13" s="6" t="n">
        <v>2</v>
      </c>
      <c r="F13" s="6" t="s">
        <v>993</v>
      </c>
      <c r="G13" s="6" t="n">
        <v>25</v>
      </c>
      <c r="H13" s="6" t="s">
        <v>994</v>
      </c>
      <c r="I13" s="6" t="n">
        <v>17</v>
      </c>
    </row>
    <row r="14" customFormat="false" ht="12.8" hidden="false" customHeight="false" outlineLevel="0" collapsed="false">
      <c r="A14" s="6" t="s">
        <v>995</v>
      </c>
      <c r="B14" s="6" t="n">
        <v>0</v>
      </c>
      <c r="C14" s="6" t="n">
        <v>37</v>
      </c>
      <c r="D14" s="12" t="n">
        <f aca="false">C14/(B14+C14)*100</f>
        <v>100</v>
      </c>
      <c r="E14" s="6" t="n">
        <v>2</v>
      </c>
      <c r="F14" s="6" t="s">
        <v>996</v>
      </c>
      <c r="G14" s="6" t="n">
        <v>34</v>
      </c>
      <c r="H14" s="6" t="s">
        <v>997</v>
      </c>
      <c r="I14" s="6" t="n">
        <v>3</v>
      </c>
    </row>
    <row r="15" customFormat="false" ht="12.8" hidden="false" customHeight="false" outlineLevel="0" collapsed="false">
      <c r="A15" s="6" t="s">
        <v>998</v>
      </c>
      <c r="B15" s="6" t="n">
        <v>0</v>
      </c>
      <c r="C15" s="6" t="n">
        <v>37</v>
      </c>
      <c r="D15" s="12" t="n">
        <f aca="false">C15/(B15+C15)*100</f>
        <v>100</v>
      </c>
      <c r="E15" s="6" t="n">
        <v>1</v>
      </c>
      <c r="F15" s="6" t="s">
        <v>999</v>
      </c>
      <c r="G15" s="6" t="n">
        <v>37</v>
      </c>
    </row>
    <row r="16" customFormat="false" ht="12.8" hidden="false" customHeight="false" outlineLevel="0" collapsed="false">
      <c r="A16" s="6" t="s">
        <v>1000</v>
      </c>
      <c r="B16" s="6" t="n">
        <v>0</v>
      </c>
      <c r="C16" s="6" t="n">
        <v>35</v>
      </c>
      <c r="D16" s="12" t="n">
        <f aca="false">C16/(B16+C16)*100</f>
        <v>100</v>
      </c>
      <c r="E16" s="6" t="n">
        <v>2</v>
      </c>
      <c r="F16" s="6" t="s">
        <v>1001</v>
      </c>
      <c r="G16" s="6" t="n">
        <v>34</v>
      </c>
      <c r="H16" s="6" t="s">
        <v>1002</v>
      </c>
      <c r="I16" s="6" t="n">
        <v>1</v>
      </c>
    </row>
    <row r="17" customFormat="false" ht="12.8" hidden="false" customHeight="false" outlineLevel="0" collapsed="false">
      <c r="A17" s="6" t="s">
        <v>1003</v>
      </c>
      <c r="B17" s="6" t="n">
        <v>0</v>
      </c>
      <c r="C17" s="6" t="n">
        <v>29</v>
      </c>
      <c r="D17" s="12" t="n">
        <f aca="false">C17/(B17+C17)*100</f>
        <v>100</v>
      </c>
      <c r="E17" s="6" t="n">
        <v>3</v>
      </c>
      <c r="F17" s="6" t="s">
        <v>1004</v>
      </c>
      <c r="G17" s="6" t="n">
        <v>20</v>
      </c>
      <c r="H17" s="6" t="s">
        <v>1005</v>
      </c>
      <c r="I17" s="6" t="n">
        <v>7</v>
      </c>
      <c r="J17" s="6" t="s">
        <v>1006</v>
      </c>
      <c r="K17" s="6" t="n">
        <v>2</v>
      </c>
    </row>
    <row r="18" customFormat="false" ht="12.8" hidden="false" customHeight="false" outlineLevel="0" collapsed="false">
      <c r="A18" s="6" t="s">
        <v>1007</v>
      </c>
      <c r="B18" s="6" t="n">
        <v>0</v>
      </c>
      <c r="C18" s="6" t="n">
        <v>29</v>
      </c>
      <c r="D18" s="12" t="n">
        <f aca="false">C18/(B18+C18)*100</f>
        <v>100</v>
      </c>
      <c r="E18" s="6" t="n">
        <v>2</v>
      </c>
      <c r="F18" s="6" t="s">
        <v>1008</v>
      </c>
      <c r="G18" s="6" t="n">
        <v>28</v>
      </c>
      <c r="H18" s="6" t="s">
        <v>1009</v>
      </c>
      <c r="I18" s="6" t="n">
        <v>1</v>
      </c>
    </row>
    <row r="19" customFormat="false" ht="12.8" hidden="false" customHeight="false" outlineLevel="0" collapsed="false">
      <c r="A19" s="6" t="s">
        <v>1010</v>
      </c>
      <c r="B19" s="6" t="n">
        <v>0</v>
      </c>
      <c r="C19" s="6" t="n">
        <v>25</v>
      </c>
      <c r="D19" s="12" t="n">
        <f aca="false">C19/(B19+C19)*100</f>
        <v>100</v>
      </c>
      <c r="E19" s="6" t="n">
        <v>1</v>
      </c>
      <c r="F19" s="6" t="s">
        <v>1011</v>
      </c>
      <c r="G19" s="6" t="n">
        <v>25</v>
      </c>
    </row>
    <row r="20" customFormat="false" ht="12.8" hidden="false" customHeight="false" outlineLevel="0" collapsed="false">
      <c r="A20" s="6" t="s">
        <v>1012</v>
      </c>
      <c r="B20" s="6" t="n">
        <v>0</v>
      </c>
      <c r="C20" s="6" t="n">
        <v>24</v>
      </c>
      <c r="D20" s="12" t="n">
        <f aca="false">C20/(B20+C20)*100</f>
        <v>100</v>
      </c>
      <c r="E20" s="6" t="n">
        <v>1</v>
      </c>
      <c r="F20" s="6" t="s">
        <v>1013</v>
      </c>
      <c r="G20" s="6" t="n">
        <v>24</v>
      </c>
    </row>
    <row r="21" customFormat="false" ht="12.8" hidden="false" customHeight="false" outlineLevel="0" collapsed="false">
      <c r="A21" s="6" t="s">
        <v>1014</v>
      </c>
      <c r="B21" s="6" t="n">
        <v>0</v>
      </c>
      <c r="C21" s="6" t="n">
        <v>22</v>
      </c>
      <c r="D21" s="12" t="n">
        <f aca="false">C21/(B21+C21)*100</f>
        <v>100</v>
      </c>
      <c r="E21" s="6" t="n">
        <v>3</v>
      </c>
      <c r="F21" s="6" t="s">
        <v>1015</v>
      </c>
      <c r="G21" s="6" t="n">
        <v>19</v>
      </c>
      <c r="H21" s="6" t="s">
        <v>1016</v>
      </c>
      <c r="I21" s="6" t="n">
        <v>2</v>
      </c>
      <c r="J21" s="6" t="s">
        <v>1017</v>
      </c>
      <c r="K21" s="6" t="n">
        <v>1</v>
      </c>
    </row>
    <row r="22" customFormat="false" ht="12.8" hidden="false" customHeight="false" outlineLevel="0" collapsed="false">
      <c r="A22" s="6" t="s">
        <v>1018</v>
      </c>
      <c r="B22" s="6" t="n">
        <v>0</v>
      </c>
      <c r="C22" s="6" t="n">
        <v>22</v>
      </c>
      <c r="D22" s="12" t="n">
        <f aca="false">C22/(B22+C22)*100</f>
        <v>100</v>
      </c>
      <c r="E22" s="6" t="n">
        <v>2</v>
      </c>
      <c r="F22" s="6" t="s">
        <v>1019</v>
      </c>
      <c r="G22" s="6" t="n">
        <v>21</v>
      </c>
      <c r="H22" s="6" t="s">
        <v>1020</v>
      </c>
      <c r="I22" s="6" t="n">
        <v>1</v>
      </c>
    </row>
    <row r="23" customFormat="false" ht="12.8" hidden="false" customHeight="false" outlineLevel="0" collapsed="false">
      <c r="A23" s="6" t="s">
        <v>1021</v>
      </c>
      <c r="B23" s="6" t="n">
        <v>0</v>
      </c>
      <c r="C23" s="6" t="n">
        <v>21</v>
      </c>
      <c r="D23" s="12" t="n">
        <f aca="false">C23/(B23+C23)*100</f>
        <v>100</v>
      </c>
      <c r="E23" s="6" t="n">
        <v>1</v>
      </c>
      <c r="F23" s="6" t="s">
        <v>1022</v>
      </c>
      <c r="G23" s="6" t="n">
        <v>21</v>
      </c>
    </row>
    <row r="24" customFormat="false" ht="12.8" hidden="false" customHeight="false" outlineLevel="0" collapsed="false">
      <c r="A24" s="6" t="s">
        <v>1023</v>
      </c>
      <c r="B24" s="6" t="n">
        <v>0</v>
      </c>
      <c r="C24" s="6" t="n">
        <v>19</v>
      </c>
      <c r="D24" s="12" t="n">
        <f aca="false">C24/(B24+C24)*100</f>
        <v>100</v>
      </c>
      <c r="E24" s="6" t="n">
        <v>1</v>
      </c>
      <c r="F24" s="6" t="s">
        <v>1024</v>
      </c>
      <c r="G24" s="6" t="n">
        <v>19</v>
      </c>
    </row>
    <row r="25" customFormat="false" ht="12.8" hidden="false" customHeight="false" outlineLevel="0" collapsed="false">
      <c r="A25" s="6" t="s">
        <v>1025</v>
      </c>
      <c r="B25" s="6" t="n">
        <v>0</v>
      </c>
      <c r="C25" s="6" t="n">
        <v>15</v>
      </c>
      <c r="D25" s="12" t="n">
        <f aca="false">C25/(B25+C25)*100</f>
        <v>100</v>
      </c>
      <c r="E25" s="6" t="n">
        <v>1</v>
      </c>
      <c r="F25" s="6" t="s">
        <v>1026</v>
      </c>
      <c r="G25" s="6" t="n">
        <v>15</v>
      </c>
    </row>
    <row r="26" customFormat="false" ht="12.8" hidden="false" customHeight="false" outlineLevel="0" collapsed="false">
      <c r="A26" s="6" t="s">
        <v>1027</v>
      </c>
      <c r="B26" s="6" t="n">
        <v>0</v>
      </c>
      <c r="C26" s="6" t="n">
        <v>14</v>
      </c>
      <c r="D26" s="12" t="n">
        <f aca="false">C26/(B26+C26)*100</f>
        <v>100</v>
      </c>
      <c r="E26" s="6" t="n">
        <v>3</v>
      </c>
      <c r="F26" s="6" t="s">
        <v>1028</v>
      </c>
      <c r="G26" s="6" t="n">
        <v>12</v>
      </c>
      <c r="H26" s="6" t="s">
        <v>1029</v>
      </c>
      <c r="I26" s="6" t="n">
        <v>1</v>
      </c>
      <c r="J26" s="6" t="s">
        <v>1030</v>
      </c>
      <c r="K26" s="6" t="n">
        <v>1</v>
      </c>
    </row>
    <row r="27" customFormat="false" ht="12.8" hidden="false" customHeight="false" outlineLevel="0" collapsed="false">
      <c r="A27" s="6" t="s">
        <v>1031</v>
      </c>
      <c r="B27" s="6" t="n">
        <v>0</v>
      </c>
      <c r="C27" s="6" t="n">
        <v>14</v>
      </c>
      <c r="D27" s="12" t="n">
        <f aca="false">C27/(B27+C27)*100</f>
        <v>100</v>
      </c>
      <c r="E27" s="6" t="n">
        <v>1</v>
      </c>
      <c r="F27" s="6" t="s">
        <v>1032</v>
      </c>
      <c r="G27" s="6" t="n">
        <v>14</v>
      </c>
    </row>
    <row r="28" customFormat="false" ht="12.8" hidden="false" customHeight="false" outlineLevel="0" collapsed="false">
      <c r="A28" s="6" t="s">
        <v>1033</v>
      </c>
      <c r="B28" s="6" t="n">
        <v>0</v>
      </c>
      <c r="C28" s="6" t="n">
        <v>13</v>
      </c>
      <c r="D28" s="12" t="n">
        <f aca="false">C28/(B28+C28)*100</f>
        <v>100</v>
      </c>
      <c r="E28" s="6" t="n">
        <v>3</v>
      </c>
      <c r="F28" s="6" t="s">
        <v>1034</v>
      </c>
      <c r="G28" s="6" t="n">
        <v>11</v>
      </c>
      <c r="H28" s="6" t="s">
        <v>1035</v>
      </c>
      <c r="I28" s="6" t="n">
        <v>2</v>
      </c>
      <c r="J28" s="6" t="s">
        <v>1036</v>
      </c>
      <c r="K28" s="6" t="n">
        <v>0</v>
      </c>
    </row>
    <row r="29" customFormat="false" ht="12.8" hidden="false" customHeight="false" outlineLevel="0" collapsed="false">
      <c r="A29" s="6" t="s">
        <v>1037</v>
      </c>
      <c r="B29" s="6" t="n">
        <v>0</v>
      </c>
      <c r="C29" s="6" t="n">
        <v>12</v>
      </c>
      <c r="D29" s="12" t="n">
        <f aca="false">C29/(B29+C29)*100</f>
        <v>100</v>
      </c>
      <c r="E29" s="6" t="n">
        <v>3</v>
      </c>
      <c r="F29" s="6" t="s">
        <v>1038</v>
      </c>
      <c r="G29" s="6" t="n">
        <v>11</v>
      </c>
      <c r="H29" s="6" t="s">
        <v>1039</v>
      </c>
      <c r="I29" s="6" t="n">
        <v>1</v>
      </c>
      <c r="J29" s="6" t="s">
        <v>1040</v>
      </c>
      <c r="K29" s="6" t="n">
        <v>0</v>
      </c>
    </row>
    <row r="30" customFormat="false" ht="12.8" hidden="false" customHeight="false" outlineLevel="0" collapsed="false">
      <c r="A30" s="6" t="s">
        <v>1041</v>
      </c>
      <c r="B30" s="6" t="n">
        <v>0</v>
      </c>
      <c r="C30" s="6" t="n">
        <v>8</v>
      </c>
      <c r="D30" s="12" t="n">
        <f aca="false">C30/(B30+C30)*100</f>
        <v>100</v>
      </c>
      <c r="E30" s="6" t="n">
        <v>4</v>
      </c>
      <c r="F30" s="6" t="s">
        <v>1042</v>
      </c>
      <c r="G30" s="6" t="n">
        <v>5</v>
      </c>
      <c r="H30" s="6" t="s">
        <v>1043</v>
      </c>
      <c r="I30" s="6" t="n">
        <v>1</v>
      </c>
      <c r="J30" s="6" t="s">
        <v>1044</v>
      </c>
      <c r="K30" s="6" t="n">
        <v>1</v>
      </c>
      <c r="L30" s="6" t="s">
        <v>1045</v>
      </c>
      <c r="M30" s="6" t="n">
        <v>1</v>
      </c>
    </row>
    <row r="31" customFormat="false" ht="12.8" hidden="false" customHeight="false" outlineLevel="0" collapsed="false">
      <c r="A31" s="6" t="s">
        <v>1046</v>
      </c>
      <c r="B31" s="6" t="n">
        <v>0</v>
      </c>
      <c r="C31" s="6" t="n">
        <v>8</v>
      </c>
      <c r="D31" s="12" t="n">
        <f aca="false">C31/(B31+C31)*100</f>
        <v>100</v>
      </c>
      <c r="E31" s="6" t="n">
        <v>2</v>
      </c>
      <c r="F31" s="6" t="s">
        <v>1047</v>
      </c>
      <c r="G31" s="6" t="n">
        <v>6</v>
      </c>
      <c r="H31" s="6" t="s">
        <v>1048</v>
      </c>
      <c r="I31" s="6" t="n">
        <v>2</v>
      </c>
    </row>
    <row r="32" customFormat="false" ht="12.8" hidden="false" customHeight="false" outlineLevel="0" collapsed="false">
      <c r="A32" s="6" t="s">
        <v>1049</v>
      </c>
      <c r="B32" s="6" t="n">
        <v>0</v>
      </c>
      <c r="C32" s="6" t="n">
        <v>8</v>
      </c>
      <c r="D32" s="12" t="n">
        <f aca="false">C32/(B32+C32)*100</f>
        <v>100</v>
      </c>
      <c r="E32" s="6" t="n">
        <v>2</v>
      </c>
      <c r="F32" s="6" t="s">
        <v>1050</v>
      </c>
      <c r="G32" s="6" t="n">
        <v>7</v>
      </c>
      <c r="H32" s="6" t="s">
        <v>1051</v>
      </c>
      <c r="I32" s="6" t="n">
        <v>1</v>
      </c>
    </row>
    <row r="33" customFormat="false" ht="12.8" hidden="false" customHeight="false" outlineLevel="0" collapsed="false">
      <c r="A33" s="6" t="s">
        <v>1052</v>
      </c>
      <c r="B33" s="6" t="n">
        <v>0</v>
      </c>
      <c r="C33" s="6" t="n">
        <v>8</v>
      </c>
      <c r="D33" s="12" t="n">
        <f aca="false">C33/(B33+C33)*100</f>
        <v>100</v>
      </c>
      <c r="E33" s="6" t="n">
        <v>2</v>
      </c>
      <c r="F33" s="6" t="s">
        <v>1053</v>
      </c>
      <c r="G33" s="6" t="n">
        <v>7</v>
      </c>
      <c r="H33" s="6" t="s">
        <v>1054</v>
      </c>
      <c r="I33" s="6" t="n">
        <v>1</v>
      </c>
    </row>
    <row r="34" customFormat="false" ht="12.8" hidden="false" customHeight="false" outlineLevel="0" collapsed="false">
      <c r="A34" s="6" t="s">
        <v>1055</v>
      </c>
      <c r="B34" s="6" t="n">
        <v>0</v>
      </c>
      <c r="C34" s="6" t="n">
        <v>8</v>
      </c>
      <c r="D34" s="12" t="n">
        <f aca="false">C34/(B34+C34)*100</f>
        <v>100</v>
      </c>
      <c r="E34" s="6" t="n">
        <v>1</v>
      </c>
      <c r="F34" s="6" t="s">
        <v>1056</v>
      </c>
      <c r="G34" s="6" t="n">
        <v>8</v>
      </c>
    </row>
    <row r="35" customFormat="false" ht="12.8" hidden="false" customHeight="false" outlineLevel="0" collapsed="false">
      <c r="A35" s="6" t="s">
        <v>1057</v>
      </c>
      <c r="B35" s="6" t="n">
        <v>0</v>
      </c>
      <c r="C35" s="6" t="n">
        <v>8</v>
      </c>
      <c r="D35" s="12" t="n">
        <f aca="false">C35/(B35+C35)*100</f>
        <v>100</v>
      </c>
      <c r="E35" s="6" t="n">
        <v>1</v>
      </c>
      <c r="F35" s="6" t="s">
        <v>1058</v>
      </c>
      <c r="G35" s="6" t="n">
        <v>8</v>
      </c>
    </row>
    <row r="36" customFormat="false" ht="12.8" hidden="false" customHeight="false" outlineLevel="0" collapsed="false">
      <c r="A36" s="6" t="s">
        <v>1059</v>
      </c>
      <c r="B36" s="6" t="n">
        <v>0</v>
      </c>
      <c r="C36" s="6" t="n">
        <v>7</v>
      </c>
      <c r="D36" s="12" t="n">
        <f aca="false">C36/(B36+C36)*100</f>
        <v>100</v>
      </c>
      <c r="E36" s="6" t="n">
        <v>2</v>
      </c>
      <c r="F36" s="6" t="s">
        <v>1060</v>
      </c>
      <c r="G36" s="6" t="n">
        <v>7</v>
      </c>
      <c r="H36" s="6" t="s">
        <v>1061</v>
      </c>
      <c r="I36" s="6" t="n">
        <v>0</v>
      </c>
    </row>
    <row r="37" customFormat="false" ht="12.8" hidden="false" customHeight="false" outlineLevel="0" collapsed="false">
      <c r="A37" s="6" t="s">
        <v>1062</v>
      </c>
      <c r="B37" s="6" t="n">
        <v>0</v>
      </c>
      <c r="C37" s="6" t="n">
        <v>7</v>
      </c>
      <c r="D37" s="12" t="n">
        <f aca="false">C37/(B37+C37)*100</f>
        <v>100</v>
      </c>
      <c r="E37" s="6" t="n">
        <v>1</v>
      </c>
      <c r="F37" s="6" t="s">
        <v>1063</v>
      </c>
      <c r="G37" s="6" t="n">
        <v>7</v>
      </c>
    </row>
    <row r="38" customFormat="false" ht="12.8" hidden="false" customHeight="false" outlineLevel="0" collapsed="false">
      <c r="A38" s="6" t="s">
        <v>1064</v>
      </c>
      <c r="B38" s="6" t="n">
        <v>0</v>
      </c>
      <c r="C38" s="6" t="n">
        <v>6</v>
      </c>
      <c r="D38" s="12" t="n">
        <f aca="false">C38/(B38+C38)*100</f>
        <v>100</v>
      </c>
      <c r="E38" s="6" t="n">
        <v>1</v>
      </c>
      <c r="F38" s="6" t="s">
        <v>1065</v>
      </c>
      <c r="G38" s="6" t="n">
        <v>6</v>
      </c>
    </row>
    <row r="39" customFormat="false" ht="12.8" hidden="false" customHeight="false" outlineLevel="0" collapsed="false">
      <c r="A39" s="6" t="s">
        <v>1066</v>
      </c>
      <c r="B39" s="6" t="n">
        <v>0</v>
      </c>
      <c r="C39" s="6" t="n">
        <v>6</v>
      </c>
      <c r="D39" s="12" t="n">
        <f aca="false">C39/(B39+C39)*100</f>
        <v>100</v>
      </c>
      <c r="E39" s="6" t="n">
        <v>1</v>
      </c>
      <c r="F39" s="6" t="s">
        <v>1067</v>
      </c>
      <c r="G39" s="6" t="n">
        <v>6</v>
      </c>
    </row>
    <row r="40" customFormat="false" ht="12.8" hidden="false" customHeight="false" outlineLevel="0" collapsed="false">
      <c r="A40" s="6" t="s">
        <v>1068</v>
      </c>
      <c r="B40" s="6" t="n">
        <v>0</v>
      </c>
      <c r="C40" s="6" t="n">
        <v>6</v>
      </c>
      <c r="D40" s="12" t="n">
        <f aca="false">C40/(B40+C40)*100</f>
        <v>100</v>
      </c>
      <c r="E40" s="6" t="n">
        <v>1</v>
      </c>
      <c r="F40" s="6" t="s">
        <v>1069</v>
      </c>
      <c r="G40" s="6" t="n">
        <v>6</v>
      </c>
    </row>
    <row r="41" customFormat="false" ht="12.8" hidden="false" customHeight="false" outlineLevel="0" collapsed="false">
      <c r="A41" s="6" t="s">
        <v>1070</v>
      </c>
      <c r="B41" s="6" t="n">
        <v>0</v>
      </c>
      <c r="C41" s="6" t="n">
        <v>5</v>
      </c>
      <c r="D41" s="12" t="n">
        <f aca="false">C41/(B41+C41)*100</f>
        <v>100</v>
      </c>
      <c r="E41" s="6" t="n">
        <v>2</v>
      </c>
      <c r="F41" s="6" t="s">
        <v>1071</v>
      </c>
      <c r="G41" s="6" t="n">
        <v>4</v>
      </c>
      <c r="H41" s="6" t="s">
        <v>1072</v>
      </c>
      <c r="I41" s="6" t="n">
        <v>1</v>
      </c>
    </row>
    <row r="42" customFormat="false" ht="12.8" hidden="false" customHeight="false" outlineLevel="0" collapsed="false">
      <c r="A42" s="6" t="s">
        <v>1073</v>
      </c>
      <c r="B42" s="6" t="n">
        <v>0</v>
      </c>
      <c r="C42" s="6" t="n">
        <v>5</v>
      </c>
      <c r="D42" s="12" t="n">
        <f aca="false">C42/(B42+C42)*100</f>
        <v>100</v>
      </c>
      <c r="E42" s="6" t="n">
        <v>2</v>
      </c>
      <c r="F42" s="6" t="s">
        <v>1074</v>
      </c>
      <c r="G42" s="6" t="n">
        <v>4</v>
      </c>
      <c r="H42" s="6" t="s">
        <v>1075</v>
      </c>
      <c r="I42" s="6" t="n">
        <v>1</v>
      </c>
    </row>
    <row r="43" customFormat="false" ht="12.8" hidden="false" customHeight="false" outlineLevel="0" collapsed="false">
      <c r="A43" s="6" t="s">
        <v>1076</v>
      </c>
      <c r="B43" s="6" t="n">
        <v>0</v>
      </c>
      <c r="C43" s="6" t="n">
        <v>5</v>
      </c>
      <c r="D43" s="12" t="n">
        <f aca="false">C43/(B43+C43)*100</f>
        <v>100</v>
      </c>
      <c r="E43" s="6" t="n">
        <v>1</v>
      </c>
      <c r="F43" s="6" t="s">
        <v>1077</v>
      </c>
      <c r="G43" s="6" t="n">
        <v>5</v>
      </c>
    </row>
    <row r="44" customFormat="false" ht="12.8" hidden="false" customHeight="false" outlineLevel="0" collapsed="false">
      <c r="A44" s="6" t="s">
        <v>1078</v>
      </c>
      <c r="B44" s="6" t="n">
        <v>0</v>
      </c>
      <c r="C44" s="6" t="n">
        <v>4</v>
      </c>
      <c r="D44" s="12" t="n">
        <f aca="false">C44/(B44+C44)*100</f>
        <v>100</v>
      </c>
      <c r="E44" s="6" t="n">
        <v>3</v>
      </c>
      <c r="F44" s="6" t="s">
        <v>1079</v>
      </c>
      <c r="G44" s="6" t="n">
        <v>2</v>
      </c>
      <c r="H44" s="6" t="s">
        <v>1080</v>
      </c>
      <c r="I44" s="6" t="n">
        <v>1</v>
      </c>
      <c r="J44" s="6" t="s">
        <v>1081</v>
      </c>
      <c r="K44" s="6" t="n">
        <v>1</v>
      </c>
    </row>
    <row r="45" customFormat="false" ht="12.8" hidden="false" customHeight="false" outlineLevel="0" collapsed="false">
      <c r="A45" s="6" t="s">
        <v>1082</v>
      </c>
      <c r="B45" s="6" t="n">
        <v>0</v>
      </c>
      <c r="C45" s="6" t="n">
        <v>4</v>
      </c>
      <c r="D45" s="12" t="n">
        <f aca="false">C45/(B45+C45)*100</f>
        <v>100</v>
      </c>
      <c r="E45" s="6" t="n">
        <v>3</v>
      </c>
      <c r="F45" s="6" t="s">
        <v>1083</v>
      </c>
      <c r="G45" s="6" t="n">
        <v>3</v>
      </c>
      <c r="H45" s="6" t="s">
        <v>1084</v>
      </c>
      <c r="I45" s="6" t="n">
        <v>1</v>
      </c>
      <c r="J45" s="6" t="s">
        <v>1085</v>
      </c>
      <c r="K45" s="6" t="n">
        <v>0</v>
      </c>
    </row>
    <row r="46" customFormat="false" ht="12.8" hidden="false" customHeight="false" outlineLevel="0" collapsed="false">
      <c r="A46" s="6" t="s">
        <v>1086</v>
      </c>
      <c r="B46" s="6" t="n">
        <v>0</v>
      </c>
      <c r="C46" s="6" t="n">
        <v>4</v>
      </c>
      <c r="D46" s="12" t="n">
        <f aca="false">C46/(B46+C46)*100</f>
        <v>100</v>
      </c>
      <c r="E46" s="6" t="n">
        <v>2</v>
      </c>
      <c r="F46" s="6" t="s">
        <v>1087</v>
      </c>
      <c r="G46" s="6" t="n">
        <v>2</v>
      </c>
      <c r="H46" s="6" t="s">
        <v>1088</v>
      </c>
      <c r="I46" s="6" t="n">
        <v>2</v>
      </c>
    </row>
    <row r="47" customFormat="false" ht="12.8" hidden="false" customHeight="false" outlineLevel="0" collapsed="false">
      <c r="A47" s="6" t="s">
        <v>1089</v>
      </c>
      <c r="B47" s="6" t="n">
        <v>0</v>
      </c>
      <c r="C47" s="6" t="n">
        <v>3</v>
      </c>
      <c r="D47" s="12" t="n">
        <f aca="false">C47/(B47+C47)*100</f>
        <v>100</v>
      </c>
      <c r="E47" s="6" t="n">
        <v>3</v>
      </c>
      <c r="F47" s="6" t="s">
        <v>1090</v>
      </c>
      <c r="G47" s="6" t="n">
        <v>1</v>
      </c>
      <c r="H47" s="6" t="s">
        <v>1091</v>
      </c>
      <c r="I47" s="6" t="n">
        <v>1</v>
      </c>
      <c r="J47" s="6" t="s">
        <v>1092</v>
      </c>
      <c r="K47" s="6" t="n">
        <v>1</v>
      </c>
    </row>
    <row r="48" customFormat="false" ht="12.8" hidden="false" customHeight="false" outlineLevel="0" collapsed="false">
      <c r="A48" s="6" t="s">
        <v>1093</v>
      </c>
      <c r="B48" s="6" t="n">
        <v>0</v>
      </c>
      <c r="C48" s="6" t="n">
        <v>3</v>
      </c>
      <c r="D48" s="12" t="n">
        <f aca="false">C48/(B48+C48)*100</f>
        <v>100</v>
      </c>
      <c r="E48" s="6" t="n">
        <v>2</v>
      </c>
      <c r="F48" s="6" t="s">
        <v>1094</v>
      </c>
      <c r="G48" s="6" t="n">
        <v>2</v>
      </c>
      <c r="H48" s="6" t="s">
        <v>1095</v>
      </c>
      <c r="I48" s="6" t="n">
        <v>1</v>
      </c>
    </row>
    <row r="49" customFormat="false" ht="12.8" hidden="false" customHeight="false" outlineLevel="0" collapsed="false">
      <c r="A49" s="6" t="s">
        <v>1096</v>
      </c>
      <c r="B49" s="6" t="n">
        <v>0</v>
      </c>
      <c r="C49" s="6" t="n">
        <v>3</v>
      </c>
      <c r="D49" s="12" t="n">
        <f aca="false">C49/(B49+C49)*100</f>
        <v>100</v>
      </c>
      <c r="E49" s="6" t="n">
        <v>2</v>
      </c>
      <c r="F49" s="6" t="s">
        <v>1097</v>
      </c>
      <c r="G49" s="6" t="n">
        <v>2</v>
      </c>
      <c r="H49" s="6" t="s">
        <v>1098</v>
      </c>
      <c r="I49" s="6" t="n">
        <v>1</v>
      </c>
    </row>
    <row r="50" customFormat="false" ht="12.8" hidden="false" customHeight="false" outlineLevel="0" collapsed="false">
      <c r="A50" s="6" t="s">
        <v>1099</v>
      </c>
      <c r="B50" s="6" t="n">
        <v>0</v>
      </c>
      <c r="C50" s="6" t="n">
        <v>3</v>
      </c>
      <c r="D50" s="12" t="n">
        <f aca="false">C50/(B50+C50)*100</f>
        <v>100</v>
      </c>
      <c r="E50" s="6" t="n">
        <v>2</v>
      </c>
      <c r="F50" s="6" t="s">
        <v>1100</v>
      </c>
      <c r="G50" s="6" t="n">
        <v>2</v>
      </c>
      <c r="H50" s="6" t="s">
        <v>1101</v>
      </c>
      <c r="I50" s="6" t="n">
        <v>1</v>
      </c>
    </row>
    <row r="51" customFormat="false" ht="12.8" hidden="false" customHeight="false" outlineLevel="0" collapsed="false">
      <c r="A51" s="6" t="s">
        <v>1102</v>
      </c>
      <c r="B51" s="6" t="n">
        <v>0</v>
      </c>
      <c r="C51" s="6" t="n">
        <v>3</v>
      </c>
      <c r="D51" s="12" t="n">
        <f aca="false">C51/(B51+C51)*100</f>
        <v>100</v>
      </c>
      <c r="E51" s="6" t="n">
        <v>2</v>
      </c>
      <c r="F51" s="6" t="s">
        <v>1103</v>
      </c>
      <c r="G51" s="6" t="n">
        <v>2</v>
      </c>
      <c r="H51" s="6" t="s">
        <v>1104</v>
      </c>
      <c r="I51" s="6" t="n">
        <v>1</v>
      </c>
    </row>
    <row r="52" customFormat="false" ht="12.8" hidden="false" customHeight="false" outlineLevel="0" collapsed="false">
      <c r="A52" s="6" t="s">
        <v>1105</v>
      </c>
      <c r="B52" s="6" t="n">
        <v>0</v>
      </c>
      <c r="C52" s="6" t="n">
        <v>3</v>
      </c>
      <c r="D52" s="12" t="n">
        <f aca="false">C52/(B52+C52)*100</f>
        <v>100</v>
      </c>
      <c r="E52" s="6" t="n">
        <v>2</v>
      </c>
      <c r="F52" s="6" t="s">
        <v>1106</v>
      </c>
      <c r="G52" s="6" t="n">
        <v>2</v>
      </c>
      <c r="H52" s="6" t="s">
        <v>1107</v>
      </c>
      <c r="I52" s="6" t="n">
        <v>1</v>
      </c>
    </row>
    <row r="53" customFormat="false" ht="12.8" hidden="false" customHeight="false" outlineLevel="0" collapsed="false">
      <c r="A53" s="6" t="s">
        <v>1108</v>
      </c>
      <c r="B53" s="6" t="n">
        <v>0</v>
      </c>
      <c r="C53" s="6" t="n">
        <v>3</v>
      </c>
      <c r="D53" s="12" t="n">
        <f aca="false">C53/(B53+C53)*100</f>
        <v>100</v>
      </c>
      <c r="E53" s="6" t="n">
        <v>2</v>
      </c>
      <c r="F53" s="6" t="s">
        <v>1109</v>
      </c>
      <c r="G53" s="6" t="n">
        <v>2</v>
      </c>
      <c r="H53" s="6" t="s">
        <v>1110</v>
      </c>
      <c r="I53" s="6" t="n">
        <v>1</v>
      </c>
    </row>
    <row r="54" customFormat="false" ht="12.8" hidden="false" customHeight="false" outlineLevel="0" collapsed="false">
      <c r="A54" s="6" t="s">
        <v>1111</v>
      </c>
      <c r="B54" s="6" t="n">
        <v>0</v>
      </c>
      <c r="C54" s="6" t="n">
        <v>3</v>
      </c>
      <c r="D54" s="12" t="n">
        <f aca="false">C54/(B54+C54)*100</f>
        <v>100</v>
      </c>
      <c r="E54" s="6" t="n">
        <v>1</v>
      </c>
      <c r="F54" s="6" t="s">
        <v>1112</v>
      </c>
      <c r="G54" s="6" t="n">
        <v>3</v>
      </c>
    </row>
    <row r="55" customFormat="false" ht="12.8" hidden="false" customHeight="false" outlineLevel="0" collapsed="false">
      <c r="A55" s="6" t="s">
        <v>1113</v>
      </c>
      <c r="B55" s="6" t="n">
        <v>0</v>
      </c>
      <c r="C55" s="6" t="n">
        <v>3</v>
      </c>
      <c r="D55" s="12" t="n">
        <f aca="false">C55/(B55+C55)*100</f>
        <v>100</v>
      </c>
      <c r="E55" s="6" t="n">
        <v>1</v>
      </c>
      <c r="F55" s="6" t="s">
        <v>1114</v>
      </c>
      <c r="G55" s="6" t="n">
        <v>3</v>
      </c>
    </row>
    <row r="56" customFormat="false" ht="12.8" hidden="false" customHeight="false" outlineLevel="0" collapsed="false">
      <c r="A56" s="6" t="s">
        <v>1115</v>
      </c>
      <c r="B56" s="6" t="n">
        <v>0</v>
      </c>
      <c r="C56" s="6" t="n">
        <v>3</v>
      </c>
      <c r="D56" s="12" t="n">
        <f aca="false">C56/(B56+C56)*100</f>
        <v>100</v>
      </c>
      <c r="E56" s="6" t="n">
        <v>1</v>
      </c>
      <c r="F56" s="6" t="s">
        <v>1116</v>
      </c>
      <c r="G56" s="6" t="n">
        <v>3</v>
      </c>
    </row>
    <row r="57" customFormat="false" ht="12.8" hidden="false" customHeight="false" outlineLevel="0" collapsed="false">
      <c r="A57" s="6" t="s">
        <v>1117</v>
      </c>
      <c r="B57" s="6" t="n">
        <v>0</v>
      </c>
      <c r="C57" s="6" t="n">
        <v>3</v>
      </c>
      <c r="D57" s="12" t="n">
        <f aca="false">C57/(B57+C57)*100</f>
        <v>100</v>
      </c>
      <c r="E57" s="6" t="n">
        <v>1</v>
      </c>
      <c r="F57" s="6" t="s">
        <v>1118</v>
      </c>
      <c r="G57" s="6" t="n">
        <v>3</v>
      </c>
    </row>
    <row r="58" customFormat="false" ht="12.8" hidden="false" customHeight="false" outlineLevel="0" collapsed="false">
      <c r="A58" s="6" t="s">
        <v>1119</v>
      </c>
      <c r="B58" s="6" t="n">
        <v>0</v>
      </c>
      <c r="C58" s="6" t="n">
        <v>3</v>
      </c>
      <c r="D58" s="12" t="n">
        <f aca="false">C58/(B58+C58)*100</f>
        <v>100</v>
      </c>
      <c r="E58" s="6" t="n">
        <v>1</v>
      </c>
      <c r="F58" s="6" t="s">
        <v>1120</v>
      </c>
      <c r="G58" s="6" t="n">
        <v>3</v>
      </c>
    </row>
    <row r="59" customFormat="false" ht="12.8" hidden="false" customHeight="false" outlineLevel="0" collapsed="false">
      <c r="A59" s="6" t="s">
        <v>1121</v>
      </c>
      <c r="B59" s="6" t="n">
        <v>0</v>
      </c>
      <c r="C59" s="6" t="n">
        <v>3</v>
      </c>
      <c r="D59" s="12" t="n">
        <f aca="false">C59/(B59+C59)*100</f>
        <v>100</v>
      </c>
      <c r="E59" s="6" t="n">
        <v>1</v>
      </c>
      <c r="F59" s="6" t="s">
        <v>1122</v>
      </c>
      <c r="G59" s="6" t="n">
        <v>3</v>
      </c>
    </row>
    <row r="60" customFormat="false" ht="12.8" hidden="false" customHeight="false" outlineLevel="0" collapsed="false">
      <c r="A60" s="6" t="s">
        <v>1123</v>
      </c>
      <c r="B60" s="6" t="n">
        <v>0</v>
      </c>
      <c r="C60" s="6" t="n">
        <v>3</v>
      </c>
      <c r="D60" s="12" t="n">
        <f aca="false">C60/(B60+C60)*100</f>
        <v>100</v>
      </c>
      <c r="E60" s="6" t="n">
        <v>1</v>
      </c>
      <c r="F60" s="6" t="s">
        <v>1124</v>
      </c>
      <c r="G60" s="6" t="n">
        <v>3</v>
      </c>
    </row>
    <row r="61" customFormat="false" ht="12.8" hidden="false" customHeight="false" outlineLevel="0" collapsed="false">
      <c r="A61" s="6" t="s">
        <v>1125</v>
      </c>
      <c r="B61" s="6" t="n">
        <v>0</v>
      </c>
      <c r="C61" s="6" t="n">
        <v>3</v>
      </c>
      <c r="D61" s="12" t="n">
        <f aca="false">C61/(B61+C61)*100</f>
        <v>100</v>
      </c>
      <c r="E61" s="6" t="n">
        <v>1</v>
      </c>
      <c r="F61" s="6" t="s">
        <v>1126</v>
      </c>
      <c r="G61" s="6" t="n">
        <v>3</v>
      </c>
    </row>
    <row r="62" customFormat="false" ht="12.8" hidden="false" customHeight="false" outlineLevel="0" collapsed="false">
      <c r="A62" s="6" t="s">
        <v>1127</v>
      </c>
      <c r="B62" s="6" t="n">
        <v>0</v>
      </c>
      <c r="C62" s="6" t="n">
        <v>2</v>
      </c>
      <c r="D62" s="12" t="n">
        <f aca="false">C62/(B62+C62)*100</f>
        <v>100</v>
      </c>
      <c r="E62" s="6" t="n">
        <v>6</v>
      </c>
      <c r="F62" s="6" t="s">
        <v>1128</v>
      </c>
      <c r="G62" s="6" t="n">
        <v>2</v>
      </c>
      <c r="H62" s="6" t="s">
        <v>1129</v>
      </c>
      <c r="I62" s="6" t="n">
        <v>0</v>
      </c>
      <c r="J62" s="6" t="s">
        <v>1130</v>
      </c>
      <c r="K62" s="6" t="n">
        <v>0</v>
      </c>
      <c r="L62" s="6" t="s">
        <v>1131</v>
      </c>
      <c r="M62" s="6" t="n">
        <v>0</v>
      </c>
      <c r="N62" s="6" t="s">
        <v>1132</v>
      </c>
      <c r="O62" s="6" t="n">
        <v>0</v>
      </c>
      <c r="P62" s="6" t="s">
        <v>1133</v>
      </c>
      <c r="Q62" s="6" t="n">
        <v>0</v>
      </c>
    </row>
    <row r="63" customFormat="false" ht="12.8" hidden="false" customHeight="false" outlineLevel="0" collapsed="false">
      <c r="A63" s="6" t="s">
        <v>1134</v>
      </c>
      <c r="B63" s="6" t="n">
        <v>0</v>
      </c>
      <c r="C63" s="6" t="n">
        <v>2</v>
      </c>
      <c r="D63" s="12" t="n">
        <f aca="false">C63/(B63+C63)*100</f>
        <v>100</v>
      </c>
      <c r="E63" s="6" t="n">
        <v>3</v>
      </c>
      <c r="F63" s="6" t="s">
        <v>1135</v>
      </c>
      <c r="G63" s="6" t="n">
        <v>1</v>
      </c>
      <c r="H63" s="6" t="s">
        <v>1136</v>
      </c>
      <c r="I63" s="6" t="n">
        <v>1</v>
      </c>
      <c r="J63" s="6" t="s">
        <v>1137</v>
      </c>
      <c r="K63" s="6" t="n">
        <v>0</v>
      </c>
    </row>
    <row r="64" customFormat="false" ht="12.8" hidden="false" customHeight="false" outlineLevel="0" collapsed="false">
      <c r="A64" s="6" t="s">
        <v>1138</v>
      </c>
      <c r="B64" s="6" t="n">
        <v>0</v>
      </c>
      <c r="C64" s="6" t="n">
        <v>2</v>
      </c>
      <c r="D64" s="12" t="n">
        <f aca="false">C64/(B64+C64)*100</f>
        <v>100</v>
      </c>
      <c r="E64" s="6" t="n">
        <v>2</v>
      </c>
      <c r="F64" s="6" t="s">
        <v>1139</v>
      </c>
      <c r="G64" s="6" t="n">
        <v>1</v>
      </c>
      <c r="H64" s="6" t="s">
        <v>1140</v>
      </c>
      <c r="I64" s="6" t="n">
        <v>1</v>
      </c>
    </row>
    <row r="65" customFormat="false" ht="12.8" hidden="false" customHeight="false" outlineLevel="0" collapsed="false">
      <c r="A65" s="6" t="s">
        <v>1141</v>
      </c>
      <c r="B65" s="6" t="n">
        <v>0</v>
      </c>
      <c r="C65" s="6" t="n">
        <v>2</v>
      </c>
      <c r="D65" s="12" t="n">
        <f aca="false">C65/(B65+C65)*100</f>
        <v>100</v>
      </c>
      <c r="E65" s="6" t="n">
        <v>2</v>
      </c>
      <c r="F65" s="6" t="s">
        <v>1142</v>
      </c>
      <c r="G65" s="6" t="n">
        <v>1</v>
      </c>
      <c r="H65" s="6" t="s">
        <v>1143</v>
      </c>
      <c r="I65" s="6" t="n">
        <v>1</v>
      </c>
    </row>
    <row r="66" customFormat="false" ht="12.8" hidden="false" customHeight="false" outlineLevel="0" collapsed="false">
      <c r="A66" s="6" t="s">
        <v>1144</v>
      </c>
      <c r="B66" s="6" t="n">
        <v>0</v>
      </c>
      <c r="C66" s="6" t="n">
        <v>2</v>
      </c>
      <c r="D66" s="12" t="n">
        <f aca="false">C66/(B66+C66)*100</f>
        <v>100</v>
      </c>
      <c r="E66" s="6" t="n">
        <v>1</v>
      </c>
      <c r="F66" s="6" t="s">
        <v>1145</v>
      </c>
      <c r="G66" s="6" t="n">
        <v>2</v>
      </c>
    </row>
    <row r="67" customFormat="false" ht="12.8" hidden="false" customHeight="false" outlineLevel="0" collapsed="false">
      <c r="A67" s="6" t="s">
        <v>1146</v>
      </c>
      <c r="B67" s="6" t="n">
        <v>0</v>
      </c>
      <c r="C67" s="6" t="n">
        <v>2</v>
      </c>
      <c r="D67" s="12" t="n">
        <f aca="false">C67/(B67+C67)*100</f>
        <v>100</v>
      </c>
      <c r="E67" s="6" t="n">
        <v>1</v>
      </c>
      <c r="F67" s="6" t="s">
        <v>1147</v>
      </c>
      <c r="G67" s="6" t="n">
        <v>2</v>
      </c>
    </row>
    <row r="68" customFormat="false" ht="12.8" hidden="false" customHeight="false" outlineLevel="0" collapsed="false">
      <c r="A68" s="6" t="s">
        <v>1148</v>
      </c>
      <c r="B68" s="6" t="n">
        <v>0</v>
      </c>
      <c r="C68" s="6" t="n">
        <v>2</v>
      </c>
      <c r="D68" s="12" t="n">
        <f aca="false">C68/(B68+C68)*100</f>
        <v>100</v>
      </c>
      <c r="E68" s="6" t="n">
        <v>1</v>
      </c>
      <c r="F68" s="6" t="s">
        <v>1149</v>
      </c>
      <c r="G68" s="6" t="n">
        <v>2</v>
      </c>
    </row>
    <row r="69" customFormat="false" ht="12.8" hidden="false" customHeight="false" outlineLevel="0" collapsed="false">
      <c r="A69" s="6" t="s">
        <v>1150</v>
      </c>
      <c r="B69" s="6" t="n">
        <v>0</v>
      </c>
      <c r="C69" s="6" t="n">
        <v>2</v>
      </c>
      <c r="D69" s="12" t="n">
        <f aca="false">C69/(B69+C69)*100</f>
        <v>100</v>
      </c>
      <c r="E69" s="6" t="n">
        <v>1</v>
      </c>
      <c r="F69" s="6" t="s">
        <v>1151</v>
      </c>
      <c r="G69" s="6" t="n">
        <v>2</v>
      </c>
    </row>
    <row r="70" customFormat="false" ht="12.8" hidden="false" customHeight="false" outlineLevel="0" collapsed="false">
      <c r="A70" s="6" t="s">
        <v>1152</v>
      </c>
      <c r="B70" s="6" t="n">
        <v>0</v>
      </c>
      <c r="C70" s="6" t="n">
        <v>2</v>
      </c>
      <c r="D70" s="12" t="n">
        <f aca="false">C70/(B70+C70)*100</f>
        <v>100</v>
      </c>
      <c r="E70" s="6" t="n">
        <v>1</v>
      </c>
      <c r="F70" s="6" t="s">
        <v>1153</v>
      </c>
      <c r="G70" s="6" t="n">
        <v>2</v>
      </c>
    </row>
    <row r="71" customFormat="false" ht="12.8" hidden="false" customHeight="false" outlineLevel="0" collapsed="false">
      <c r="A71" s="6" t="s">
        <v>1154</v>
      </c>
      <c r="B71" s="6" t="n">
        <v>0</v>
      </c>
      <c r="C71" s="6" t="n">
        <v>2</v>
      </c>
      <c r="D71" s="12" t="n">
        <f aca="false">C71/(B71+C71)*100</f>
        <v>100</v>
      </c>
      <c r="E71" s="6" t="n">
        <v>1</v>
      </c>
      <c r="F71" s="6" t="s">
        <v>1155</v>
      </c>
      <c r="G71" s="6" t="n">
        <v>2</v>
      </c>
    </row>
    <row r="72" customFormat="false" ht="12.8" hidden="false" customHeight="false" outlineLevel="0" collapsed="false">
      <c r="A72" s="6" t="s">
        <v>1156</v>
      </c>
      <c r="B72" s="6" t="n">
        <v>0</v>
      </c>
      <c r="C72" s="6" t="n">
        <v>2</v>
      </c>
      <c r="D72" s="12" t="n">
        <f aca="false">C72/(B72+C72)*100</f>
        <v>100</v>
      </c>
      <c r="E72" s="6" t="n">
        <v>1</v>
      </c>
      <c r="F72" s="6" t="s">
        <v>1157</v>
      </c>
      <c r="G72" s="6" t="n">
        <v>2</v>
      </c>
    </row>
    <row r="73" customFormat="false" ht="12.8" hidden="false" customHeight="false" outlineLevel="0" collapsed="false">
      <c r="A73" s="6" t="s">
        <v>1158</v>
      </c>
      <c r="B73" s="6" t="n">
        <v>0</v>
      </c>
      <c r="C73" s="6" t="n">
        <v>2</v>
      </c>
      <c r="D73" s="12" t="n">
        <f aca="false">C73/(B73+C73)*100</f>
        <v>100</v>
      </c>
      <c r="E73" s="6" t="n">
        <v>1</v>
      </c>
      <c r="F73" s="6" t="s">
        <v>1159</v>
      </c>
      <c r="G73" s="6" t="n">
        <v>2</v>
      </c>
    </row>
    <row r="74" customFormat="false" ht="12.8" hidden="false" customHeight="false" outlineLevel="0" collapsed="false">
      <c r="A74" s="6" t="s">
        <v>1160</v>
      </c>
      <c r="B74" s="6" t="n">
        <v>0</v>
      </c>
      <c r="C74" s="6" t="n">
        <v>2</v>
      </c>
      <c r="D74" s="12" t="n">
        <f aca="false">C74/(B74+C74)*100</f>
        <v>100</v>
      </c>
      <c r="E74" s="6" t="n">
        <v>1</v>
      </c>
      <c r="F74" s="6" t="s">
        <v>1161</v>
      </c>
      <c r="G74" s="6" t="n">
        <v>2</v>
      </c>
    </row>
    <row r="75" customFormat="false" ht="12.8" hidden="false" customHeight="false" outlineLevel="0" collapsed="false">
      <c r="A75" s="6" t="s">
        <v>1162</v>
      </c>
      <c r="B75" s="6" t="n">
        <v>0</v>
      </c>
      <c r="C75" s="6" t="n">
        <v>2</v>
      </c>
      <c r="D75" s="12" t="n">
        <f aca="false">C75/(B75+C75)*100</f>
        <v>100</v>
      </c>
      <c r="E75" s="6" t="n">
        <v>1</v>
      </c>
      <c r="F75" s="6" t="s">
        <v>1163</v>
      </c>
      <c r="G75" s="6" t="n">
        <v>2</v>
      </c>
    </row>
    <row r="76" customFormat="false" ht="12.8" hidden="false" customHeight="false" outlineLevel="0" collapsed="false">
      <c r="A76" s="6" t="s">
        <v>1164</v>
      </c>
      <c r="B76" s="6" t="n">
        <v>0</v>
      </c>
      <c r="C76" s="6" t="n">
        <v>2</v>
      </c>
      <c r="D76" s="12" t="n">
        <f aca="false">C76/(B76+C76)*100</f>
        <v>100</v>
      </c>
      <c r="E76" s="6" t="n">
        <v>1</v>
      </c>
      <c r="F76" s="6" t="s">
        <v>1165</v>
      </c>
      <c r="G76" s="6" t="n">
        <v>2</v>
      </c>
    </row>
    <row r="77" customFormat="false" ht="12.8" hidden="false" customHeight="false" outlineLevel="0" collapsed="false">
      <c r="A77" s="6" t="s">
        <v>1166</v>
      </c>
      <c r="B77" s="6" t="n">
        <v>0</v>
      </c>
      <c r="C77" s="6" t="n">
        <v>2</v>
      </c>
      <c r="D77" s="12" t="n">
        <f aca="false">C77/(B77+C77)*100</f>
        <v>100</v>
      </c>
      <c r="E77" s="6" t="n">
        <v>1</v>
      </c>
      <c r="F77" s="6" t="s">
        <v>1167</v>
      </c>
      <c r="G77" s="6" t="n">
        <v>2</v>
      </c>
    </row>
    <row r="78" customFormat="false" ht="12.8" hidden="false" customHeight="false" outlineLevel="0" collapsed="false">
      <c r="A78" s="6" t="s">
        <v>1168</v>
      </c>
      <c r="B78" s="6" t="n">
        <v>0</v>
      </c>
      <c r="C78" s="6" t="n">
        <v>2</v>
      </c>
      <c r="D78" s="12" t="n">
        <f aca="false">C78/(B78+C78)*100</f>
        <v>100</v>
      </c>
      <c r="E78" s="6" t="n">
        <v>1</v>
      </c>
      <c r="F78" s="6" t="s">
        <v>1169</v>
      </c>
      <c r="G78" s="6" t="n">
        <v>2</v>
      </c>
    </row>
    <row r="79" customFormat="false" ht="12.8" hidden="false" customHeight="false" outlineLevel="0" collapsed="false">
      <c r="A79" s="6" t="s">
        <v>1170</v>
      </c>
      <c r="B79" s="6" t="n">
        <v>0</v>
      </c>
      <c r="C79" s="6" t="n">
        <v>2</v>
      </c>
      <c r="D79" s="12" t="n">
        <f aca="false">C79/(B79+C79)*100</f>
        <v>100</v>
      </c>
      <c r="E79" s="6" t="n">
        <v>1</v>
      </c>
      <c r="F79" s="6" t="s">
        <v>1171</v>
      </c>
      <c r="G79" s="6" t="n">
        <v>2</v>
      </c>
    </row>
    <row r="80" customFormat="false" ht="12.8" hidden="false" customHeight="false" outlineLevel="0" collapsed="false">
      <c r="A80" s="6" t="s">
        <v>1172</v>
      </c>
      <c r="B80" s="6" t="n">
        <v>0</v>
      </c>
      <c r="C80" s="6" t="n">
        <v>1</v>
      </c>
      <c r="D80" s="12" t="n">
        <f aca="false">C80/(B80+C80)*100</f>
        <v>100</v>
      </c>
      <c r="E80" s="6" t="n">
        <v>3</v>
      </c>
      <c r="F80" s="6" t="s">
        <v>1173</v>
      </c>
      <c r="G80" s="6" t="n">
        <v>1</v>
      </c>
      <c r="H80" s="6" t="s">
        <v>1174</v>
      </c>
      <c r="I80" s="6" t="n">
        <v>0</v>
      </c>
      <c r="J80" s="6" t="s">
        <v>1175</v>
      </c>
      <c r="K80" s="6" t="n">
        <v>0</v>
      </c>
    </row>
    <row r="81" customFormat="false" ht="12.8" hidden="false" customHeight="false" outlineLevel="0" collapsed="false">
      <c r="A81" s="6" t="s">
        <v>1176</v>
      </c>
      <c r="B81" s="6" t="n">
        <v>0</v>
      </c>
      <c r="C81" s="6" t="n">
        <v>1</v>
      </c>
      <c r="D81" s="12" t="n">
        <f aca="false">C81/(B81+C81)*100</f>
        <v>100</v>
      </c>
      <c r="E81" s="6" t="n">
        <v>3</v>
      </c>
      <c r="F81" s="6" t="s">
        <v>1177</v>
      </c>
      <c r="G81" s="6" t="n">
        <v>1</v>
      </c>
      <c r="H81" s="6" t="s">
        <v>1178</v>
      </c>
      <c r="I81" s="6" t="n">
        <v>0</v>
      </c>
      <c r="J81" s="6" t="s">
        <v>1179</v>
      </c>
      <c r="K81" s="6" t="n">
        <v>0</v>
      </c>
    </row>
    <row r="82" customFormat="false" ht="12.8" hidden="false" customHeight="false" outlineLevel="0" collapsed="false">
      <c r="A82" s="6" t="s">
        <v>1180</v>
      </c>
      <c r="B82" s="6" t="n">
        <v>0</v>
      </c>
      <c r="C82" s="6" t="n">
        <v>1</v>
      </c>
      <c r="D82" s="12" t="n">
        <f aca="false">C82/(B82+C82)*100</f>
        <v>100</v>
      </c>
      <c r="E82" s="6" t="n">
        <v>2</v>
      </c>
      <c r="F82" s="6" t="s">
        <v>1181</v>
      </c>
      <c r="G82" s="6" t="n">
        <v>1</v>
      </c>
      <c r="H82" s="6" t="s">
        <v>1182</v>
      </c>
      <c r="I82" s="6" t="n">
        <v>0</v>
      </c>
    </row>
    <row r="83" customFormat="false" ht="12.8" hidden="false" customHeight="false" outlineLevel="0" collapsed="false">
      <c r="A83" s="6" t="s">
        <v>1183</v>
      </c>
      <c r="B83" s="6" t="n">
        <v>0</v>
      </c>
      <c r="C83" s="6" t="n">
        <v>1</v>
      </c>
      <c r="D83" s="12" t="n">
        <f aca="false">C83/(B83+C83)*100</f>
        <v>100</v>
      </c>
      <c r="E83" s="6" t="n">
        <v>2</v>
      </c>
      <c r="F83" s="6" t="s">
        <v>1184</v>
      </c>
      <c r="G83" s="6" t="n">
        <v>1</v>
      </c>
      <c r="H83" s="6" t="s">
        <v>1185</v>
      </c>
      <c r="I83" s="6" t="n">
        <v>0</v>
      </c>
    </row>
    <row r="84" customFormat="false" ht="12.8" hidden="false" customHeight="false" outlineLevel="0" collapsed="false">
      <c r="A84" s="6" t="s">
        <v>1186</v>
      </c>
      <c r="B84" s="6" t="n">
        <v>0</v>
      </c>
      <c r="C84" s="6" t="n">
        <v>1</v>
      </c>
      <c r="D84" s="12" t="n">
        <f aca="false">C84/(B84+C84)*100</f>
        <v>100</v>
      </c>
      <c r="E84" s="6" t="n">
        <v>1</v>
      </c>
      <c r="F84" s="6" t="s">
        <v>1187</v>
      </c>
      <c r="G84" s="6" t="n">
        <v>1</v>
      </c>
    </row>
    <row r="85" customFormat="false" ht="12.8" hidden="false" customHeight="false" outlineLevel="0" collapsed="false">
      <c r="A85" s="6" t="s">
        <v>1188</v>
      </c>
      <c r="B85" s="6" t="n">
        <v>0</v>
      </c>
      <c r="C85" s="6" t="n">
        <v>1</v>
      </c>
      <c r="D85" s="12" t="n">
        <f aca="false">C85/(B85+C85)*100</f>
        <v>100</v>
      </c>
      <c r="E85" s="6" t="n">
        <v>1</v>
      </c>
      <c r="F85" s="6" t="s">
        <v>1189</v>
      </c>
      <c r="G85" s="6" t="n">
        <v>1</v>
      </c>
    </row>
    <row r="86" customFormat="false" ht="12.8" hidden="false" customHeight="false" outlineLevel="0" collapsed="false">
      <c r="A86" s="6" t="s">
        <v>1190</v>
      </c>
      <c r="B86" s="6" t="n">
        <v>0</v>
      </c>
      <c r="C86" s="6" t="n">
        <v>1</v>
      </c>
      <c r="D86" s="12" t="n">
        <f aca="false">C86/(B86+C86)*100</f>
        <v>100</v>
      </c>
      <c r="E86" s="6" t="n">
        <v>1</v>
      </c>
      <c r="F86" s="6" t="s">
        <v>1191</v>
      </c>
      <c r="G86" s="6" t="n">
        <v>1</v>
      </c>
    </row>
    <row r="87" customFormat="false" ht="12.8" hidden="false" customHeight="false" outlineLevel="0" collapsed="false">
      <c r="A87" s="6" t="s">
        <v>1192</v>
      </c>
      <c r="B87" s="6" t="n">
        <v>0</v>
      </c>
      <c r="C87" s="6" t="n">
        <v>1</v>
      </c>
      <c r="D87" s="12" t="n">
        <f aca="false">C87/(B87+C87)*100</f>
        <v>100</v>
      </c>
      <c r="E87" s="6" t="n">
        <v>1</v>
      </c>
      <c r="F87" s="6" t="s">
        <v>1193</v>
      </c>
      <c r="G87" s="6" t="n">
        <v>1</v>
      </c>
    </row>
    <row r="88" customFormat="false" ht="12.8" hidden="false" customHeight="false" outlineLevel="0" collapsed="false">
      <c r="A88" s="6" t="s">
        <v>1194</v>
      </c>
      <c r="B88" s="6" t="n">
        <v>0</v>
      </c>
      <c r="C88" s="6" t="n">
        <v>1</v>
      </c>
      <c r="D88" s="12" t="n">
        <f aca="false">C88/(B88+C88)*100</f>
        <v>100</v>
      </c>
      <c r="E88" s="6" t="n">
        <v>1</v>
      </c>
      <c r="F88" s="6" t="s">
        <v>1195</v>
      </c>
      <c r="G88" s="6" t="n">
        <v>1</v>
      </c>
    </row>
    <row r="89" customFormat="false" ht="12.8" hidden="false" customHeight="false" outlineLevel="0" collapsed="false">
      <c r="A89" s="6" t="s">
        <v>1196</v>
      </c>
      <c r="B89" s="6" t="n">
        <v>0</v>
      </c>
      <c r="C89" s="6" t="n">
        <v>1</v>
      </c>
      <c r="D89" s="12" t="n">
        <f aca="false">C89/(B89+C89)*100</f>
        <v>100</v>
      </c>
      <c r="E89" s="6" t="n">
        <v>1</v>
      </c>
      <c r="F89" s="6" t="s">
        <v>1197</v>
      </c>
      <c r="G89" s="6" t="n">
        <v>1</v>
      </c>
    </row>
    <row r="90" customFormat="false" ht="12.8" hidden="false" customHeight="false" outlineLevel="0" collapsed="false">
      <c r="A90" s="6" t="s">
        <v>1198</v>
      </c>
      <c r="B90" s="6" t="n">
        <v>0</v>
      </c>
      <c r="C90" s="6" t="n">
        <v>1</v>
      </c>
      <c r="D90" s="12" t="n">
        <f aca="false">C90/(B90+C90)*100</f>
        <v>100</v>
      </c>
      <c r="E90" s="6" t="n">
        <v>1</v>
      </c>
      <c r="F90" s="6" t="s">
        <v>1199</v>
      </c>
      <c r="G90" s="6" t="n">
        <v>1</v>
      </c>
    </row>
    <row r="91" customFormat="false" ht="12.8" hidden="false" customHeight="false" outlineLevel="0" collapsed="false">
      <c r="A91" s="6" t="s">
        <v>1200</v>
      </c>
      <c r="B91" s="6" t="n">
        <v>0</v>
      </c>
      <c r="C91" s="6" t="n">
        <v>1</v>
      </c>
      <c r="D91" s="12" t="n">
        <f aca="false">C91/(B91+C91)*100</f>
        <v>100</v>
      </c>
      <c r="E91" s="6" t="n">
        <v>1</v>
      </c>
      <c r="F91" s="6" t="s">
        <v>1201</v>
      </c>
      <c r="G91" s="6" t="n">
        <v>1</v>
      </c>
    </row>
    <row r="92" customFormat="false" ht="12.8" hidden="false" customHeight="false" outlineLevel="0" collapsed="false">
      <c r="A92" s="6" t="s">
        <v>1202</v>
      </c>
      <c r="B92" s="6" t="n">
        <v>0</v>
      </c>
      <c r="C92" s="6" t="n">
        <v>1</v>
      </c>
      <c r="D92" s="12" t="n">
        <f aca="false">C92/(B92+C92)*100</f>
        <v>100</v>
      </c>
      <c r="E92" s="6" t="n">
        <v>1</v>
      </c>
      <c r="F92" s="6" t="s">
        <v>1203</v>
      </c>
      <c r="G92" s="6" t="n">
        <v>1</v>
      </c>
    </row>
    <row r="93" customFormat="false" ht="12.8" hidden="false" customHeight="false" outlineLevel="0" collapsed="false">
      <c r="A93" s="6" t="s">
        <v>1204</v>
      </c>
      <c r="B93" s="6" t="n">
        <v>0</v>
      </c>
      <c r="C93" s="6" t="n">
        <v>1</v>
      </c>
      <c r="D93" s="12" t="n">
        <f aca="false">C93/(B93+C93)*100</f>
        <v>100</v>
      </c>
      <c r="E93" s="6" t="n">
        <v>1</v>
      </c>
      <c r="F93" s="6" t="s">
        <v>1205</v>
      </c>
      <c r="G93" s="6" t="n">
        <v>1</v>
      </c>
    </row>
    <row r="94" customFormat="false" ht="12.8" hidden="false" customHeight="false" outlineLevel="0" collapsed="false">
      <c r="A94" s="6" t="s">
        <v>1206</v>
      </c>
      <c r="B94" s="6" t="n">
        <v>0</v>
      </c>
      <c r="C94" s="6" t="n">
        <v>1</v>
      </c>
      <c r="D94" s="12" t="n">
        <f aca="false">C94/(B94+C94)*100</f>
        <v>100</v>
      </c>
      <c r="E94" s="6" t="n">
        <v>1</v>
      </c>
      <c r="F94" s="6" t="s">
        <v>1207</v>
      </c>
      <c r="G94" s="6" t="n">
        <v>1</v>
      </c>
    </row>
    <row r="95" customFormat="false" ht="12.8" hidden="false" customHeight="false" outlineLevel="0" collapsed="false">
      <c r="A95" s="6" t="s">
        <v>1208</v>
      </c>
      <c r="B95" s="6" t="n">
        <v>0</v>
      </c>
      <c r="C95" s="6" t="n">
        <v>1</v>
      </c>
      <c r="D95" s="12" t="n">
        <f aca="false">C95/(B95+C95)*100</f>
        <v>100</v>
      </c>
      <c r="E95" s="6" t="n">
        <v>1</v>
      </c>
      <c r="F95" s="6" t="s">
        <v>1209</v>
      </c>
      <c r="G95" s="6" t="n">
        <v>1</v>
      </c>
    </row>
    <row r="96" customFormat="false" ht="12.8" hidden="false" customHeight="false" outlineLevel="0" collapsed="false">
      <c r="A96" s="6" t="s">
        <v>1210</v>
      </c>
      <c r="B96" s="6" t="n">
        <v>0</v>
      </c>
      <c r="C96" s="6" t="n">
        <v>1</v>
      </c>
      <c r="D96" s="12" t="n">
        <f aca="false">C96/(B96+C96)*100</f>
        <v>100</v>
      </c>
      <c r="E96" s="6" t="n">
        <v>1</v>
      </c>
      <c r="F96" s="6" t="s">
        <v>1211</v>
      </c>
      <c r="G96" s="6" t="n">
        <v>1</v>
      </c>
    </row>
    <row r="97" customFormat="false" ht="12.8" hidden="false" customHeight="false" outlineLevel="0" collapsed="false">
      <c r="A97" s="6" t="s">
        <v>1212</v>
      </c>
      <c r="B97" s="6" t="n">
        <v>0</v>
      </c>
      <c r="C97" s="6" t="n">
        <v>1</v>
      </c>
      <c r="D97" s="12" t="n">
        <f aca="false">C97/(B97+C97)*100</f>
        <v>100</v>
      </c>
      <c r="E97" s="6" t="n">
        <v>1</v>
      </c>
      <c r="F97" s="6" t="s">
        <v>1213</v>
      </c>
      <c r="G97" s="6" t="n">
        <v>1</v>
      </c>
    </row>
    <row r="98" customFormat="false" ht="12.8" hidden="false" customHeight="false" outlineLevel="0" collapsed="false">
      <c r="A98" s="6" t="s">
        <v>1214</v>
      </c>
      <c r="B98" s="6" t="n">
        <v>0</v>
      </c>
      <c r="C98" s="6" t="n">
        <v>1</v>
      </c>
      <c r="D98" s="12" t="n">
        <f aca="false">C98/(B98+C98)*100</f>
        <v>100</v>
      </c>
      <c r="E98" s="6" t="n">
        <v>1</v>
      </c>
      <c r="F98" s="6" t="s">
        <v>1215</v>
      </c>
      <c r="G98" s="6" t="n">
        <v>1</v>
      </c>
    </row>
    <row r="99" customFormat="false" ht="12.8" hidden="false" customHeight="false" outlineLevel="0" collapsed="false">
      <c r="A99" s="6" t="s">
        <v>1216</v>
      </c>
      <c r="B99" s="6" t="n">
        <v>0</v>
      </c>
      <c r="C99" s="6" t="n">
        <v>1</v>
      </c>
      <c r="D99" s="12" t="n">
        <f aca="false">C99/(B99+C99)*100</f>
        <v>100</v>
      </c>
      <c r="E99" s="6" t="n">
        <v>1</v>
      </c>
      <c r="F99" s="6" t="s">
        <v>1217</v>
      </c>
      <c r="G99" s="6" t="n">
        <v>1</v>
      </c>
    </row>
    <row r="100" customFormat="false" ht="12.8" hidden="false" customHeight="false" outlineLevel="0" collapsed="false">
      <c r="A100" s="6" t="s">
        <v>1218</v>
      </c>
      <c r="B100" s="6" t="n">
        <v>0</v>
      </c>
      <c r="C100" s="6" t="n">
        <v>1</v>
      </c>
      <c r="D100" s="12" t="n">
        <f aca="false">C100/(B100+C100)*100</f>
        <v>100</v>
      </c>
      <c r="E100" s="6" t="n">
        <v>1</v>
      </c>
      <c r="F100" s="6" t="s">
        <v>1219</v>
      </c>
      <c r="G100" s="6" t="n">
        <v>1</v>
      </c>
    </row>
    <row r="101" customFormat="false" ht="12.8" hidden="false" customHeight="false" outlineLevel="0" collapsed="false">
      <c r="A101" s="6" t="s">
        <v>1220</v>
      </c>
      <c r="B101" s="6" t="n">
        <v>0</v>
      </c>
      <c r="C101" s="6" t="n">
        <v>1</v>
      </c>
      <c r="D101" s="12" t="n">
        <f aca="false">C101/(B101+C101)*100</f>
        <v>100</v>
      </c>
      <c r="E101" s="6" t="n">
        <v>1</v>
      </c>
      <c r="F101" s="6" t="s">
        <v>1221</v>
      </c>
      <c r="G101" s="6" t="n">
        <v>1</v>
      </c>
    </row>
    <row r="102" customFormat="false" ht="12.8" hidden="false" customHeight="false" outlineLevel="0" collapsed="false">
      <c r="A102" s="6" t="s">
        <v>1222</v>
      </c>
      <c r="B102" s="6" t="n">
        <v>0</v>
      </c>
      <c r="C102" s="6" t="n">
        <v>1</v>
      </c>
      <c r="D102" s="12" t="n">
        <f aca="false">C102/(B102+C102)*100</f>
        <v>100</v>
      </c>
      <c r="E102" s="6" t="n">
        <v>1</v>
      </c>
      <c r="F102" s="6" t="s">
        <v>1223</v>
      </c>
      <c r="G102" s="6" t="n">
        <v>1</v>
      </c>
    </row>
    <row r="103" customFormat="false" ht="12.8" hidden="false" customHeight="false" outlineLevel="0" collapsed="false">
      <c r="A103" s="6" t="s">
        <v>1224</v>
      </c>
      <c r="B103" s="6" t="n">
        <v>0</v>
      </c>
      <c r="C103" s="6" t="n">
        <v>1</v>
      </c>
      <c r="D103" s="12" t="n">
        <f aca="false">C103/(B103+C103)*100</f>
        <v>100</v>
      </c>
      <c r="E103" s="6" t="n">
        <v>1</v>
      </c>
      <c r="F103" s="6" t="s">
        <v>1225</v>
      </c>
      <c r="G103" s="6" t="n">
        <v>1</v>
      </c>
    </row>
    <row r="104" customFormat="false" ht="12.8" hidden="false" customHeight="false" outlineLevel="0" collapsed="false">
      <c r="A104" s="6" t="s">
        <v>1226</v>
      </c>
      <c r="B104" s="6" t="n">
        <v>0</v>
      </c>
      <c r="C104" s="6" t="n">
        <v>1</v>
      </c>
      <c r="D104" s="12" t="n">
        <f aca="false">C104/(B104+C104)*100</f>
        <v>100</v>
      </c>
      <c r="E104" s="6" t="n">
        <v>1</v>
      </c>
      <c r="F104" s="6" t="s">
        <v>1227</v>
      </c>
      <c r="G104" s="6" t="n">
        <v>1</v>
      </c>
    </row>
    <row r="105" customFormat="false" ht="12.8" hidden="false" customHeight="false" outlineLevel="0" collapsed="false">
      <c r="A105" s="6" t="s">
        <v>1228</v>
      </c>
      <c r="B105" s="6" t="n">
        <v>0</v>
      </c>
      <c r="C105" s="6" t="n">
        <v>1</v>
      </c>
      <c r="D105" s="12" t="n">
        <f aca="false">C105/(B105+C105)*100</f>
        <v>100</v>
      </c>
      <c r="E105" s="6" t="n">
        <v>1</v>
      </c>
      <c r="F105" s="6" t="s">
        <v>1229</v>
      </c>
      <c r="G105" s="6" t="n">
        <v>1</v>
      </c>
    </row>
    <row r="106" customFormat="false" ht="12.8" hidden="false" customHeight="false" outlineLevel="0" collapsed="false">
      <c r="A106" s="6" t="s">
        <v>1230</v>
      </c>
      <c r="B106" s="6" t="n">
        <v>0</v>
      </c>
      <c r="C106" s="6" t="n">
        <v>1</v>
      </c>
      <c r="D106" s="12" t="n">
        <f aca="false">C106/(B106+C106)*100</f>
        <v>100</v>
      </c>
      <c r="E106" s="6" t="n">
        <v>1</v>
      </c>
      <c r="F106" s="6" t="s">
        <v>1231</v>
      </c>
      <c r="G106" s="6" t="n">
        <v>1</v>
      </c>
    </row>
    <row r="107" customFormat="false" ht="12.8" hidden="false" customHeight="false" outlineLevel="0" collapsed="false">
      <c r="A107" s="6" t="s">
        <v>1232</v>
      </c>
      <c r="B107" s="6" t="n">
        <v>0</v>
      </c>
      <c r="C107" s="6" t="n">
        <v>1</v>
      </c>
      <c r="D107" s="12" t="n">
        <f aca="false">C107/(B107+C107)*100</f>
        <v>100</v>
      </c>
      <c r="E107" s="6" t="n">
        <v>1</v>
      </c>
      <c r="F107" s="6" t="s">
        <v>1233</v>
      </c>
      <c r="G107" s="6" t="n">
        <v>1</v>
      </c>
    </row>
    <row r="108" customFormat="false" ht="12.8" hidden="false" customHeight="false" outlineLevel="0" collapsed="false">
      <c r="A108" s="6" t="s">
        <v>1234</v>
      </c>
      <c r="B108" s="6" t="n">
        <v>0</v>
      </c>
      <c r="C108" s="6" t="n">
        <v>1</v>
      </c>
      <c r="D108" s="12" t="n">
        <f aca="false">C108/(B108+C108)*100</f>
        <v>100</v>
      </c>
      <c r="E108" s="6" t="n">
        <v>1</v>
      </c>
      <c r="F108" s="6" t="s">
        <v>1235</v>
      </c>
      <c r="G108" s="6" t="n">
        <v>1</v>
      </c>
    </row>
    <row r="109" customFormat="false" ht="12.8" hidden="false" customHeight="false" outlineLevel="0" collapsed="false">
      <c r="A109" s="6" t="s">
        <v>1236</v>
      </c>
      <c r="B109" s="6" t="n">
        <v>0</v>
      </c>
      <c r="C109" s="6" t="n">
        <v>1</v>
      </c>
      <c r="D109" s="12" t="n">
        <f aca="false">C109/(B109+C109)*100</f>
        <v>100</v>
      </c>
      <c r="E109" s="6" t="n">
        <v>1</v>
      </c>
      <c r="F109" s="6" t="s">
        <v>1237</v>
      </c>
      <c r="G109" s="6" t="n">
        <v>1</v>
      </c>
    </row>
    <row r="110" customFormat="false" ht="12.8" hidden="false" customHeight="false" outlineLevel="0" collapsed="false">
      <c r="A110" s="6" t="s">
        <v>1238</v>
      </c>
      <c r="B110" s="6" t="n">
        <v>0</v>
      </c>
      <c r="C110" s="6" t="n">
        <v>1</v>
      </c>
      <c r="D110" s="12" t="n">
        <f aca="false">C110/(B110+C110)*100</f>
        <v>100</v>
      </c>
      <c r="E110" s="6" t="n">
        <v>1</v>
      </c>
      <c r="F110" s="6" t="s">
        <v>1239</v>
      </c>
      <c r="G110" s="6" t="n">
        <v>1</v>
      </c>
    </row>
    <row r="111" customFormat="false" ht="12.8" hidden="false" customHeight="false" outlineLevel="0" collapsed="false">
      <c r="A111" s="6" t="s">
        <v>1240</v>
      </c>
      <c r="B111" s="6" t="n">
        <v>0</v>
      </c>
      <c r="C111" s="6" t="n">
        <v>1</v>
      </c>
      <c r="D111" s="12" t="n">
        <f aca="false">C111/(B111+C111)*100</f>
        <v>100</v>
      </c>
      <c r="E111" s="6" t="n">
        <v>1</v>
      </c>
      <c r="F111" s="6" t="s">
        <v>1241</v>
      </c>
      <c r="G111" s="6" t="n">
        <v>1</v>
      </c>
    </row>
    <row r="112" customFormat="false" ht="12.8" hidden="false" customHeight="false" outlineLevel="0" collapsed="false">
      <c r="A112" s="6" t="s">
        <v>1242</v>
      </c>
      <c r="B112" s="6" t="n">
        <v>0</v>
      </c>
      <c r="C112" s="6" t="n">
        <v>1</v>
      </c>
      <c r="D112" s="12" t="n">
        <f aca="false">C112/(B112+C112)*100</f>
        <v>100</v>
      </c>
      <c r="E112" s="6" t="n">
        <v>1</v>
      </c>
      <c r="F112" s="6" t="s">
        <v>1243</v>
      </c>
      <c r="G112" s="6" t="n">
        <v>1</v>
      </c>
    </row>
    <row r="113" customFormat="false" ht="12.8" hidden="false" customHeight="false" outlineLevel="0" collapsed="false">
      <c r="A113" s="6" t="s">
        <v>1244</v>
      </c>
      <c r="B113" s="6" t="n">
        <v>0</v>
      </c>
      <c r="C113" s="6" t="n">
        <v>1</v>
      </c>
      <c r="D113" s="12" t="n">
        <f aca="false">C113/(B113+C113)*100</f>
        <v>100</v>
      </c>
      <c r="E113" s="6" t="n">
        <v>1</v>
      </c>
      <c r="F113" s="6" t="s">
        <v>1245</v>
      </c>
      <c r="G113" s="6" t="n">
        <v>1</v>
      </c>
    </row>
    <row r="114" customFormat="false" ht="12.8" hidden="false" customHeight="false" outlineLevel="0" collapsed="false">
      <c r="A114" s="6" t="s">
        <v>1246</v>
      </c>
      <c r="B114" s="6" t="n">
        <v>0</v>
      </c>
      <c r="C114" s="6" t="n">
        <v>1</v>
      </c>
      <c r="D114" s="12" t="n">
        <f aca="false">C114/(B114+C114)*100</f>
        <v>100</v>
      </c>
      <c r="E114" s="6" t="n">
        <v>1</v>
      </c>
      <c r="F114" s="6" t="s">
        <v>1247</v>
      </c>
      <c r="G114" s="6" t="n">
        <v>1</v>
      </c>
    </row>
    <row r="115" customFormat="false" ht="12.8" hidden="false" customHeight="false" outlineLevel="0" collapsed="false">
      <c r="A115" s="6" t="s">
        <v>1248</v>
      </c>
      <c r="B115" s="6" t="n">
        <v>0</v>
      </c>
      <c r="C115" s="6" t="n">
        <v>1</v>
      </c>
      <c r="D115" s="12" t="n">
        <f aca="false">C115/(B115+C115)*100</f>
        <v>100</v>
      </c>
      <c r="E115" s="6" t="n">
        <v>1</v>
      </c>
      <c r="F115" s="6" t="s">
        <v>1249</v>
      </c>
      <c r="G115" s="6" t="n">
        <v>1</v>
      </c>
    </row>
    <row r="116" customFormat="false" ht="12.8" hidden="false" customHeight="false" outlineLevel="0" collapsed="false">
      <c r="A116" s="6" t="s">
        <v>1250</v>
      </c>
      <c r="B116" s="6" t="n">
        <v>0</v>
      </c>
      <c r="C116" s="6" t="n">
        <v>1</v>
      </c>
      <c r="D116" s="12" t="n">
        <f aca="false">C116/(B116+C116)*100</f>
        <v>100</v>
      </c>
      <c r="E116" s="6" t="n">
        <v>1</v>
      </c>
      <c r="F116" s="6" t="s">
        <v>1251</v>
      </c>
      <c r="G116" s="6" t="n">
        <v>1</v>
      </c>
    </row>
    <row r="117" customFormat="false" ht="12.8" hidden="false" customHeight="false" outlineLevel="0" collapsed="false">
      <c r="A117" s="6" t="s">
        <v>1252</v>
      </c>
      <c r="B117" s="6" t="n">
        <v>0</v>
      </c>
      <c r="C117" s="6" t="n">
        <v>1</v>
      </c>
      <c r="D117" s="12" t="n">
        <f aca="false">C117/(B117+C117)*100</f>
        <v>100</v>
      </c>
      <c r="E117" s="6" t="n">
        <v>1</v>
      </c>
      <c r="F117" s="6" t="s">
        <v>1253</v>
      </c>
      <c r="G117" s="6" t="n">
        <v>1</v>
      </c>
    </row>
    <row r="118" customFormat="false" ht="12.8" hidden="false" customHeight="false" outlineLevel="0" collapsed="false">
      <c r="A118" s="6" t="s">
        <v>1254</v>
      </c>
      <c r="B118" s="6" t="n">
        <v>0</v>
      </c>
      <c r="C118" s="6" t="n">
        <v>1</v>
      </c>
      <c r="D118" s="12" t="n">
        <f aca="false">C118/(B118+C118)*100</f>
        <v>100</v>
      </c>
      <c r="E118" s="6" t="n">
        <v>1</v>
      </c>
      <c r="F118" s="6" t="s">
        <v>1255</v>
      </c>
      <c r="G118" s="6" t="n">
        <v>1</v>
      </c>
    </row>
    <row r="119" customFormat="false" ht="12.8" hidden="false" customHeight="false" outlineLevel="0" collapsed="false">
      <c r="A119" s="6" t="s">
        <v>1256</v>
      </c>
      <c r="B119" s="6" t="n">
        <v>0</v>
      </c>
      <c r="C119" s="6" t="n">
        <v>1</v>
      </c>
      <c r="D119" s="12" t="n">
        <f aca="false">C119/(B119+C119)*100</f>
        <v>100</v>
      </c>
      <c r="E119" s="6" t="n">
        <v>1</v>
      </c>
      <c r="F119" s="6" t="s">
        <v>1257</v>
      </c>
      <c r="G119" s="6" t="n">
        <v>1</v>
      </c>
    </row>
    <row r="120" customFormat="false" ht="12.8" hidden="false" customHeight="false" outlineLevel="0" collapsed="false">
      <c r="A120" s="6" t="s">
        <v>1258</v>
      </c>
      <c r="B120" s="6" t="n">
        <v>0</v>
      </c>
      <c r="C120" s="6" t="n">
        <v>1</v>
      </c>
      <c r="D120" s="12" t="n">
        <f aca="false">C120/(B120+C120)*100</f>
        <v>100</v>
      </c>
      <c r="E120" s="6" t="n">
        <v>1</v>
      </c>
      <c r="F120" s="6" t="s">
        <v>1259</v>
      </c>
      <c r="G120" s="6" t="n">
        <v>1</v>
      </c>
    </row>
    <row r="121" customFormat="false" ht="12.8" hidden="false" customHeight="false" outlineLevel="0" collapsed="false">
      <c r="A121" s="6" t="s">
        <v>1260</v>
      </c>
      <c r="B121" s="6" t="n">
        <v>0</v>
      </c>
      <c r="C121" s="6" t="n">
        <v>1</v>
      </c>
      <c r="D121" s="12" t="n">
        <f aca="false">C121/(B121+C121)*100</f>
        <v>100</v>
      </c>
      <c r="E121" s="6" t="n">
        <v>1</v>
      </c>
      <c r="F121" s="6" t="s">
        <v>1261</v>
      </c>
      <c r="G121" s="6" t="n">
        <v>1</v>
      </c>
    </row>
    <row r="122" customFormat="false" ht="12.8" hidden="false" customHeight="false" outlineLevel="0" collapsed="false">
      <c r="A122" s="6" t="s">
        <v>1262</v>
      </c>
      <c r="B122" s="6" t="n">
        <v>0</v>
      </c>
      <c r="C122" s="6" t="n">
        <v>1</v>
      </c>
      <c r="D122" s="12" t="n">
        <f aca="false">C122/(B122+C122)*100</f>
        <v>100</v>
      </c>
      <c r="E122" s="6" t="n">
        <v>1</v>
      </c>
      <c r="F122" s="6" t="s">
        <v>1263</v>
      </c>
      <c r="G122" s="6" t="n">
        <v>1</v>
      </c>
    </row>
    <row r="123" customFormat="false" ht="12.8" hidden="false" customHeight="false" outlineLevel="0" collapsed="false">
      <c r="A123" s="6" t="s">
        <v>1264</v>
      </c>
      <c r="B123" s="6" t="n">
        <v>0</v>
      </c>
      <c r="C123" s="6" t="n">
        <v>1</v>
      </c>
      <c r="D123" s="12" t="n">
        <f aca="false">C123/(B123+C123)*100</f>
        <v>100</v>
      </c>
      <c r="E123" s="6" t="n">
        <v>1</v>
      </c>
      <c r="F123" s="6" t="s">
        <v>1265</v>
      </c>
      <c r="G123" s="6" t="n">
        <v>1</v>
      </c>
    </row>
    <row r="124" customFormat="false" ht="12.8" hidden="false" customHeight="false" outlineLevel="0" collapsed="false">
      <c r="A124" s="6" t="s">
        <v>1266</v>
      </c>
      <c r="B124" s="6" t="n">
        <v>0</v>
      </c>
      <c r="C124" s="6" t="n">
        <v>1</v>
      </c>
      <c r="D124" s="12" t="n">
        <f aca="false">C124/(B124+C124)*100</f>
        <v>100</v>
      </c>
      <c r="E124" s="6" t="n">
        <v>1</v>
      </c>
      <c r="F124" s="6" t="s">
        <v>1267</v>
      </c>
      <c r="G124" s="6" t="n">
        <v>1</v>
      </c>
    </row>
    <row r="125" customFormat="false" ht="12.8" hidden="false" customHeight="false" outlineLevel="0" collapsed="false">
      <c r="A125" s="6" t="s">
        <v>1268</v>
      </c>
      <c r="B125" s="6" t="n">
        <v>0</v>
      </c>
      <c r="C125" s="6" t="n">
        <v>1</v>
      </c>
      <c r="D125" s="12" t="n">
        <f aca="false">C125/(B125+C125)*100</f>
        <v>100</v>
      </c>
      <c r="E125" s="6" t="n">
        <v>1</v>
      </c>
      <c r="F125" s="6" t="s">
        <v>1269</v>
      </c>
      <c r="G125" s="6" t="n">
        <v>1</v>
      </c>
    </row>
    <row r="126" customFormat="false" ht="12.8" hidden="false" customHeight="false" outlineLevel="0" collapsed="false">
      <c r="A126" s="6" t="s">
        <v>1270</v>
      </c>
      <c r="B126" s="6" t="n">
        <v>0</v>
      </c>
      <c r="C126" s="6" t="n">
        <v>1</v>
      </c>
      <c r="D126" s="12" t="n">
        <f aca="false">C126/(B126+C126)*100</f>
        <v>100</v>
      </c>
      <c r="E126" s="6" t="n">
        <v>1</v>
      </c>
      <c r="F126" s="6" t="s">
        <v>1271</v>
      </c>
      <c r="G126" s="6" t="n">
        <v>1</v>
      </c>
    </row>
    <row r="127" customFormat="false" ht="12.8" hidden="false" customHeight="false" outlineLevel="0" collapsed="false">
      <c r="A127" s="6" t="s">
        <v>1272</v>
      </c>
      <c r="B127" s="6" t="n">
        <v>0</v>
      </c>
      <c r="C127" s="6" t="n">
        <v>1</v>
      </c>
      <c r="D127" s="12" t="n">
        <f aca="false">C127/(B127+C127)*100</f>
        <v>100</v>
      </c>
      <c r="E127" s="6" t="n">
        <v>1</v>
      </c>
      <c r="F127" s="6" t="s">
        <v>1273</v>
      </c>
      <c r="G127" s="6" t="n">
        <v>1</v>
      </c>
    </row>
    <row r="128" customFormat="false" ht="12.8" hidden="false" customHeight="false" outlineLevel="0" collapsed="false">
      <c r="A128" s="6" t="s">
        <v>1274</v>
      </c>
      <c r="B128" s="6" t="n">
        <v>0</v>
      </c>
      <c r="C128" s="6" t="n">
        <v>1</v>
      </c>
      <c r="D128" s="12" t="n">
        <f aca="false">C128/(B128+C128)*100</f>
        <v>100</v>
      </c>
      <c r="E128" s="6" t="n">
        <v>1</v>
      </c>
      <c r="F128" s="6" t="s">
        <v>1275</v>
      </c>
      <c r="G128" s="6" t="n">
        <v>1</v>
      </c>
    </row>
    <row r="129" customFormat="false" ht="12.8" hidden="false" customHeight="false" outlineLevel="0" collapsed="false">
      <c r="A129" s="6" t="s">
        <v>1276</v>
      </c>
      <c r="B129" s="6" t="n">
        <v>0</v>
      </c>
      <c r="C129" s="6" t="n">
        <v>1</v>
      </c>
      <c r="D129" s="12" t="n">
        <f aca="false">C129/(B129+C129)*100</f>
        <v>100</v>
      </c>
      <c r="E129" s="6" t="n">
        <v>1</v>
      </c>
      <c r="F129" s="6" t="s">
        <v>1277</v>
      </c>
      <c r="G129" s="6" t="n">
        <v>1</v>
      </c>
    </row>
    <row r="130" customFormat="false" ht="12.8" hidden="false" customHeight="false" outlineLevel="0" collapsed="false">
      <c r="A130" s="6" t="s">
        <v>1278</v>
      </c>
      <c r="B130" s="6" t="n">
        <v>0</v>
      </c>
      <c r="C130" s="6" t="n">
        <v>1</v>
      </c>
      <c r="D130" s="12" t="n">
        <f aca="false">C130/(B130+C130)*100</f>
        <v>100</v>
      </c>
      <c r="E130" s="6" t="n">
        <v>1</v>
      </c>
      <c r="F130" s="6" t="s">
        <v>1279</v>
      </c>
      <c r="G130" s="6" t="n">
        <v>1</v>
      </c>
    </row>
    <row r="131" customFormat="false" ht="12.8" hidden="false" customHeight="false" outlineLevel="0" collapsed="false">
      <c r="A131" s="6" t="s">
        <v>1280</v>
      </c>
      <c r="B131" s="6" t="n">
        <v>0</v>
      </c>
      <c r="C131" s="6" t="n">
        <v>0</v>
      </c>
      <c r="D131" s="12" t="e">
        <f aca="false">C131/(B131+C131)*100</f>
        <v>#DIV/0!</v>
      </c>
      <c r="E131" s="6" t="n">
        <v>1</v>
      </c>
      <c r="F131" s="6" t="s">
        <v>1281</v>
      </c>
      <c r="G131" s="6" t="n">
        <v>0</v>
      </c>
    </row>
    <row r="132" customFormat="false" ht="12.8" hidden="false" customHeight="false" outlineLevel="0" collapsed="false">
      <c r="A132" s="6" t="s">
        <v>1282</v>
      </c>
      <c r="B132" s="6" t="n">
        <v>0</v>
      </c>
      <c r="C132" s="6" t="n">
        <v>0</v>
      </c>
      <c r="D132" s="12" t="e">
        <f aca="false">C132/(B132+C132)*100</f>
        <v>#DIV/0!</v>
      </c>
      <c r="E132" s="6" t="n">
        <v>1</v>
      </c>
      <c r="F132" s="6" t="s">
        <v>1283</v>
      </c>
      <c r="G132" s="6" t="n">
        <v>0</v>
      </c>
    </row>
    <row r="133" customFormat="false" ht="12.8" hidden="false" customHeight="false" outlineLevel="0" collapsed="false">
      <c r="A133" s="6" t="s">
        <v>1284</v>
      </c>
      <c r="B133" s="6" t="n">
        <v>0</v>
      </c>
      <c r="C133" s="6" t="n">
        <v>0</v>
      </c>
      <c r="D133" s="12" t="e">
        <f aca="false">C133/(B133+C133)*100</f>
        <v>#DIV/0!</v>
      </c>
      <c r="E133" s="6" t="n">
        <v>1</v>
      </c>
      <c r="F133" s="6" t="s">
        <v>1285</v>
      </c>
      <c r="G133" s="6" t="n">
        <v>0</v>
      </c>
    </row>
    <row r="134" customFormat="false" ht="12.8" hidden="false" customHeight="false" outlineLevel="0" collapsed="false">
      <c r="A134" s="6" t="s">
        <v>1286</v>
      </c>
      <c r="B134" s="6" t="n">
        <v>0</v>
      </c>
      <c r="C134" s="6" t="n">
        <v>0</v>
      </c>
      <c r="D134" s="12" t="e">
        <f aca="false">C134/(B134+C134)*100</f>
        <v>#DIV/0!</v>
      </c>
      <c r="E134" s="6" t="n">
        <v>1</v>
      </c>
      <c r="F134" s="6" t="s">
        <v>1287</v>
      </c>
      <c r="G134" s="6" t="n">
        <v>0</v>
      </c>
    </row>
    <row r="135" customFormat="false" ht="12.8" hidden="false" customHeight="false" outlineLevel="0" collapsed="false">
      <c r="A135" s="6" t="s">
        <v>1288</v>
      </c>
      <c r="B135" s="6" t="n">
        <v>0</v>
      </c>
      <c r="C135" s="6" t="n">
        <v>0</v>
      </c>
      <c r="D135" s="12" t="e">
        <f aca="false">C135/(B135+C135)*100</f>
        <v>#DIV/0!</v>
      </c>
      <c r="E135" s="6" t="n">
        <v>1</v>
      </c>
      <c r="F135" s="6" t="s">
        <v>1289</v>
      </c>
      <c r="G135" s="6" t="n">
        <v>0</v>
      </c>
    </row>
    <row r="136" customFormat="false" ht="12.8" hidden="false" customHeight="false" outlineLevel="0" collapsed="false">
      <c r="A136" s="6" t="s">
        <v>1290</v>
      </c>
      <c r="B136" s="6" t="n">
        <v>0</v>
      </c>
      <c r="C136" s="6" t="n">
        <v>0</v>
      </c>
      <c r="D136" s="12" t="e">
        <f aca="false">C136/(B136+C136)*100</f>
        <v>#DIV/0!</v>
      </c>
      <c r="E136" s="6" t="n">
        <v>1</v>
      </c>
      <c r="F136" s="6" t="s">
        <v>1291</v>
      </c>
      <c r="G136" s="6" t="n">
        <v>0</v>
      </c>
    </row>
    <row r="137" customFormat="false" ht="12.8" hidden="false" customHeight="false" outlineLevel="0" collapsed="false">
      <c r="A137" s="6" t="s">
        <v>1292</v>
      </c>
      <c r="B137" s="6" t="n">
        <v>0</v>
      </c>
      <c r="C137" s="6" t="n">
        <v>0</v>
      </c>
      <c r="D137" s="12" t="e">
        <f aca="false">C137/(B137+C137)*100</f>
        <v>#DIV/0!</v>
      </c>
      <c r="E137" s="6" t="n">
        <v>1</v>
      </c>
      <c r="F137" s="6" t="s">
        <v>1293</v>
      </c>
      <c r="G137" s="6" t="n">
        <v>0</v>
      </c>
    </row>
    <row r="138" customFormat="false" ht="12.8" hidden="false" customHeight="false" outlineLevel="0" collapsed="false">
      <c r="A138" s="6" t="s">
        <v>1294</v>
      </c>
      <c r="B138" s="6" t="n">
        <v>0</v>
      </c>
      <c r="C138" s="6" t="n">
        <v>0</v>
      </c>
      <c r="D138" s="12" t="e">
        <f aca="false">C138/(B138+C138)*100</f>
        <v>#DIV/0!</v>
      </c>
      <c r="E138" s="6" t="n">
        <v>1</v>
      </c>
      <c r="F138" s="6" t="s">
        <v>1295</v>
      </c>
      <c r="G138" s="6" t="n">
        <v>0</v>
      </c>
    </row>
    <row r="139" customFormat="false" ht="12.8" hidden="false" customHeight="false" outlineLevel="0" collapsed="false">
      <c r="A139" s="6" t="s">
        <v>1296</v>
      </c>
      <c r="B139" s="6" t="n">
        <v>1</v>
      </c>
      <c r="C139" s="6" t="n">
        <v>516</v>
      </c>
      <c r="D139" s="12" t="n">
        <f aca="false">C139/(B139+C139)*100</f>
        <v>99.8065764023211</v>
      </c>
      <c r="E139" s="6" t="n">
        <v>5</v>
      </c>
      <c r="F139" s="6" t="s">
        <v>1297</v>
      </c>
      <c r="G139" s="6" t="n">
        <v>454</v>
      </c>
      <c r="H139" s="6" t="s">
        <v>1298</v>
      </c>
      <c r="I139" s="6" t="n">
        <v>45</v>
      </c>
      <c r="J139" s="6" t="s">
        <v>1299</v>
      </c>
      <c r="K139" s="6" t="n">
        <v>16</v>
      </c>
      <c r="L139" s="6" t="s">
        <v>1300</v>
      </c>
      <c r="M139" s="6" t="n">
        <v>1</v>
      </c>
      <c r="N139" s="6" t="s">
        <v>1301</v>
      </c>
      <c r="O139" s="6" t="n">
        <v>0</v>
      </c>
    </row>
    <row r="140" customFormat="false" ht="12.8" hidden="false" customHeight="false" outlineLevel="0" collapsed="false">
      <c r="A140" s="6" t="s">
        <v>1302</v>
      </c>
      <c r="B140" s="6" t="n">
        <v>1</v>
      </c>
      <c r="C140" s="6" t="n">
        <v>340</v>
      </c>
      <c r="D140" s="12" t="n">
        <f aca="false">C140/(B140+C140)*100</f>
        <v>99.7067448680352</v>
      </c>
      <c r="E140" s="6" t="n">
        <v>21</v>
      </c>
      <c r="F140" s="6" t="s">
        <v>1303</v>
      </c>
      <c r="G140" s="6" t="n">
        <v>195</v>
      </c>
      <c r="H140" s="6" t="s">
        <v>1304</v>
      </c>
      <c r="I140" s="6" t="n">
        <v>60</v>
      </c>
      <c r="J140" s="6" t="s">
        <v>1305</v>
      </c>
      <c r="K140" s="6" t="n">
        <v>14</v>
      </c>
      <c r="L140" s="6" t="s">
        <v>1306</v>
      </c>
      <c r="M140" s="6" t="n">
        <v>12</v>
      </c>
      <c r="N140" s="6" t="s">
        <v>1307</v>
      </c>
      <c r="O140" s="6" t="n">
        <v>9</v>
      </c>
      <c r="P140" s="6" t="s">
        <v>1308</v>
      </c>
      <c r="Q140" s="6" t="n">
        <v>8</v>
      </c>
      <c r="R140" s="6" t="s">
        <v>1309</v>
      </c>
      <c r="S140" s="6" t="n">
        <v>8</v>
      </c>
      <c r="T140" s="6" t="s">
        <v>1310</v>
      </c>
      <c r="U140" s="6" t="n">
        <v>6</v>
      </c>
      <c r="V140" s="6" t="s">
        <v>1311</v>
      </c>
      <c r="W140" s="6" t="n">
        <v>5</v>
      </c>
      <c r="X140" s="6" t="s">
        <v>1312</v>
      </c>
      <c r="Y140" s="6" t="n">
        <v>3</v>
      </c>
      <c r="Z140" s="6" t="s">
        <v>1313</v>
      </c>
      <c r="AA140" s="6" t="n">
        <v>3</v>
      </c>
      <c r="AB140" s="6" t="s">
        <v>1314</v>
      </c>
      <c r="AC140" s="6" t="n">
        <v>3</v>
      </c>
      <c r="AD140" s="6" t="s">
        <v>1315</v>
      </c>
      <c r="AE140" s="6" t="n">
        <v>3</v>
      </c>
      <c r="AF140" s="6" t="s">
        <v>1316</v>
      </c>
      <c r="AG140" s="6" t="n">
        <v>2</v>
      </c>
      <c r="AH140" s="6" t="s">
        <v>1317</v>
      </c>
      <c r="AI140" s="6" t="n">
        <v>2</v>
      </c>
      <c r="AJ140" s="6" t="s">
        <v>1318</v>
      </c>
      <c r="AK140" s="6" t="n">
        <v>2</v>
      </c>
      <c r="AL140" s="6" t="s">
        <v>1319</v>
      </c>
      <c r="AM140" s="6" t="n">
        <v>2</v>
      </c>
      <c r="AN140" s="6" t="s">
        <v>1320</v>
      </c>
      <c r="AO140" s="6" t="n">
        <v>1</v>
      </c>
      <c r="AP140" s="6" t="s">
        <v>1321</v>
      </c>
      <c r="AQ140" s="6" t="n">
        <v>1</v>
      </c>
      <c r="AR140" s="6" t="s">
        <v>1322</v>
      </c>
      <c r="AS140" s="6" t="n">
        <v>1</v>
      </c>
      <c r="AT140" s="6" t="s">
        <v>1323</v>
      </c>
      <c r="AU140" s="6" t="n">
        <v>0</v>
      </c>
    </row>
    <row r="141" customFormat="false" ht="12.8" hidden="false" customHeight="false" outlineLevel="0" collapsed="false">
      <c r="A141" s="6" t="s">
        <v>1324</v>
      </c>
      <c r="B141" s="6" t="n">
        <v>1</v>
      </c>
      <c r="C141" s="6" t="n">
        <v>249</v>
      </c>
      <c r="D141" s="12" t="n">
        <f aca="false">C141/(B141+C141)*100</f>
        <v>99.6</v>
      </c>
      <c r="E141" s="6" t="n">
        <v>5</v>
      </c>
      <c r="F141" s="6" t="s">
        <v>1325</v>
      </c>
      <c r="G141" s="6" t="n">
        <v>246</v>
      </c>
      <c r="H141" s="6" t="s">
        <v>1326</v>
      </c>
      <c r="I141" s="6" t="n">
        <v>1</v>
      </c>
      <c r="J141" s="6" t="s">
        <v>1327</v>
      </c>
      <c r="K141" s="6" t="n">
        <v>1</v>
      </c>
      <c r="L141" s="6" t="s">
        <v>1328</v>
      </c>
      <c r="M141" s="6" t="n">
        <v>1</v>
      </c>
      <c r="N141" s="6" t="s">
        <v>1329</v>
      </c>
      <c r="O141" s="6" t="n">
        <v>0</v>
      </c>
    </row>
    <row r="142" customFormat="false" ht="12.8" hidden="false" customHeight="false" outlineLevel="0" collapsed="false">
      <c r="A142" s="6" t="s">
        <v>1330</v>
      </c>
      <c r="B142" s="6" t="n">
        <v>1</v>
      </c>
      <c r="C142" s="6" t="n">
        <v>171</v>
      </c>
      <c r="D142" s="12" t="n">
        <f aca="false">C142/(B142+C142)*100</f>
        <v>99.4186046511628</v>
      </c>
      <c r="E142" s="6" t="n">
        <v>19</v>
      </c>
      <c r="F142" s="6" t="s">
        <v>1331</v>
      </c>
      <c r="G142" s="6" t="n">
        <v>32</v>
      </c>
      <c r="H142" s="6" t="s">
        <v>1332</v>
      </c>
      <c r="I142" s="6" t="n">
        <v>27</v>
      </c>
      <c r="J142" s="6" t="s">
        <v>1333</v>
      </c>
      <c r="K142" s="6" t="n">
        <v>27</v>
      </c>
      <c r="L142" s="6" t="s">
        <v>1332</v>
      </c>
      <c r="M142" s="6" t="n">
        <v>27</v>
      </c>
      <c r="N142" s="6" t="s">
        <v>1334</v>
      </c>
      <c r="O142" s="6" t="n">
        <v>18</v>
      </c>
      <c r="P142" s="6" t="s">
        <v>1335</v>
      </c>
      <c r="Q142" s="6" t="n">
        <v>13</v>
      </c>
      <c r="R142" s="6" t="s">
        <v>1336</v>
      </c>
      <c r="S142" s="6" t="n">
        <v>13</v>
      </c>
      <c r="T142" s="6" t="s">
        <v>1337</v>
      </c>
      <c r="U142" s="6" t="n">
        <v>4</v>
      </c>
      <c r="V142" s="6" t="s">
        <v>1338</v>
      </c>
      <c r="W142" s="6" t="n">
        <v>3</v>
      </c>
      <c r="X142" s="6" t="s">
        <v>1339</v>
      </c>
      <c r="Y142" s="6" t="n">
        <v>2</v>
      </c>
      <c r="Z142" s="6" t="s">
        <v>1340</v>
      </c>
      <c r="AA142" s="6" t="n">
        <v>2</v>
      </c>
      <c r="AB142" s="6" t="s">
        <v>1341</v>
      </c>
      <c r="AC142" s="6" t="n">
        <v>1</v>
      </c>
      <c r="AD142" s="6" t="s">
        <v>1342</v>
      </c>
      <c r="AE142" s="6" t="n">
        <v>1</v>
      </c>
      <c r="AF142" s="6" t="s">
        <v>1343</v>
      </c>
      <c r="AG142" s="6" t="n">
        <v>1</v>
      </c>
      <c r="AH142" s="6" t="s">
        <v>1344</v>
      </c>
      <c r="AI142" s="6" t="n">
        <v>0</v>
      </c>
      <c r="AJ142" s="6" t="s">
        <v>1345</v>
      </c>
      <c r="AK142" s="6" t="n">
        <v>0</v>
      </c>
      <c r="AL142" s="6" t="s">
        <v>1346</v>
      </c>
      <c r="AM142" s="6" t="n">
        <v>0</v>
      </c>
      <c r="AN142" s="6" t="s">
        <v>1347</v>
      </c>
      <c r="AO142" s="6" t="n">
        <v>0</v>
      </c>
      <c r="AP142" s="6" t="s">
        <v>1344</v>
      </c>
      <c r="AQ142" s="6" t="n">
        <v>0</v>
      </c>
    </row>
    <row r="143" customFormat="false" ht="12.8" hidden="false" customHeight="false" outlineLevel="0" collapsed="false">
      <c r="A143" s="6" t="s">
        <v>1348</v>
      </c>
      <c r="B143" s="6" t="n">
        <v>1</v>
      </c>
      <c r="C143" s="6" t="n">
        <v>62</v>
      </c>
      <c r="D143" s="12" t="n">
        <f aca="false">C143/(B143+C143)*100</f>
        <v>98.4126984126984</v>
      </c>
      <c r="E143" s="6" t="n">
        <v>7</v>
      </c>
      <c r="F143" s="6" t="s">
        <v>1349</v>
      </c>
      <c r="G143" s="6" t="n">
        <v>57</v>
      </c>
      <c r="H143" s="6" t="s">
        <v>1350</v>
      </c>
      <c r="I143" s="6" t="n">
        <v>3</v>
      </c>
      <c r="J143" s="6" t="s">
        <v>1351</v>
      </c>
      <c r="K143" s="6" t="n">
        <v>1</v>
      </c>
      <c r="L143" s="6" t="s">
        <v>1352</v>
      </c>
      <c r="M143" s="6" t="n">
        <v>1</v>
      </c>
      <c r="N143" s="6" t="s">
        <v>1353</v>
      </c>
      <c r="O143" s="6" t="n">
        <v>0</v>
      </c>
      <c r="P143" s="6" t="s">
        <v>1354</v>
      </c>
      <c r="Q143" s="6" t="n">
        <v>0</v>
      </c>
      <c r="R143" s="6" t="s">
        <v>1355</v>
      </c>
      <c r="S143" s="6" t="n">
        <v>0</v>
      </c>
    </row>
    <row r="144" customFormat="false" ht="12.8" hidden="false" customHeight="false" outlineLevel="0" collapsed="false">
      <c r="A144" s="6" t="s">
        <v>1356</v>
      </c>
      <c r="B144" s="6" t="n">
        <v>1</v>
      </c>
      <c r="C144" s="6" t="n">
        <v>51</v>
      </c>
      <c r="D144" s="12" t="n">
        <f aca="false">C144/(B144+C144)*100</f>
        <v>98.0769230769231</v>
      </c>
      <c r="E144" s="6" t="n">
        <v>1</v>
      </c>
      <c r="F144" s="6" t="s">
        <v>1357</v>
      </c>
      <c r="G144" s="6" t="n">
        <v>51</v>
      </c>
    </row>
    <row r="145" customFormat="false" ht="12.8" hidden="false" customHeight="false" outlineLevel="0" collapsed="false">
      <c r="A145" s="6" t="s">
        <v>1358</v>
      </c>
      <c r="B145" s="6" t="n">
        <v>1</v>
      </c>
      <c r="C145" s="6" t="n">
        <v>41</v>
      </c>
      <c r="D145" s="12" t="n">
        <f aca="false">C145/(B145+C145)*100</f>
        <v>97.6190476190476</v>
      </c>
      <c r="E145" s="6" t="n">
        <v>1</v>
      </c>
      <c r="F145" s="6" t="s">
        <v>1359</v>
      </c>
      <c r="G145" s="6" t="n">
        <v>41</v>
      </c>
    </row>
    <row r="146" customFormat="false" ht="12.8" hidden="false" customHeight="false" outlineLevel="0" collapsed="false">
      <c r="A146" s="6" t="s">
        <v>1360</v>
      </c>
      <c r="B146" s="6" t="n">
        <v>1</v>
      </c>
      <c r="C146" s="6" t="n">
        <v>39</v>
      </c>
      <c r="D146" s="12" t="n">
        <f aca="false">C146/(B146+C146)*100</f>
        <v>97.5</v>
      </c>
      <c r="E146" s="6" t="n">
        <v>4</v>
      </c>
      <c r="F146" s="6" t="s">
        <v>1361</v>
      </c>
      <c r="G146" s="6" t="n">
        <v>38</v>
      </c>
      <c r="H146" s="6" t="s">
        <v>1362</v>
      </c>
      <c r="I146" s="6" t="n">
        <v>1</v>
      </c>
      <c r="J146" s="6" t="s">
        <v>1363</v>
      </c>
      <c r="K146" s="6" t="n">
        <v>0</v>
      </c>
      <c r="L146" s="6" t="s">
        <v>1364</v>
      </c>
      <c r="M146" s="6" t="n">
        <v>0</v>
      </c>
    </row>
    <row r="147" customFormat="false" ht="12.8" hidden="false" customHeight="false" outlineLevel="0" collapsed="false">
      <c r="A147" s="6" t="s">
        <v>1365</v>
      </c>
      <c r="B147" s="6" t="n">
        <v>1</v>
      </c>
      <c r="C147" s="6" t="n">
        <v>34</v>
      </c>
      <c r="D147" s="12" t="n">
        <f aca="false">C147/(B147+C147)*100</f>
        <v>97.1428571428571</v>
      </c>
      <c r="E147" s="6" t="n">
        <v>2</v>
      </c>
      <c r="F147" s="6" t="s">
        <v>1366</v>
      </c>
      <c r="G147" s="6" t="n">
        <v>28</v>
      </c>
      <c r="H147" s="6" t="s">
        <v>1367</v>
      </c>
      <c r="I147" s="6" t="n">
        <v>6</v>
      </c>
    </row>
    <row r="148" customFormat="false" ht="12.8" hidden="false" customHeight="false" outlineLevel="0" collapsed="false">
      <c r="A148" s="6" t="s">
        <v>1368</v>
      </c>
      <c r="B148" s="6" t="n">
        <v>1</v>
      </c>
      <c r="C148" s="6" t="n">
        <v>17</v>
      </c>
      <c r="D148" s="12" t="n">
        <f aca="false">C148/(B148+C148)*100</f>
        <v>94.4444444444444</v>
      </c>
      <c r="E148" s="6" t="n">
        <v>5</v>
      </c>
      <c r="F148" s="6" t="s">
        <v>1369</v>
      </c>
      <c r="G148" s="6" t="n">
        <v>12</v>
      </c>
      <c r="H148" s="6" t="s">
        <v>1370</v>
      </c>
      <c r="I148" s="6" t="n">
        <v>3</v>
      </c>
      <c r="J148" s="6" t="s">
        <v>1371</v>
      </c>
      <c r="K148" s="6" t="n">
        <v>2</v>
      </c>
      <c r="L148" s="6" t="s">
        <v>1372</v>
      </c>
      <c r="M148" s="6" t="n">
        <v>0</v>
      </c>
      <c r="N148" s="6" t="s">
        <v>1373</v>
      </c>
      <c r="O148" s="6" t="n">
        <v>0</v>
      </c>
    </row>
    <row r="149" customFormat="false" ht="12.8" hidden="false" customHeight="false" outlineLevel="0" collapsed="false">
      <c r="A149" s="6" t="s">
        <v>1374</v>
      </c>
      <c r="B149" s="6" t="n">
        <v>1</v>
      </c>
      <c r="C149" s="6" t="n">
        <v>17</v>
      </c>
      <c r="D149" s="12" t="n">
        <f aca="false">C149/(B149+C149)*100</f>
        <v>94.4444444444444</v>
      </c>
      <c r="E149" s="6" t="n">
        <v>3</v>
      </c>
      <c r="F149" s="6" t="s">
        <v>1375</v>
      </c>
      <c r="G149" s="6" t="n">
        <v>13</v>
      </c>
      <c r="H149" s="6" t="s">
        <v>1376</v>
      </c>
      <c r="I149" s="6" t="n">
        <v>3</v>
      </c>
      <c r="J149" s="6" t="s">
        <v>1377</v>
      </c>
      <c r="K149" s="6" t="n">
        <v>1</v>
      </c>
    </row>
    <row r="150" customFormat="false" ht="12.8" hidden="false" customHeight="false" outlineLevel="0" collapsed="false">
      <c r="A150" s="6" t="s">
        <v>1378</v>
      </c>
      <c r="B150" s="6" t="n">
        <v>1</v>
      </c>
      <c r="C150" s="6" t="n">
        <v>13</v>
      </c>
      <c r="D150" s="12" t="n">
        <f aca="false">C150/(B150+C150)*100</f>
        <v>92.8571428571429</v>
      </c>
      <c r="E150" s="6" t="n">
        <v>2</v>
      </c>
      <c r="F150" s="6" t="s">
        <v>1379</v>
      </c>
      <c r="G150" s="6" t="n">
        <v>12</v>
      </c>
      <c r="H150" s="6" t="s">
        <v>1380</v>
      </c>
      <c r="I150" s="6" t="n">
        <v>1</v>
      </c>
    </row>
    <row r="151" customFormat="false" ht="12.8" hidden="false" customHeight="false" outlineLevel="0" collapsed="false">
      <c r="A151" s="6" t="s">
        <v>1381</v>
      </c>
      <c r="B151" s="6" t="n">
        <v>1</v>
      </c>
      <c r="C151" s="6" t="n">
        <v>10</v>
      </c>
      <c r="D151" s="12" t="n">
        <f aca="false">C151/(B151+C151)*100</f>
        <v>90.9090909090909</v>
      </c>
      <c r="E151" s="6" t="n">
        <v>1</v>
      </c>
      <c r="F151" s="6" t="s">
        <v>1382</v>
      </c>
      <c r="G151" s="6" t="n">
        <v>10</v>
      </c>
    </row>
    <row r="152" customFormat="false" ht="12.8" hidden="false" customHeight="false" outlineLevel="0" collapsed="false">
      <c r="A152" s="6" t="s">
        <v>1383</v>
      </c>
      <c r="B152" s="6" t="n">
        <v>1</v>
      </c>
      <c r="C152" s="6" t="n">
        <v>8</v>
      </c>
      <c r="D152" s="12" t="n">
        <f aca="false">C152/(B152+C152)*100</f>
        <v>88.8888888888889</v>
      </c>
      <c r="E152" s="6" t="n">
        <v>2</v>
      </c>
      <c r="F152" s="6" t="s">
        <v>1384</v>
      </c>
      <c r="G152" s="6" t="n">
        <v>6</v>
      </c>
      <c r="H152" s="6" t="s">
        <v>1385</v>
      </c>
      <c r="I152" s="6" t="n">
        <v>2</v>
      </c>
    </row>
    <row r="153" customFormat="false" ht="12.8" hidden="false" customHeight="false" outlineLevel="0" collapsed="false">
      <c r="A153" s="6" t="s">
        <v>1386</v>
      </c>
      <c r="B153" s="6" t="n">
        <v>1</v>
      </c>
      <c r="C153" s="6" t="n">
        <v>8</v>
      </c>
      <c r="D153" s="12" t="n">
        <f aca="false">C153/(B153+C153)*100</f>
        <v>88.8888888888889</v>
      </c>
      <c r="E153" s="6" t="n">
        <v>1</v>
      </c>
      <c r="F153" s="6" t="s">
        <v>1387</v>
      </c>
      <c r="G153" s="6" t="n">
        <v>8</v>
      </c>
    </row>
    <row r="154" customFormat="false" ht="12.8" hidden="false" customHeight="false" outlineLevel="0" collapsed="false">
      <c r="A154" s="6" t="s">
        <v>1388</v>
      </c>
      <c r="B154" s="6" t="n">
        <v>1</v>
      </c>
      <c r="C154" s="6" t="n">
        <v>6</v>
      </c>
      <c r="D154" s="12" t="n">
        <f aca="false">C154/(B154+C154)*100</f>
        <v>85.7142857142857</v>
      </c>
      <c r="E154" s="6" t="n">
        <v>3</v>
      </c>
      <c r="F154" s="6" t="s">
        <v>1389</v>
      </c>
      <c r="G154" s="6" t="n">
        <v>3</v>
      </c>
      <c r="H154" s="6" t="s">
        <v>1390</v>
      </c>
      <c r="I154" s="6" t="n">
        <v>2</v>
      </c>
      <c r="J154" s="6" t="s">
        <v>1391</v>
      </c>
      <c r="K154" s="6" t="n">
        <v>1</v>
      </c>
    </row>
    <row r="155" customFormat="false" ht="12.8" hidden="false" customHeight="false" outlineLevel="0" collapsed="false">
      <c r="A155" s="6" t="s">
        <v>1392</v>
      </c>
      <c r="B155" s="6" t="n">
        <v>1</v>
      </c>
      <c r="C155" s="6" t="n">
        <v>6</v>
      </c>
      <c r="D155" s="12" t="n">
        <f aca="false">C155/(B155+C155)*100</f>
        <v>85.7142857142857</v>
      </c>
      <c r="E155" s="6" t="n">
        <v>2</v>
      </c>
      <c r="F155" s="6" t="s">
        <v>1393</v>
      </c>
      <c r="G155" s="6" t="n">
        <v>4</v>
      </c>
      <c r="H155" s="6" t="s">
        <v>1394</v>
      </c>
      <c r="I155" s="6" t="n">
        <v>2</v>
      </c>
    </row>
    <row r="156" customFormat="false" ht="12.8" hidden="false" customHeight="false" outlineLevel="0" collapsed="false">
      <c r="A156" s="6" t="s">
        <v>1395</v>
      </c>
      <c r="B156" s="6" t="n">
        <v>1</v>
      </c>
      <c r="C156" s="6" t="n">
        <v>5</v>
      </c>
      <c r="D156" s="12" t="n">
        <f aca="false">C156/(B156+C156)*100</f>
        <v>83.3333333333333</v>
      </c>
      <c r="E156" s="6" t="n">
        <v>2</v>
      </c>
      <c r="F156" s="6" t="s">
        <v>1396</v>
      </c>
      <c r="G156" s="6" t="n">
        <v>3</v>
      </c>
      <c r="H156" s="6" t="s">
        <v>1397</v>
      </c>
      <c r="I156" s="6" t="n">
        <v>2</v>
      </c>
    </row>
    <row r="157" customFormat="false" ht="12.8" hidden="false" customHeight="false" outlineLevel="0" collapsed="false">
      <c r="A157" s="6" t="s">
        <v>1398</v>
      </c>
      <c r="B157" s="6" t="n">
        <v>1</v>
      </c>
      <c r="C157" s="6" t="n">
        <v>3</v>
      </c>
      <c r="D157" s="12" t="n">
        <f aca="false">C157/(B157+C157)*100</f>
        <v>75</v>
      </c>
      <c r="E157" s="6" t="n">
        <v>2</v>
      </c>
      <c r="F157" s="6" t="s">
        <v>1399</v>
      </c>
      <c r="G157" s="6" t="n">
        <v>2</v>
      </c>
      <c r="H157" s="6" t="s">
        <v>1400</v>
      </c>
      <c r="I157" s="6" t="n">
        <v>1</v>
      </c>
    </row>
    <row r="158" customFormat="false" ht="12.8" hidden="false" customHeight="false" outlineLevel="0" collapsed="false">
      <c r="A158" s="6" t="s">
        <v>1401</v>
      </c>
      <c r="B158" s="6" t="n">
        <v>1</v>
      </c>
      <c r="C158" s="6" t="n">
        <v>3</v>
      </c>
      <c r="D158" s="12" t="n">
        <f aca="false">C158/(B158+C158)*100</f>
        <v>75</v>
      </c>
      <c r="E158" s="6" t="n">
        <v>1</v>
      </c>
      <c r="F158" s="6" t="s">
        <v>1402</v>
      </c>
      <c r="G158" s="6" t="n">
        <v>3</v>
      </c>
    </row>
    <row r="159" customFormat="false" ht="12.8" hidden="false" customHeight="false" outlineLevel="0" collapsed="false">
      <c r="A159" s="6" t="s">
        <v>1403</v>
      </c>
      <c r="B159" s="6" t="n">
        <v>1</v>
      </c>
      <c r="C159" s="6" t="n">
        <v>3</v>
      </c>
      <c r="D159" s="12" t="n">
        <f aca="false">C159/(B159+C159)*100</f>
        <v>75</v>
      </c>
      <c r="E159" s="6" t="n">
        <v>1</v>
      </c>
      <c r="F159" s="6" t="s">
        <v>1404</v>
      </c>
      <c r="G159" s="6" t="n">
        <v>3</v>
      </c>
    </row>
    <row r="160" customFormat="false" ht="12.8" hidden="false" customHeight="false" outlineLevel="0" collapsed="false">
      <c r="A160" s="6" t="s">
        <v>1405</v>
      </c>
      <c r="B160" s="6" t="n">
        <v>1</v>
      </c>
      <c r="C160" s="6" t="n">
        <v>2</v>
      </c>
      <c r="D160" s="12" t="n">
        <f aca="false">C160/(B160+C160)*100</f>
        <v>66.6666666666667</v>
      </c>
      <c r="E160" s="6" t="n">
        <v>10</v>
      </c>
      <c r="F160" s="6" t="s">
        <v>1406</v>
      </c>
      <c r="G160" s="6" t="n">
        <v>2</v>
      </c>
      <c r="H160" s="6" t="s">
        <v>1407</v>
      </c>
      <c r="I160" s="6" t="n">
        <v>0</v>
      </c>
      <c r="J160" s="6" t="s">
        <v>1408</v>
      </c>
      <c r="K160" s="6" t="n">
        <v>0</v>
      </c>
      <c r="L160" s="6" t="s">
        <v>1409</v>
      </c>
      <c r="M160" s="6" t="n">
        <v>0</v>
      </c>
      <c r="N160" s="6" t="s">
        <v>1410</v>
      </c>
      <c r="O160" s="6" t="n">
        <v>0</v>
      </c>
      <c r="P160" s="6" t="s">
        <v>1411</v>
      </c>
      <c r="Q160" s="6" t="n">
        <v>0</v>
      </c>
      <c r="R160" s="6" t="s">
        <v>1412</v>
      </c>
      <c r="S160" s="6" t="n">
        <v>0</v>
      </c>
      <c r="T160" s="6" t="s">
        <v>1413</v>
      </c>
      <c r="U160" s="6" t="n">
        <v>0</v>
      </c>
      <c r="V160" s="6" t="s">
        <v>1414</v>
      </c>
      <c r="W160" s="6" t="n">
        <v>0</v>
      </c>
      <c r="X160" s="6" t="s">
        <v>1415</v>
      </c>
      <c r="Y160" s="6" t="n">
        <v>0</v>
      </c>
    </row>
    <row r="161" customFormat="false" ht="12.8" hidden="false" customHeight="false" outlineLevel="0" collapsed="false">
      <c r="A161" s="6" t="s">
        <v>1416</v>
      </c>
      <c r="B161" s="6" t="n">
        <v>1</v>
      </c>
      <c r="C161" s="6" t="n">
        <v>2</v>
      </c>
      <c r="D161" s="12" t="n">
        <f aca="false">C161/(B161+C161)*100</f>
        <v>66.6666666666667</v>
      </c>
      <c r="E161" s="6" t="n">
        <v>2</v>
      </c>
      <c r="F161" s="6" t="s">
        <v>1417</v>
      </c>
      <c r="G161" s="6" t="n">
        <v>2</v>
      </c>
      <c r="H161" s="6" t="s">
        <v>1418</v>
      </c>
      <c r="I161" s="6" t="n">
        <v>0</v>
      </c>
    </row>
    <row r="162" customFormat="false" ht="12.8" hidden="false" customHeight="false" outlineLevel="0" collapsed="false">
      <c r="A162" s="6" t="s">
        <v>1419</v>
      </c>
      <c r="B162" s="6" t="n">
        <v>1</v>
      </c>
      <c r="C162" s="6" t="n">
        <v>2</v>
      </c>
      <c r="D162" s="12" t="n">
        <f aca="false">C162/(B162+C162)*100</f>
        <v>66.6666666666667</v>
      </c>
      <c r="E162" s="6" t="n">
        <v>2</v>
      </c>
      <c r="F162" s="6" t="s">
        <v>1420</v>
      </c>
      <c r="G162" s="6" t="n">
        <v>1</v>
      </c>
      <c r="H162" s="6" t="s">
        <v>1421</v>
      </c>
      <c r="I162" s="6" t="n">
        <v>1</v>
      </c>
    </row>
    <row r="163" customFormat="false" ht="12.8" hidden="false" customHeight="false" outlineLevel="0" collapsed="false">
      <c r="A163" s="6" t="s">
        <v>1422</v>
      </c>
      <c r="B163" s="6" t="n">
        <v>1</v>
      </c>
      <c r="C163" s="6" t="n">
        <v>2</v>
      </c>
      <c r="D163" s="12" t="n">
        <f aca="false">C163/(B163+C163)*100</f>
        <v>66.6666666666667</v>
      </c>
      <c r="E163" s="6" t="n">
        <v>2</v>
      </c>
      <c r="F163" s="6" t="s">
        <v>1423</v>
      </c>
      <c r="G163" s="6" t="n">
        <v>1</v>
      </c>
      <c r="H163" s="6" t="s">
        <v>1424</v>
      </c>
      <c r="I163" s="6" t="n">
        <v>1</v>
      </c>
    </row>
    <row r="164" customFormat="false" ht="12.8" hidden="false" customHeight="false" outlineLevel="0" collapsed="false">
      <c r="A164" s="6" t="s">
        <v>1425</v>
      </c>
      <c r="B164" s="6" t="n">
        <v>1</v>
      </c>
      <c r="C164" s="6" t="n">
        <v>2</v>
      </c>
      <c r="D164" s="12" t="n">
        <f aca="false">C164/(B164+C164)*100</f>
        <v>66.6666666666667</v>
      </c>
      <c r="E164" s="6" t="n">
        <v>1</v>
      </c>
      <c r="F164" s="6" t="s">
        <v>1426</v>
      </c>
      <c r="G164" s="6" t="n">
        <v>2</v>
      </c>
    </row>
    <row r="165" customFormat="false" ht="12.8" hidden="false" customHeight="false" outlineLevel="0" collapsed="false">
      <c r="A165" s="6" t="s">
        <v>1427</v>
      </c>
      <c r="B165" s="6" t="n">
        <v>1</v>
      </c>
      <c r="C165" s="6" t="n">
        <v>1</v>
      </c>
      <c r="D165" s="12" t="n">
        <f aca="false">C165/(B165+C165)*100</f>
        <v>50</v>
      </c>
      <c r="E165" s="6" t="n">
        <v>3</v>
      </c>
      <c r="F165" s="6" t="s">
        <v>1428</v>
      </c>
      <c r="G165" s="6" t="n">
        <v>1</v>
      </c>
      <c r="H165" s="6" t="s">
        <v>1429</v>
      </c>
      <c r="I165" s="6" t="n">
        <v>0</v>
      </c>
      <c r="J165" s="6" t="s">
        <v>1429</v>
      </c>
      <c r="K165" s="6" t="n">
        <v>0</v>
      </c>
    </row>
    <row r="166" customFormat="false" ht="12.8" hidden="false" customHeight="false" outlineLevel="0" collapsed="false">
      <c r="A166" s="6" t="s">
        <v>1430</v>
      </c>
      <c r="B166" s="6" t="n">
        <v>1</v>
      </c>
      <c r="C166" s="6" t="n">
        <v>1</v>
      </c>
      <c r="D166" s="12" t="n">
        <f aca="false">C166/(B166+C166)*100</f>
        <v>50</v>
      </c>
      <c r="E166" s="6" t="n">
        <v>1</v>
      </c>
      <c r="F166" s="6" t="s">
        <v>1431</v>
      </c>
      <c r="G166" s="6" t="n">
        <v>1</v>
      </c>
    </row>
    <row r="167" customFormat="false" ht="12.8" hidden="false" customHeight="false" outlineLevel="0" collapsed="false">
      <c r="A167" s="6" t="s">
        <v>1432</v>
      </c>
      <c r="B167" s="6" t="n">
        <v>1</v>
      </c>
      <c r="C167" s="6" t="n">
        <v>1</v>
      </c>
      <c r="D167" s="12" t="n">
        <f aca="false">C167/(B167+C167)*100</f>
        <v>50</v>
      </c>
      <c r="E167" s="6" t="n">
        <v>1</v>
      </c>
      <c r="F167" s="6" t="s">
        <v>1433</v>
      </c>
      <c r="G167" s="6" t="n">
        <v>1</v>
      </c>
    </row>
    <row r="168" customFormat="false" ht="12.8" hidden="false" customHeight="false" outlineLevel="0" collapsed="false">
      <c r="A168" s="6" t="s">
        <v>1434</v>
      </c>
      <c r="B168" s="6" t="n">
        <v>1</v>
      </c>
      <c r="C168" s="6" t="n">
        <v>1</v>
      </c>
      <c r="D168" s="12" t="n">
        <f aca="false">C168/(B168+C168)*100</f>
        <v>50</v>
      </c>
      <c r="E168" s="6" t="n">
        <v>1</v>
      </c>
      <c r="F168" s="6" t="s">
        <v>1435</v>
      </c>
      <c r="G168" s="6" t="n">
        <v>1</v>
      </c>
    </row>
    <row r="169" customFormat="false" ht="12.8" hidden="false" customHeight="false" outlineLevel="0" collapsed="false">
      <c r="A169" s="6" t="s">
        <v>1436</v>
      </c>
      <c r="B169" s="6" t="n">
        <v>1</v>
      </c>
      <c r="C169" s="6" t="n">
        <v>1</v>
      </c>
      <c r="D169" s="12" t="n">
        <f aca="false">C169/(B169+C169)*100</f>
        <v>50</v>
      </c>
      <c r="E169" s="6" t="n">
        <v>1</v>
      </c>
      <c r="F169" s="6" t="s">
        <v>1437</v>
      </c>
      <c r="G169" s="6" t="n">
        <v>1</v>
      </c>
    </row>
    <row r="170" customFormat="false" ht="12.8" hidden="false" customHeight="false" outlineLevel="0" collapsed="false">
      <c r="A170" s="6" t="s">
        <v>1438</v>
      </c>
      <c r="B170" s="6" t="n">
        <v>1</v>
      </c>
      <c r="C170" s="6" t="n">
        <v>1</v>
      </c>
      <c r="D170" s="12" t="n">
        <f aca="false">C170/(B170+C170)*100</f>
        <v>50</v>
      </c>
      <c r="E170" s="6" t="n">
        <v>1</v>
      </c>
      <c r="F170" s="6" t="s">
        <v>1439</v>
      </c>
      <c r="G170" s="6" t="n">
        <v>1</v>
      </c>
    </row>
    <row r="171" customFormat="false" ht="12.8" hidden="false" customHeight="false" outlineLevel="0" collapsed="false">
      <c r="A171" s="6" t="s">
        <v>1440</v>
      </c>
      <c r="B171" s="6" t="n">
        <v>1</v>
      </c>
      <c r="C171" s="6" t="n">
        <v>1</v>
      </c>
      <c r="D171" s="12" t="n">
        <f aca="false">C171/(B171+C171)*100</f>
        <v>50</v>
      </c>
      <c r="E171" s="6" t="n">
        <v>1</v>
      </c>
      <c r="F171" s="6" t="s">
        <v>1441</v>
      </c>
      <c r="G171" s="6" t="n">
        <v>1</v>
      </c>
    </row>
    <row r="172" customFormat="false" ht="12.8" hidden="false" customHeight="false" outlineLevel="0" collapsed="false">
      <c r="A172" s="6" t="s">
        <v>1442</v>
      </c>
      <c r="B172" s="6" t="n">
        <v>1</v>
      </c>
      <c r="C172" s="6" t="n">
        <v>1</v>
      </c>
      <c r="D172" s="12" t="n">
        <f aca="false">C172/(B172+C172)*100</f>
        <v>50</v>
      </c>
      <c r="E172" s="6" t="n">
        <v>1</v>
      </c>
      <c r="F172" s="6" t="s">
        <v>1443</v>
      </c>
      <c r="G172" s="6" t="n">
        <v>1</v>
      </c>
    </row>
    <row r="173" customFormat="false" ht="12.8" hidden="false" customHeight="false" outlineLevel="0" collapsed="false">
      <c r="A173" s="6" t="s">
        <v>1444</v>
      </c>
      <c r="B173" s="6" t="n">
        <v>1</v>
      </c>
      <c r="C173" s="6" t="n">
        <v>1</v>
      </c>
      <c r="D173" s="12" t="n">
        <f aca="false">C173/(B173+C173)*100</f>
        <v>50</v>
      </c>
      <c r="E173" s="6" t="n">
        <v>1</v>
      </c>
      <c r="F173" s="6" t="s">
        <v>1445</v>
      </c>
      <c r="G173" s="6" t="n">
        <v>1</v>
      </c>
    </row>
    <row r="174" customFormat="false" ht="12.8" hidden="false" customHeight="false" outlineLevel="0" collapsed="false">
      <c r="A174" s="6" t="s">
        <v>1446</v>
      </c>
      <c r="B174" s="6" t="n">
        <v>1</v>
      </c>
      <c r="C174" s="6" t="n">
        <v>1</v>
      </c>
      <c r="D174" s="12" t="n">
        <f aca="false">C174/(B174+C174)*100</f>
        <v>50</v>
      </c>
      <c r="E174" s="6" t="n">
        <v>1</v>
      </c>
      <c r="F174" s="6" t="s">
        <v>1447</v>
      </c>
      <c r="G174" s="6" t="n">
        <v>1</v>
      </c>
    </row>
    <row r="175" customFormat="false" ht="12.8" hidden="false" customHeight="false" outlineLevel="0" collapsed="false">
      <c r="A175" s="6" t="s">
        <v>1448</v>
      </c>
      <c r="B175" s="6" t="n">
        <v>1</v>
      </c>
      <c r="C175" s="6" t="n">
        <v>1</v>
      </c>
      <c r="D175" s="12" t="n">
        <f aca="false">C175/(B175+C175)*100</f>
        <v>50</v>
      </c>
      <c r="E175" s="6" t="n">
        <v>1</v>
      </c>
      <c r="F175" s="6" t="s">
        <v>1449</v>
      </c>
      <c r="G175" s="6" t="n">
        <v>1</v>
      </c>
    </row>
    <row r="176" customFormat="false" ht="12.8" hidden="false" customHeight="false" outlineLevel="0" collapsed="false">
      <c r="A176" s="6" t="s">
        <v>1450</v>
      </c>
      <c r="B176" s="6" t="n">
        <v>1</v>
      </c>
      <c r="C176" s="6" t="n">
        <v>1</v>
      </c>
      <c r="D176" s="12" t="n">
        <f aca="false">C176/(B176+C176)*100</f>
        <v>50</v>
      </c>
      <c r="E176" s="6" t="n">
        <v>1</v>
      </c>
      <c r="F176" s="6" t="s">
        <v>1451</v>
      </c>
      <c r="G176" s="6" t="n">
        <v>1</v>
      </c>
    </row>
    <row r="177" customFormat="false" ht="12.8" hidden="false" customHeight="false" outlineLevel="0" collapsed="false">
      <c r="A177" s="6" t="s">
        <v>1452</v>
      </c>
      <c r="B177" s="6" t="n">
        <v>1</v>
      </c>
      <c r="C177" s="6" t="n">
        <v>1</v>
      </c>
      <c r="D177" s="12" t="n">
        <f aca="false">C177/(B177+C177)*100</f>
        <v>50</v>
      </c>
      <c r="E177" s="6" t="n">
        <v>1</v>
      </c>
      <c r="F177" s="6" t="s">
        <v>1453</v>
      </c>
      <c r="G177" s="6" t="n">
        <v>1</v>
      </c>
    </row>
    <row r="178" customFormat="false" ht="12.8" hidden="false" customHeight="false" outlineLevel="0" collapsed="false">
      <c r="A178" s="6" t="s">
        <v>1454</v>
      </c>
      <c r="B178" s="6" t="n">
        <v>1</v>
      </c>
      <c r="C178" s="6" t="n">
        <v>1</v>
      </c>
      <c r="D178" s="12" t="n">
        <f aca="false">C178/(B178+C178)*100</f>
        <v>50</v>
      </c>
      <c r="E178" s="6" t="n">
        <v>1</v>
      </c>
      <c r="F178" s="6" t="s">
        <v>1455</v>
      </c>
      <c r="G178" s="6" t="n">
        <v>1</v>
      </c>
    </row>
    <row r="179" customFormat="false" ht="12.8" hidden="false" customHeight="false" outlineLevel="0" collapsed="false">
      <c r="A179" s="6" t="s">
        <v>1456</v>
      </c>
      <c r="B179" s="6" t="n">
        <v>1</v>
      </c>
      <c r="C179" s="6" t="n">
        <v>1</v>
      </c>
      <c r="D179" s="12" t="n">
        <f aca="false">C179/(B179+C179)*100</f>
        <v>50</v>
      </c>
      <c r="E179" s="6" t="n">
        <v>1</v>
      </c>
      <c r="F179" s="6" t="s">
        <v>1457</v>
      </c>
      <c r="G179" s="6" t="n">
        <v>1</v>
      </c>
    </row>
    <row r="180" customFormat="false" ht="12.8" hidden="false" customHeight="false" outlineLevel="0" collapsed="false">
      <c r="A180" s="6" t="s">
        <v>1458</v>
      </c>
      <c r="B180" s="6" t="n">
        <v>1</v>
      </c>
      <c r="C180" s="6" t="n">
        <v>1</v>
      </c>
      <c r="D180" s="12" t="n">
        <f aca="false">C180/(B180+C180)*100</f>
        <v>50</v>
      </c>
      <c r="E180" s="6" t="n">
        <v>1</v>
      </c>
      <c r="F180" s="6" t="s">
        <v>1459</v>
      </c>
      <c r="G180" s="6" t="n">
        <v>1</v>
      </c>
    </row>
    <row r="181" customFormat="false" ht="12.8" hidden="false" customHeight="false" outlineLevel="0" collapsed="false">
      <c r="A181" s="6" t="s">
        <v>1460</v>
      </c>
      <c r="B181" s="6" t="n">
        <v>1</v>
      </c>
      <c r="C181" s="6" t="n">
        <v>1</v>
      </c>
      <c r="D181" s="12" t="n">
        <f aca="false">C181/(B181+C181)*100</f>
        <v>50</v>
      </c>
      <c r="E181" s="6" t="n">
        <v>1</v>
      </c>
      <c r="F181" s="6" t="s">
        <v>1461</v>
      </c>
      <c r="G181" s="6" t="n">
        <v>1</v>
      </c>
    </row>
    <row r="182" customFormat="false" ht="12.8" hidden="false" customHeight="false" outlineLevel="0" collapsed="false">
      <c r="A182" s="6" t="s">
        <v>1462</v>
      </c>
      <c r="B182" s="6" t="n">
        <v>1</v>
      </c>
      <c r="C182" s="6" t="n">
        <v>1</v>
      </c>
      <c r="D182" s="12" t="n">
        <f aca="false">C182/(B182+C182)*100</f>
        <v>50</v>
      </c>
      <c r="E182" s="6" t="n">
        <v>1</v>
      </c>
      <c r="F182" s="6" t="s">
        <v>1463</v>
      </c>
      <c r="G182" s="6" t="n">
        <v>1</v>
      </c>
    </row>
    <row r="183" customFormat="false" ht="12.8" hidden="false" customHeight="false" outlineLevel="0" collapsed="false">
      <c r="A183" s="6" t="s">
        <v>1464</v>
      </c>
      <c r="B183" s="6" t="n">
        <v>1</v>
      </c>
      <c r="C183" s="6" t="n">
        <v>1</v>
      </c>
      <c r="D183" s="12" t="n">
        <f aca="false">C183/(B183+C183)*100</f>
        <v>50</v>
      </c>
      <c r="E183" s="6" t="n">
        <v>1</v>
      </c>
      <c r="F183" s="6" t="s">
        <v>1465</v>
      </c>
      <c r="G183" s="6" t="n">
        <v>1</v>
      </c>
    </row>
    <row r="184" customFormat="false" ht="12.8" hidden="false" customHeight="false" outlineLevel="0" collapsed="false">
      <c r="A184" s="6" t="s">
        <v>1466</v>
      </c>
      <c r="B184" s="6" t="n">
        <v>1</v>
      </c>
      <c r="C184" s="6" t="n">
        <v>1</v>
      </c>
      <c r="D184" s="12" t="n">
        <f aca="false">C184/(B184+C184)*100</f>
        <v>50</v>
      </c>
      <c r="E184" s="6" t="n">
        <v>1</v>
      </c>
      <c r="F184" s="6" t="s">
        <v>1467</v>
      </c>
      <c r="G184" s="6" t="n">
        <v>1</v>
      </c>
    </row>
    <row r="185" customFormat="false" ht="12.8" hidden="false" customHeight="false" outlineLevel="0" collapsed="false">
      <c r="A185" s="6" t="s">
        <v>1468</v>
      </c>
      <c r="B185" s="6" t="n">
        <v>1</v>
      </c>
      <c r="C185" s="6" t="n">
        <v>1</v>
      </c>
      <c r="D185" s="12" t="n">
        <f aca="false">C185/(B185+C185)*100</f>
        <v>50</v>
      </c>
      <c r="E185" s="6" t="n">
        <v>1</v>
      </c>
      <c r="F185" s="6" t="s">
        <v>1469</v>
      </c>
      <c r="G185" s="6" t="n">
        <v>1</v>
      </c>
    </row>
    <row r="186" customFormat="false" ht="12.8" hidden="false" customHeight="false" outlineLevel="0" collapsed="false">
      <c r="A186" s="6" t="s">
        <v>1470</v>
      </c>
      <c r="B186" s="6" t="n">
        <v>1</v>
      </c>
      <c r="C186" s="6" t="n">
        <v>1</v>
      </c>
      <c r="D186" s="12" t="n">
        <f aca="false">C186/(B186+C186)*100</f>
        <v>50</v>
      </c>
      <c r="E186" s="6" t="n">
        <v>1</v>
      </c>
      <c r="F186" s="6" t="s">
        <v>1471</v>
      </c>
      <c r="G186" s="6" t="n">
        <v>1</v>
      </c>
    </row>
    <row r="187" customFormat="false" ht="12.8" hidden="false" customHeight="false" outlineLevel="0" collapsed="false">
      <c r="A187" s="6" t="s">
        <v>1472</v>
      </c>
      <c r="B187" s="6" t="n">
        <v>1</v>
      </c>
      <c r="C187" s="6" t="n">
        <v>0</v>
      </c>
      <c r="D187" s="12" t="n">
        <f aca="false">C187/(B187+C187)*100</f>
        <v>0</v>
      </c>
      <c r="E187" s="6" t="n">
        <v>2</v>
      </c>
      <c r="F187" s="6" t="s">
        <v>1473</v>
      </c>
      <c r="G187" s="6" t="n">
        <v>0</v>
      </c>
      <c r="H187" s="6" t="s">
        <v>1474</v>
      </c>
      <c r="I187" s="6" t="n">
        <v>0</v>
      </c>
    </row>
    <row r="188" customFormat="false" ht="12.8" hidden="false" customHeight="false" outlineLevel="0" collapsed="false">
      <c r="A188" s="6" t="s">
        <v>1475</v>
      </c>
      <c r="B188" s="6" t="n">
        <v>1</v>
      </c>
      <c r="C188" s="6" t="n">
        <v>0</v>
      </c>
      <c r="D188" s="12" t="n">
        <f aca="false">C188/(B188+C188)*100</f>
        <v>0</v>
      </c>
      <c r="E188" s="6" t="n">
        <v>2</v>
      </c>
      <c r="F188" s="6" t="s">
        <v>1476</v>
      </c>
      <c r="G188" s="6" t="n">
        <v>0</v>
      </c>
      <c r="H188" s="6" t="s">
        <v>1477</v>
      </c>
      <c r="I188" s="6" t="n">
        <v>0</v>
      </c>
    </row>
    <row r="189" customFormat="false" ht="12.8" hidden="false" customHeight="false" outlineLevel="0" collapsed="false">
      <c r="A189" s="6" t="s">
        <v>1478</v>
      </c>
      <c r="B189" s="6" t="n">
        <v>1</v>
      </c>
      <c r="C189" s="6" t="n">
        <v>0</v>
      </c>
      <c r="D189" s="12" t="n">
        <f aca="false">C189/(B189+C189)*100</f>
        <v>0</v>
      </c>
      <c r="E189" s="6" t="n">
        <v>1</v>
      </c>
      <c r="F189" s="6" t="s">
        <v>1479</v>
      </c>
      <c r="G189" s="6" t="n">
        <v>0</v>
      </c>
    </row>
    <row r="190" customFormat="false" ht="12.8" hidden="false" customHeight="false" outlineLevel="0" collapsed="false">
      <c r="A190" s="6" t="s">
        <v>1480</v>
      </c>
      <c r="B190" s="6" t="n">
        <v>1</v>
      </c>
      <c r="C190" s="6" t="n">
        <v>0</v>
      </c>
      <c r="D190" s="12" t="n">
        <f aca="false">C190/(B190+C190)*100</f>
        <v>0</v>
      </c>
      <c r="E190" s="6" t="n">
        <v>1</v>
      </c>
      <c r="F190" s="6" t="s">
        <v>1481</v>
      </c>
      <c r="G190" s="6" t="n">
        <v>0</v>
      </c>
    </row>
    <row r="191" customFormat="false" ht="12.8" hidden="false" customHeight="false" outlineLevel="0" collapsed="false">
      <c r="A191" s="6" t="s">
        <v>1482</v>
      </c>
      <c r="B191" s="6" t="n">
        <v>1</v>
      </c>
      <c r="C191" s="6" t="n">
        <v>0</v>
      </c>
      <c r="D191" s="12" t="n">
        <f aca="false">C191/(B191+C191)*100</f>
        <v>0</v>
      </c>
      <c r="E191" s="6" t="n">
        <v>1</v>
      </c>
      <c r="F191" s="6" t="s">
        <v>1483</v>
      </c>
      <c r="G191" s="6" t="n">
        <v>0</v>
      </c>
    </row>
    <row r="192" customFormat="false" ht="12.8" hidden="false" customHeight="false" outlineLevel="0" collapsed="false">
      <c r="A192" s="6" t="s">
        <v>1484</v>
      </c>
      <c r="B192" s="6" t="n">
        <v>1</v>
      </c>
      <c r="C192" s="6" t="n">
        <v>0</v>
      </c>
      <c r="D192" s="12" t="n">
        <f aca="false">C192/(B192+C192)*100</f>
        <v>0</v>
      </c>
      <c r="E192" s="6" t="n">
        <v>1</v>
      </c>
      <c r="F192" s="6" t="s">
        <v>1485</v>
      </c>
      <c r="G192" s="6" t="n">
        <v>0</v>
      </c>
    </row>
    <row r="193" customFormat="false" ht="12.8" hidden="false" customHeight="false" outlineLevel="0" collapsed="false">
      <c r="A193" s="6" t="s">
        <v>1486</v>
      </c>
      <c r="B193" s="6" t="n">
        <v>2</v>
      </c>
      <c r="C193" s="6" t="n">
        <v>42</v>
      </c>
      <c r="D193" s="12" t="n">
        <f aca="false">C193/(B193+C193)*100</f>
        <v>95.4545454545455</v>
      </c>
      <c r="E193" s="6" t="n">
        <v>5</v>
      </c>
      <c r="F193" s="6" t="s">
        <v>1487</v>
      </c>
      <c r="G193" s="6" t="n">
        <v>39</v>
      </c>
      <c r="H193" s="6" t="s">
        <v>1488</v>
      </c>
      <c r="I193" s="6" t="n">
        <v>2</v>
      </c>
      <c r="J193" s="6" t="s">
        <v>1489</v>
      </c>
      <c r="K193" s="6" t="n">
        <v>1</v>
      </c>
      <c r="L193" s="6" t="s">
        <v>1490</v>
      </c>
      <c r="M193" s="6" t="n">
        <v>0</v>
      </c>
      <c r="N193" s="6" t="s">
        <v>1491</v>
      </c>
      <c r="O193" s="6" t="n">
        <v>0</v>
      </c>
    </row>
    <row r="194" customFormat="false" ht="12.8" hidden="false" customHeight="false" outlineLevel="0" collapsed="false">
      <c r="A194" s="6" t="s">
        <v>1492</v>
      </c>
      <c r="B194" s="6" t="n">
        <v>2</v>
      </c>
      <c r="C194" s="6" t="n">
        <v>27</v>
      </c>
      <c r="D194" s="12" t="n">
        <f aca="false">C194/(B194+C194)*100</f>
        <v>93.1034482758621</v>
      </c>
      <c r="E194" s="6" t="n">
        <v>4</v>
      </c>
      <c r="F194" s="6" t="s">
        <v>1493</v>
      </c>
      <c r="G194" s="6" t="n">
        <v>23</v>
      </c>
      <c r="H194" s="6" t="s">
        <v>1494</v>
      </c>
      <c r="I194" s="6" t="n">
        <v>2</v>
      </c>
      <c r="J194" s="6" t="s">
        <v>1495</v>
      </c>
      <c r="K194" s="6" t="n">
        <v>1</v>
      </c>
      <c r="L194" s="6" t="s">
        <v>1496</v>
      </c>
      <c r="M194" s="6" t="n">
        <v>1</v>
      </c>
    </row>
    <row r="195" customFormat="false" ht="12.8" hidden="false" customHeight="false" outlineLevel="0" collapsed="false">
      <c r="A195" s="6" t="s">
        <v>1497</v>
      </c>
      <c r="B195" s="6" t="n">
        <v>2</v>
      </c>
      <c r="C195" s="6" t="n">
        <v>26</v>
      </c>
      <c r="D195" s="12" t="n">
        <f aca="false">C195/(B195+C195)*100</f>
        <v>92.8571428571429</v>
      </c>
      <c r="E195" s="6" t="n">
        <v>6</v>
      </c>
      <c r="F195" s="6" t="s">
        <v>1498</v>
      </c>
      <c r="G195" s="6" t="n">
        <v>14</v>
      </c>
      <c r="H195" s="6" t="s">
        <v>1499</v>
      </c>
      <c r="I195" s="6" t="n">
        <v>11</v>
      </c>
      <c r="J195" s="6" t="s">
        <v>1500</v>
      </c>
      <c r="K195" s="6" t="n">
        <v>1</v>
      </c>
      <c r="L195" s="6" t="s">
        <v>1501</v>
      </c>
      <c r="M195" s="6" t="n">
        <v>0</v>
      </c>
      <c r="N195" s="6" t="s">
        <v>1502</v>
      </c>
      <c r="O195" s="6" t="n">
        <v>0</v>
      </c>
      <c r="P195" s="6" t="s">
        <v>1503</v>
      </c>
      <c r="Q195" s="6" t="n">
        <v>0</v>
      </c>
    </row>
    <row r="196" customFormat="false" ht="12.8" hidden="false" customHeight="false" outlineLevel="0" collapsed="false">
      <c r="A196" s="6" t="s">
        <v>1504</v>
      </c>
      <c r="B196" s="6" t="n">
        <v>2</v>
      </c>
      <c r="C196" s="6" t="n">
        <v>19</v>
      </c>
      <c r="D196" s="12" t="n">
        <f aca="false">C196/(B196+C196)*100</f>
        <v>90.4761904761905</v>
      </c>
      <c r="E196" s="6" t="n">
        <v>5</v>
      </c>
      <c r="F196" s="6" t="s">
        <v>1505</v>
      </c>
      <c r="G196" s="6" t="n">
        <v>17</v>
      </c>
      <c r="H196" s="6" t="s">
        <v>1506</v>
      </c>
      <c r="I196" s="6" t="n">
        <v>1</v>
      </c>
      <c r="J196" s="6" t="s">
        <v>1507</v>
      </c>
      <c r="K196" s="6" t="n">
        <v>1</v>
      </c>
      <c r="L196" s="6" t="s">
        <v>1508</v>
      </c>
      <c r="M196" s="6" t="n">
        <v>0</v>
      </c>
      <c r="N196" s="6" t="s">
        <v>1509</v>
      </c>
      <c r="O196" s="6" t="n">
        <v>0</v>
      </c>
    </row>
    <row r="197" customFormat="false" ht="12.8" hidden="false" customHeight="false" outlineLevel="0" collapsed="false">
      <c r="A197" s="6" t="s">
        <v>1510</v>
      </c>
      <c r="B197" s="6" t="n">
        <v>2</v>
      </c>
      <c r="C197" s="6" t="n">
        <v>19</v>
      </c>
      <c r="D197" s="12" t="n">
        <f aca="false">C197/(B197+C197)*100</f>
        <v>90.4761904761905</v>
      </c>
      <c r="E197" s="6" t="n">
        <v>2</v>
      </c>
      <c r="F197" s="6" t="s">
        <v>1511</v>
      </c>
      <c r="G197" s="6" t="n">
        <v>11</v>
      </c>
      <c r="H197" s="6" t="s">
        <v>1512</v>
      </c>
      <c r="I197" s="6" t="n">
        <v>8</v>
      </c>
    </row>
    <row r="198" customFormat="false" ht="12.8" hidden="false" customHeight="false" outlineLevel="0" collapsed="false">
      <c r="A198" s="6" t="s">
        <v>1513</v>
      </c>
      <c r="B198" s="6" t="n">
        <v>2</v>
      </c>
      <c r="C198" s="6" t="n">
        <v>15</v>
      </c>
      <c r="D198" s="12" t="n">
        <f aca="false">C198/(B198+C198)*100</f>
        <v>88.2352941176471</v>
      </c>
      <c r="E198" s="6" t="n">
        <v>5</v>
      </c>
      <c r="F198" s="6" t="s">
        <v>1514</v>
      </c>
      <c r="G198" s="6" t="n">
        <v>5</v>
      </c>
      <c r="H198" s="6" t="s">
        <v>1515</v>
      </c>
      <c r="I198" s="6" t="n">
        <v>5</v>
      </c>
      <c r="J198" s="6" t="s">
        <v>1516</v>
      </c>
      <c r="K198" s="6" t="n">
        <v>2</v>
      </c>
      <c r="L198" s="6" t="s">
        <v>1517</v>
      </c>
      <c r="M198" s="6" t="n">
        <v>2</v>
      </c>
      <c r="N198" s="6" t="s">
        <v>1518</v>
      </c>
      <c r="O198" s="6" t="n">
        <v>1</v>
      </c>
    </row>
    <row r="199" customFormat="false" ht="12.8" hidden="false" customHeight="false" outlineLevel="0" collapsed="false">
      <c r="A199" s="6" t="s">
        <v>1519</v>
      </c>
      <c r="B199" s="6" t="n">
        <v>2</v>
      </c>
      <c r="C199" s="6" t="n">
        <v>11</v>
      </c>
      <c r="D199" s="12" t="n">
        <f aca="false">C199/(B199+C199)*100</f>
        <v>84.6153846153846</v>
      </c>
      <c r="E199" s="6" t="n">
        <v>4</v>
      </c>
      <c r="F199" s="6" t="s">
        <v>1520</v>
      </c>
      <c r="G199" s="6" t="n">
        <v>8</v>
      </c>
      <c r="H199" s="6" t="s">
        <v>1521</v>
      </c>
      <c r="I199" s="6" t="n">
        <v>1</v>
      </c>
      <c r="J199" s="6" t="s">
        <v>1522</v>
      </c>
      <c r="K199" s="6" t="n">
        <v>1</v>
      </c>
      <c r="L199" s="6" t="s">
        <v>1523</v>
      </c>
      <c r="M199" s="6" t="n">
        <v>1</v>
      </c>
    </row>
    <row r="200" customFormat="false" ht="12.8" hidden="false" customHeight="false" outlineLevel="0" collapsed="false">
      <c r="A200" s="6" t="s">
        <v>1524</v>
      </c>
      <c r="B200" s="6" t="n">
        <v>2</v>
      </c>
      <c r="C200" s="6" t="n">
        <v>9</v>
      </c>
      <c r="D200" s="12" t="n">
        <f aca="false">C200/(B200+C200)*100</f>
        <v>81.8181818181818</v>
      </c>
      <c r="E200" s="6" t="n">
        <v>1</v>
      </c>
      <c r="F200" s="6" t="s">
        <v>1525</v>
      </c>
      <c r="G200" s="6" t="n">
        <v>9</v>
      </c>
    </row>
    <row r="201" customFormat="false" ht="12.8" hidden="false" customHeight="false" outlineLevel="0" collapsed="false">
      <c r="A201" s="6" t="s">
        <v>1526</v>
      </c>
      <c r="B201" s="6" t="n">
        <v>2</v>
      </c>
      <c r="C201" s="6" t="n">
        <v>8</v>
      </c>
      <c r="D201" s="12" t="n">
        <f aca="false">C201/(B201+C201)*100</f>
        <v>80</v>
      </c>
      <c r="E201" s="6" t="n">
        <v>2</v>
      </c>
      <c r="F201" s="6" t="s">
        <v>1527</v>
      </c>
      <c r="G201" s="6" t="n">
        <v>7</v>
      </c>
      <c r="H201" s="6" t="s">
        <v>1528</v>
      </c>
      <c r="I201" s="6" t="n">
        <v>1</v>
      </c>
    </row>
    <row r="202" customFormat="false" ht="12.8" hidden="false" customHeight="false" outlineLevel="0" collapsed="false">
      <c r="A202" s="6" t="s">
        <v>1529</v>
      </c>
      <c r="B202" s="6" t="n">
        <v>2</v>
      </c>
      <c r="C202" s="6" t="n">
        <v>5</v>
      </c>
      <c r="D202" s="12" t="n">
        <f aca="false">C202/(B202+C202)*100</f>
        <v>71.4285714285714</v>
      </c>
      <c r="E202" s="6" t="n">
        <v>4</v>
      </c>
      <c r="F202" s="6" t="s">
        <v>1530</v>
      </c>
      <c r="G202" s="6" t="n">
        <v>2</v>
      </c>
      <c r="H202" s="6" t="s">
        <v>1531</v>
      </c>
      <c r="I202" s="6" t="n">
        <v>2</v>
      </c>
      <c r="J202" s="6" t="s">
        <v>1532</v>
      </c>
      <c r="K202" s="6" t="n">
        <v>1</v>
      </c>
      <c r="L202" s="6" t="s">
        <v>1533</v>
      </c>
      <c r="M202" s="6" t="n">
        <v>0</v>
      </c>
    </row>
    <row r="203" customFormat="false" ht="12.8" hidden="false" customHeight="false" outlineLevel="0" collapsed="false">
      <c r="A203" s="6" t="s">
        <v>1534</v>
      </c>
      <c r="B203" s="6" t="n">
        <v>2</v>
      </c>
      <c r="C203" s="6" t="n">
        <v>5</v>
      </c>
      <c r="D203" s="12" t="n">
        <f aca="false">C203/(B203+C203)*100</f>
        <v>71.4285714285714</v>
      </c>
      <c r="E203" s="6" t="n">
        <v>3</v>
      </c>
      <c r="F203" s="6" t="s">
        <v>1535</v>
      </c>
      <c r="G203" s="6" t="n">
        <v>3</v>
      </c>
      <c r="H203" s="6" t="s">
        <v>1536</v>
      </c>
      <c r="I203" s="6" t="n">
        <v>1</v>
      </c>
      <c r="J203" s="6" t="s">
        <v>1537</v>
      </c>
      <c r="K203" s="6" t="n">
        <v>1</v>
      </c>
    </row>
    <row r="204" customFormat="false" ht="12.8" hidden="false" customHeight="false" outlineLevel="0" collapsed="false">
      <c r="A204" s="6" t="s">
        <v>1538</v>
      </c>
      <c r="B204" s="6" t="n">
        <v>2</v>
      </c>
      <c r="C204" s="6" t="n">
        <v>4</v>
      </c>
      <c r="D204" s="12" t="n">
        <f aca="false">C204/(B204+C204)*100</f>
        <v>66.6666666666667</v>
      </c>
      <c r="E204" s="6" t="n">
        <v>4</v>
      </c>
      <c r="F204" s="6" t="s">
        <v>1539</v>
      </c>
      <c r="G204" s="6" t="n">
        <v>1</v>
      </c>
      <c r="H204" s="6" t="s">
        <v>1540</v>
      </c>
      <c r="I204" s="6" t="n">
        <v>1</v>
      </c>
      <c r="J204" s="6" t="s">
        <v>1541</v>
      </c>
      <c r="K204" s="6" t="n">
        <v>1</v>
      </c>
      <c r="L204" s="6" t="s">
        <v>1542</v>
      </c>
      <c r="M204" s="6" t="n">
        <v>1</v>
      </c>
    </row>
    <row r="205" customFormat="false" ht="12.8" hidden="false" customHeight="false" outlineLevel="0" collapsed="false">
      <c r="A205" s="6" t="s">
        <v>1543</v>
      </c>
      <c r="B205" s="6" t="n">
        <v>2</v>
      </c>
      <c r="C205" s="6" t="n">
        <v>4</v>
      </c>
      <c r="D205" s="12" t="n">
        <f aca="false">C205/(B205+C205)*100</f>
        <v>66.6666666666667</v>
      </c>
      <c r="E205" s="6" t="n">
        <v>3</v>
      </c>
      <c r="F205" s="6" t="s">
        <v>1544</v>
      </c>
      <c r="G205" s="6" t="n">
        <v>3</v>
      </c>
      <c r="H205" s="6" t="s">
        <v>1545</v>
      </c>
      <c r="I205" s="6" t="n">
        <v>1</v>
      </c>
      <c r="J205" s="6" t="s">
        <v>1546</v>
      </c>
      <c r="K205" s="6" t="n">
        <v>0</v>
      </c>
    </row>
    <row r="206" customFormat="false" ht="12.8" hidden="false" customHeight="false" outlineLevel="0" collapsed="false">
      <c r="A206" s="6" t="s">
        <v>1547</v>
      </c>
      <c r="B206" s="6" t="n">
        <v>2</v>
      </c>
      <c r="C206" s="6" t="n">
        <v>4</v>
      </c>
      <c r="D206" s="12" t="n">
        <f aca="false">C206/(B206+C206)*100</f>
        <v>66.6666666666667</v>
      </c>
      <c r="E206" s="6" t="n">
        <v>1</v>
      </c>
      <c r="F206" s="6" t="s">
        <v>1548</v>
      </c>
      <c r="G206" s="6" t="n">
        <v>4</v>
      </c>
    </row>
    <row r="207" customFormat="false" ht="12.8" hidden="false" customHeight="false" outlineLevel="0" collapsed="false">
      <c r="A207" s="6" t="s">
        <v>1549</v>
      </c>
      <c r="B207" s="6" t="n">
        <v>2</v>
      </c>
      <c r="C207" s="6" t="n">
        <v>3</v>
      </c>
      <c r="D207" s="12" t="n">
        <f aca="false">C207/(B207+C207)*100</f>
        <v>60</v>
      </c>
      <c r="E207" s="6" t="n">
        <v>4</v>
      </c>
      <c r="F207" s="6" t="s">
        <v>1550</v>
      </c>
      <c r="G207" s="6" t="n">
        <v>1</v>
      </c>
      <c r="H207" s="6" t="s">
        <v>1551</v>
      </c>
      <c r="I207" s="6" t="n">
        <v>1</v>
      </c>
      <c r="J207" s="6" t="s">
        <v>1552</v>
      </c>
      <c r="K207" s="6" t="n">
        <v>1</v>
      </c>
      <c r="L207" s="6" t="s">
        <v>1553</v>
      </c>
      <c r="M207" s="6" t="n">
        <v>0</v>
      </c>
    </row>
    <row r="208" customFormat="false" ht="12.8" hidden="false" customHeight="false" outlineLevel="0" collapsed="false">
      <c r="A208" s="6" t="s">
        <v>1554</v>
      </c>
      <c r="B208" s="6" t="n">
        <v>2</v>
      </c>
      <c r="C208" s="6" t="n">
        <v>3</v>
      </c>
      <c r="D208" s="12" t="n">
        <f aca="false">C208/(B208+C208)*100</f>
        <v>60</v>
      </c>
      <c r="E208" s="6" t="n">
        <v>1</v>
      </c>
      <c r="F208" s="6" t="s">
        <v>1555</v>
      </c>
      <c r="G208" s="6" t="n">
        <v>3</v>
      </c>
    </row>
    <row r="209" customFormat="false" ht="12.8" hidden="false" customHeight="false" outlineLevel="0" collapsed="false">
      <c r="A209" s="6" t="s">
        <v>1556</v>
      </c>
      <c r="B209" s="6" t="n">
        <v>2</v>
      </c>
      <c r="C209" s="6" t="n">
        <v>2</v>
      </c>
      <c r="D209" s="12" t="n">
        <f aca="false">C209/(B209+C209)*100</f>
        <v>50</v>
      </c>
      <c r="E209" s="6" t="n">
        <v>3</v>
      </c>
      <c r="F209" s="6" t="s">
        <v>1557</v>
      </c>
      <c r="G209" s="6" t="n">
        <v>1</v>
      </c>
      <c r="H209" s="6" t="s">
        <v>1558</v>
      </c>
      <c r="I209" s="6" t="n">
        <v>1</v>
      </c>
      <c r="J209" s="6" t="s">
        <v>1559</v>
      </c>
      <c r="K209" s="6" t="n">
        <v>0</v>
      </c>
    </row>
    <row r="210" customFormat="false" ht="12.8" hidden="false" customHeight="false" outlineLevel="0" collapsed="false">
      <c r="A210" s="6" t="s">
        <v>1560</v>
      </c>
      <c r="B210" s="6" t="n">
        <v>2</v>
      </c>
      <c r="C210" s="6" t="n">
        <v>2</v>
      </c>
      <c r="D210" s="12" t="n">
        <f aca="false">C210/(B210+C210)*100</f>
        <v>50</v>
      </c>
      <c r="E210" s="6" t="n">
        <v>1</v>
      </c>
      <c r="F210" s="6" t="s">
        <v>1561</v>
      </c>
      <c r="G210" s="6" t="n">
        <v>2</v>
      </c>
    </row>
    <row r="211" customFormat="false" ht="12.8" hidden="false" customHeight="false" outlineLevel="0" collapsed="false">
      <c r="A211" s="6" t="s">
        <v>1562</v>
      </c>
      <c r="B211" s="6" t="n">
        <v>2</v>
      </c>
      <c r="C211" s="6" t="n">
        <v>2</v>
      </c>
      <c r="D211" s="12" t="n">
        <f aca="false">C211/(B211+C211)*100</f>
        <v>50</v>
      </c>
      <c r="E211" s="6" t="n">
        <v>1</v>
      </c>
      <c r="F211" s="6" t="s">
        <v>1563</v>
      </c>
      <c r="G211" s="6" t="n">
        <v>2</v>
      </c>
    </row>
    <row r="212" customFormat="false" ht="12.8" hidden="false" customHeight="false" outlineLevel="0" collapsed="false">
      <c r="A212" s="6" t="s">
        <v>1564</v>
      </c>
      <c r="B212" s="6" t="n">
        <v>2</v>
      </c>
      <c r="C212" s="6" t="n">
        <v>1</v>
      </c>
      <c r="D212" s="12" t="n">
        <f aca="false">C212/(B212+C212)*100</f>
        <v>33.3333333333333</v>
      </c>
      <c r="E212" s="6" t="n">
        <v>1</v>
      </c>
      <c r="F212" s="6" t="s">
        <v>1565</v>
      </c>
      <c r="G212" s="6" t="n">
        <v>1</v>
      </c>
    </row>
    <row r="213" customFormat="false" ht="12.8" hidden="false" customHeight="false" outlineLevel="0" collapsed="false">
      <c r="A213" s="6" t="s">
        <v>1566</v>
      </c>
      <c r="B213" s="6" t="n">
        <v>2</v>
      </c>
      <c r="C213" s="6" t="n">
        <v>1</v>
      </c>
      <c r="D213" s="12" t="n">
        <f aca="false">C213/(B213+C213)*100</f>
        <v>33.3333333333333</v>
      </c>
      <c r="E213" s="6" t="n">
        <v>1</v>
      </c>
      <c r="F213" s="6" t="s">
        <v>1567</v>
      </c>
      <c r="G213" s="6" t="n">
        <v>1</v>
      </c>
    </row>
    <row r="214" customFormat="false" ht="12.8" hidden="false" customHeight="false" outlineLevel="0" collapsed="false">
      <c r="A214" s="6" t="s">
        <v>1568</v>
      </c>
      <c r="B214" s="6" t="n">
        <v>2</v>
      </c>
      <c r="C214" s="6" t="n">
        <v>1</v>
      </c>
      <c r="D214" s="12" t="n">
        <f aca="false">C214/(B214+C214)*100</f>
        <v>33.3333333333333</v>
      </c>
      <c r="E214" s="6" t="n">
        <v>1</v>
      </c>
      <c r="F214" s="6" t="s">
        <v>1569</v>
      </c>
      <c r="G214" s="6" t="n">
        <v>1</v>
      </c>
    </row>
    <row r="215" customFormat="false" ht="12.8" hidden="false" customHeight="false" outlineLevel="0" collapsed="false">
      <c r="A215" s="6" t="s">
        <v>1570</v>
      </c>
      <c r="B215" s="6" t="n">
        <v>2</v>
      </c>
      <c r="C215" s="6" t="n">
        <v>1</v>
      </c>
      <c r="D215" s="12" t="n">
        <f aca="false">C215/(B215+C215)*100</f>
        <v>33.3333333333333</v>
      </c>
      <c r="E215" s="6" t="n">
        <v>1</v>
      </c>
      <c r="F215" s="6" t="s">
        <v>1571</v>
      </c>
      <c r="G215" s="6" t="n">
        <v>1</v>
      </c>
    </row>
    <row r="216" customFormat="false" ht="12.8" hidden="false" customHeight="false" outlineLevel="0" collapsed="false">
      <c r="A216" s="6" t="s">
        <v>1572</v>
      </c>
      <c r="B216" s="6" t="n">
        <v>2</v>
      </c>
      <c r="C216" s="6" t="n">
        <v>1</v>
      </c>
      <c r="D216" s="12" t="n">
        <f aca="false">C216/(B216+C216)*100</f>
        <v>33.3333333333333</v>
      </c>
      <c r="E216" s="6" t="n">
        <v>1</v>
      </c>
      <c r="F216" s="6" t="s">
        <v>1573</v>
      </c>
      <c r="G216" s="6" t="n">
        <v>1</v>
      </c>
    </row>
    <row r="217" customFormat="false" ht="12.8" hidden="false" customHeight="false" outlineLevel="0" collapsed="false">
      <c r="A217" s="6" t="s">
        <v>1574</v>
      </c>
      <c r="B217" s="6" t="n">
        <v>2</v>
      </c>
      <c r="C217" s="6" t="n">
        <v>1</v>
      </c>
      <c r="D217" s="12" t="n">
        <f aca="false">C217/(B217+C217)*100</f>
        <v>33.3333333333333</v>
      </c>
      <c r="E217" s="6" t="n">
        <v>1</v>
      </c>
      <c r="F217" s="6" t="s">
        <v>1575</v>
      </c>
      <c r="G217" s="6" t="n">
        <v>1</v>
      </c>
    </row>
    <row r="218" customFormat="false" ht="12.8" hidden="false" customHeight="false" outlineLevel="0" collapsed="false">
      <c r="A218" s="6" t="s">
        <v>1576</v>
      </c>
      <c r="B218" s="6" t="n">
        <v>2</v>
      </c>
      <c r="C218" s="6" t="n">
        <v>1</v>
      </c>
      <c r="D218" s="12" t="n">
        <f aca="false">C218/(B218+C218)*100</f>
        <v>33.3333333333333</v>
      </c>
      <c r="E218" s="6" t="n">
        <v>1</v>
      </c>
      <c r="F218" s="6" t="s">
        <v>1577</v>
      </c>
      <c r="G218" s="6" t="n">
        <v>1</v>
      </c>
    </row>
    <row r="219" customFormat="false" ht="12.8" hidden="false" customHeight="false" outlineLevel="0" collapsed="false">
      <c r="A219" s="6" t="s">
        <v>1578</v>
      </c>
      <c r="B219" s="6" t="n">
        <v>2</v>
      </c>
      <c r="C219" s="6" t="n">
        <v>1</v>
      </c>
      <c r="D219" s="12" t="n">
        <f aca="false">C219/(B219+C219)*100</f>
        <v>33.3333333333333</v>
      </c>
      <c r="E219" s="6" t="n">
        <v>1</v>
      </c>
      <c r="F219" s="6" t="s">
        <v>1579</v>
      </c>
      <c r="G219" s="6" t="n">
        <v>1</v>
      </c>
    </row>
    <row r="220" customFormat="false" ht="12.8" hidden="false" customHeight="false" outlineLevel="0" collapsed="false">
      <c r="A220" s="6" t="s">
        <v>1580</v>
      </c>
      <c r="B220" s="6" t="n">
        <v>2</v>
      </c>
      <c r="C220" s="6" t="n">
        <v>1</v>
      </c>
      <c r="D220" s="12" t="n">
        <f aca="false">C220/(B220+C220)*100</f>
        <v>33.3333333333333</v>
      </c>
      <c r="E220" s="6" t="n">
        <v>1</v>
      </c>
      <c r="F220" s="6" t="s">
        <v>1581</v>
      </c>
      <c r="G220" s="6" t="n">
        <v>1</v>
      </c>
    </row>
    <row r="221" customFormat="false" ht="12.8" hidden="false" customHeight="false" outlineLevel="0" collapsed="false">
      <c r="A221" s="6" t="s">
        <v>1582</v>
      </c>
      <c r="B221" s="6" t="n">
        <v>2</v>
      </c>
      <c r="C221" s="6" t="n">
        <v>0</v>
      </c>
      <c r="D221" s="12" t="n">
        <f aca="false">C221/(B221+C221)*100</f>
        <v>0</v>
      </c>
      <c r="E221" s="6" t="n">
        <v>1</v>
      </c>
      <c r="F221" s="6" t="s">
        <v>1583</v>
      </c>
      <c r="G221" s="6" t="n">
        <v>0</v>
      </c>
    </row>
    <row r="222" customFormat="false" ht="12.8" hidden="false" customHeight="false" outlineLevel="0" collapsed="false">
      <c r="A222" s="6" t="s">
        <v>1584</v>
      </c>
      <c r="B222" s="6" t="n">
        <v>3</v>
      </c>
      <c r="C222" s="6" t="n">
        <v>282</v>
      </c>
      <c r="D222" s="12" t="n">
        <f aca="false">C222/(B222+C222)*100</f>
        <v>98.9473684210526</v>
      </c>
      <c r="E222" s="6" t="n">
        <v>10</v>
      </c>
      <c r="F222" s="6" t="s">
        <v>1585</v>
      </c>
      <c r="G222" s="6" t="n">
        <v>130</v>
      </c>
      <c r="H222" s="6" t="s">
        <v>1586</v>
      </c>
      <c r="I222" s="6" t="n">
        <v>98</v>
      </c>
      <c r="J222" s="6" t="s">
        <v>1587</v>
      </c>
      <c r="K222" s="6" t="n">
        <v>38</v>
      </c>
      <c r="L222" s="6" t="s">
        <v>1588</v>
      </c>
      <c r="M222" s="6" t="n">
        <v>4</v>
      </c>
      <c r="N222" s="6" t="s">
        <v>1589</v>
      </c>
      <c r="O222" s="6" t="n">
        <v>4</v>
      </c>
      <c r="P222" s="6" t="s">
        <v>1590</v>
      </c>
      <c r="Q222" s="6" t="n">
        <v>4</v>
      </c>
      <c r="R222" s="6" t="s">
        <v>1591</v>
      </c>
      <c r="S222" s="6" t="n">
        <v>2</v>
      </c>
      <c r="T222" s="6" t="s">
        <v>1592</v>
      </c>
      <c r="U222" s="6" t="n">
        <v>1</v>
      </c>
      <c r="V222" s="6" t="s">
        <v>1593</v>
      </c>
      <c r="W222" s="6" t="n">
        <v>1</v>
      </c>
      <c r="X222" s="6" t="s">
        <v>1594</v>
      </c>
      <c r="Y222" s="6" t="n">
        <v>0</v>
      </c>
    </row>
    <row r="223" customFormat="false" ht="12.8" hidden="false" customHeight="false" outlineLevel="0" collapsed="false">
      <c r="A223" s="6" t="s">
        <v>1595</v>
      </c>
      <c r="B223" s="6" t="n">
        <v>3</v>
      </c>
      <c r="C223" s="6" t="n">
        <v>104</v>
      </c>
      <c r="D223" s="12" t="n">
        <f aca="false">C223/(B223+C223)*100</f>
        <v>97.196261682243</v>
      </c>
      <c r="E223" s="6" t="n">
        <v>4</v>
      </c>
      <c r="F223" s="6" t="s">
        <v>1596</v>
      </c>
      <c r="G223" s="6" t="n">
        <v>85</v>
      </c>
      <c r="H223" s="6" t="s">
        <v>1597</v>
      </c>
      <c r="I223" s="6" t="n">
        <v>14</v>
      </c>
      <c r="J223" s="6" t="s">
        <v>1598</v>
      </c>
      <c r="K223" s="6" t="n">
        <v>4</v>
      </c>
      <c r="L223" s="6" t="s">
        <v>1599</v>
      </c>
      <c r="M223" s="6" t="n">
        <v>1</v>
      </c>
    </row>
    <row r="224" customFormat="false" ht="12.8" hidden="false" customHeight="false" outlineLevel="0" collapsed="false">
      <c r="A224" s="6" t="s">
        <v>1600</v>
      </c>
      <c r="B224" s="6" t="n">
        <v>3</v>
      </c>
      <c r="C224" s="6" t="n">
        <v>53</v>
      </c>
      <c r="D224" s="12" t="n">
        <f aca="false">C224/(B224+C224)*100</f>
        <v>94.6428571428571</v>
      </c>
      <c r="E224" s="6" t="n">
        <v>5</v>
      </c>
      <c r="F224" s="6" t="s">
        <v>1601</v>
      </c>
      <c r="G224" s="6" t="n">
        <v>29</v>
      </c>
      <c r="H224" s="6" t="s">
        <v>1602</v>
      </c>
      <c r="I224" s="6" t="n">
        <v>19</v>
      </c>
      <c r="J224" s="6" t="s">
        <v>1603</v>
      </c>
      <c r="K224" s="6" t="n">
        <v>3</v>
      </c>
      <c r="L224" s="6" t="s">
        <v>1604</v>
      </c>
      <c r="M224" s="6" t="n">
        <v>1</v>
      </c>
      <c r="N224" s="6" t="s">
        <v>1605</v>
      </c>
      <c r="O224" s="6" t="n">
        <v>1</v>
      </c>
    </row>
    <row r="225" customFormat="false" ht="12.8" hidden="false" customHeight="false" outlineLevel="0" collapsed="false">
      <c r="A225" s="6" t="s">
        <v>1606</v>
      </c>
      <c r="B225" s="6" t="n">
        <v>3</v>
      </c>
      <c r="C225" s="6" t="n">
        <v>53</v>
      </c>
      <c r="D225" s="12" t="n">
        <f aca="false">C225/(B225+C225)*100</f>
        <v>94.6428571428571</v>
      </c>
      <c r="E225" s="6" t="n">
        <v>3</v>
      </c>
      <c r="F225" s="6" t="s">
        <v>1607</v>
      </c>
      <c r="G225" s="6" t="n">
        <v>41</v>
      </c>
      <c r="H225" s="6" t="s">
        <v>1608</v>
      </c>
      <c r="I225" s="6" t="n">
        <v>12</v>
      </c>
      <c r="J225" s="6" t="s">
        <v>1609</v>
      </c>
      <c r="K225" s="6" t="n">
        <v>0</v>
      </c>
    </row>
    <row r="226" customFormat="false" ht="12.8" hidden="false" customHeight="false" outlineLevel="0" collapsed="false">
      <c r="A226" s="6" t="s">
        <v>1610</v>
      </c>
      <c r="B226" s="6" t="n">
        <v>3</v>
      </c>
      <c r="C226" s="6" t="n">
        <v>22</v>
      </c>
      <c r="D226" s="12" t="n">
        <f aca="false">C226/(B226+C226)*100</f>
        <v>88</v>
      </c>
      <c r="E226" s="6" t="n">
        <v>7</v>
      </c>
      <c r="F226" s="6" t="s">
        <v>1611</v>
      </c>
      <c r="G226" s="6" t="n">
        <v>16</v>
      </c>
      <c r="H226" s="6" t="s">
        <v>1612</v>
      </c>
      <c r="I226" s="6" t="n">
        <v>2</v>
      </c>
      <c r="J226" s="6" t="s">
        <v>1613</v>
      </c>
      <c r="K226" s="6" t="n">
        <v>1</v>
      </c>
      <c r="L226" s="6" t="s">
        <v>1614</v>
      </c>
      <c r="M226" s="6" t="n">
        <v>1</v>
      </c>
      <c r="N226" s="6" t="s">
        <v>1615</v>
      </c>
      <c r="O226" s="6" t="n">
        <v>1</v>
      </c>
      <c r="P226" s="6" t="s">
        <v>1616</v>
      </c>
      <c r="Q226" s="6" t="n">
        <v>1</v>
      </c>
      <c r="R226" s="6" t="s">
        <v>1617</v>
      </c>
      <c r="S226" s="6" t="n">
        <v>0</v>
      </c>
    </row>
    <row r="227" customFormat="false" ht="12.8" hidden="false" customHeight="false" outlineLevel="0" collapsed="false">
      <c r="A227" s="6" t="s">
        <v>1618</v>
      </c>
      <c r="B227" s="6" t="n">
        <v>3</v>
      </c>
      <c r="C227" s="6" t="n">
        <v>14</v>
      </c>
      <c r="D227" s="12" t="n">
        <f aca="false">C227/(B227+C227)*100</f>
        <v>82.3529411764706</v>
      </c>
      <c r="E227" s="6" t="n">
        <v>3</v>
      </c>
      <c r="F227" s="6" t="s">
        <v>1619</v>
      </c>
      <c r="G227" s="6" t="n">
        <v>10</v>
      </c>
      <c r="H227" s="6" t="s">
        <v>1620</v>
      </c>
      <c r="I227" s="6" t="n">
        <v>2</v>
      </c>
      <c r="J227" s="6" t="s">
        <v>1621</v>
      </c>
      <c r="K227" s="6" t="n">
        <v>2</v>
      </c>
    </row>
    <row r="228" customFormat="false" ht="12.8" hidden="false" customHeight="false" outlineLevel="0" collapsed="false">
      <c r="A228" s="6" t="s">
        <v>1622</v>
      </c>
      <c r="B228" s="6" t="n">
        <v>3</v>
      </c>
      <c r="C228" s="6" t="n">
        <v>10</v>
      </c>
      <c r="D228" s="12" t="n">
        <f aca="false">C228/(B228+C228)*100</f>
        <v>76.9230769230769</v>
      </c>
      <c r="E228" s="6" t="n">
        <v>3</v>
      </c>
      <c r="F228" s="6" t="s">
        <v>1623</v>
      </c>
      <c r="G228" s="6" t="n">
        <v>8</v>
      </c>
      <c r="H228" s="6" t="s">
        <v>1624</v>
      </c>
      <c r="I228" s="6" t="n">
        <v>1</v>
      </c>
      <c r="J228" s="6" t="s">
        <v>1625</v>
      </c>
      <c r="K228" s="6" t="n">
        <v>1</v>
      </c>
    </row>
    <row r="229" customFormat="false" ht="12.8" hidden="false" customHeight="false" outlineLevel="0" collapsed="false">
      <c r="A229" s="6" t="s">
        <v>1626</v>
      </c>
      <c r="B229" s="6" t="n">
        <v>3</v>
      </c>
      <c r="C229" s="6" t="n">
        <v>10</v>
      </c>
      <c r="D229" s="12" t="n">
        <f aca="false">C229/(B229+C229)*100</f>
        <v>76.9230769230769</v>
      </c>
      <c r="E229" s="6" t="n">
        <v>2</v>
      </c>
      <c r="F229" s="6" t="s">
        <v>1627</v>
      </c>
      <c r="G229" s="6" t="n">
        <v>7</v>
      </c>
      <c r="H229" s="6" t="s">
        <v>1628</v>
      </c>
      <c r="I229" s="6" t="n">
        <v>3</v>
      </c>
    </row>
    <row r="230" customFormat="false" ht="12.8" hidden="false" customHeight="false" outlineLevel="0" collapsed="false">
      <c r="A230" s="6" t="s">
        <v>1629</v>
      </c>
      <c r="B230" s="6" t="n">
        <v>3</v>
      </c>
      <c r="C230" s="6" t="n">
        <v>10</v>
      </c>
      <c r="D230" s="12" t="n">
        <f aca="false">C230/(B230+C230)*100</f>
        <v>76.9230769230769</v>
      </c>
      <c r="E230" s="6" t="n">
        <v>1</v>
      </c>
      <c r="F230" s="6" t="s">
        <v>1630</v>
      </c>
      <c r="G230" s="6" t="n">
        <v>10</v>
      </c>
    </row>
    <row r="231" customFormat="false" ht="12.8" hidden="false" customHeight="false" outlineLevel="0" collapsed="false">
      <c r="A231" s="6" t="s">
        <v>1631</v>
      </c>
      <c r="B231" s="6" t="n">
        <v>3</v>
      </c>
      <c r="C231" s="6" t="n">
        <v>7</v>
      </c>
      <c r="D231" s="12" t="n">
        <f aca="false">C231/(B231+C231)*100</f>
        <v>70</v>
      </c>
      <c r="E231" s="6" t="n">
        <v>5</v>
      </c>
      <c r="F231" s="6" t="s">
        <v>1632</v>
      </c>
      <c r="G231" s="6" t="n">
        <v>3</v>
      </c>
      <c r="H231" s="6" t="s">
        <v>1633</v>
      </c>
      <c r="I231" s="6" t="n">
        <v>1</v>
      </c>
      <c r="J231" s="6" t="s">
        <v>1634</v>
      </c>
      <c r="K231" s="6" t="n">
        <v>1</v>
      </c>
      <c r="L231" s="6" t="s">
        <v>1635</v>
      </c>
      <c r="M231" s="6" t="n">
        <v>1</v>
      </c>
      <c r="N231" s="6" t="s">
        <v>1636</v>
      </c>
      <c r="O231" s="6" t="n">
        <v>1</v>
      </c>
    </row>
    <row r="232" customFormat="false" ht="12.8" hidden="false" customHeight="false" outlineLevel="0" collapsed="false">
      <c r="A232" s="6" t="s">
        <v>1637</v>
      </c>
      <c r="B232" s="6" t="n">
        <v>3</v>
      </c>
      <c r="C232" s="6" t="n">
        <v>6</v>
      </c>
      <c r="D232" s="12" t="n">
        <f aca="false">C232/(B232+C232)*100</f>
        <v>66.6666666666667</v>
      </c>
      <c r="E232" s="6" t="n">
        <v>4</v>
      </c>
      <c r="F232" s="6" t="s">
        <v>1638</v>
      </c>
      <c r="G232" s="6" t="n">
        <v>3</v>
      </c>
      <c r="H232" s="6" t="s">
        <v>1639</v>
      </c>
      <c r="I232" s="6" t="n">
        <v>1</v>
      </c>
      <c r="J232" s="6" t="s">
        <v>1640</v>
      </c>
      <c r="K232" s="6" t="n">
        <v>1</v>
      </c>
      <c r="L232" s="6" t="s">
        <v>1641</v>
      </c>
      <c r="M232" s="6" t="n">
        <v>1</v>
      </c>
    </row>
    <row r="233" customFormat="false" ht="12.8" hidden="false" customHeight="false" outlineLevel="0" collapsed="false">
      <c r="A233" s="6" t="s">
        <v>1642</v>
      </c>
      <c r="B233" s="6" t="n">
        <v>3</v>
      </c>
      <c r="C233" s="6" t="n">
        <v>6</v>
      </c>
      <c r="D233" s="12" t="n">
        <f aca="false">C233/(B233+C233)*100</f>
        <v>66.6666666666667</v>
      </c>
      <c r="E233" s="6" t="n">
        <v>2</v>
      </c>
      <c r="F233" s="6" t="s">
        <v>1643</v>
      </c>
      <c r="G233" s="6" t="n">
        <v>3</v>
      </c>
      <c r="H233" s="6" t="s">
        <v>1644</v>
      </c>
      <c r="I233" s="6" t="n">
        <v>3</v>
      </c>
    </row>
    <row r="234" customFormat="false" ht="12.8" hidden="false" customHeight="false" outlineLevel="0" collapsed="false">
      <c r="A234" s="6" t="s">
        <v>1645</v>
      </c>
      <c r="B234" s="6" t="n">
        <v>3</v>
      </c>
      <c r="C234" s="6" t="n">
        <v>6</v>
      </c>
      <c r="D234" s="12" t="n">
        <f aca="false">C234/(B234+C234)*100</f>
        <v>66.6666666666667</v>
      </c>
      <c r="E234" s="6" t="n">
        <v>1</v>
      </c>
      <c r="F234" s="6" t="s">
        <v>1646</v>
      </c>
      <c r="G234" s="6" t="n">
        <v>6</v>
      </c>
    </row>
    <row r="235" customFormat="false" ht="12.8" hidden="false" customHeight="false" outlineLevel="0" collapsed="false">
      <c r="A235" s="6" t="s">
        <v>1647</v>
      </c>
      <c r="B235" s="6" t="n">
        <v>3</v>
      </c>
      <c r="C235" s="6" t="n">
        <v>5</v>
      </c>
      <c r="D235" s="12" t="n">
        <f aca="false">C235/(B235+C235)*100</f>
        <v>62.5</v>
      </c>
      <c r="E235" s="6" t="n">
        <v>3</v>
      </c>
      <c r="F235" s="6" t="s">
        <v>1648</v>
      </c>
      <c r="G235" s="6" t="n">
        <v>4</v>
      </c>
      <c r="H235" s="6" t="s">
        <v>1649</v>
      </c>
      <c r="I235" s="6" t="n">
        <v>1</v>
      </c>
      <c r="J235" s="6" t="s">
        <v>1650</v>
      </c>
      <c r="K235" s="6" t="n">
        <v>0</v>
      </c>
    </row>
    <row r="236" customFormat="false" ht="12.8" hidden="false" customHeight="false" outlineLevel="0" collapsed="false">
      <c r="A236" s="6" t="s">
        <v>1651</v>
      </c>
      <c r="B236" s="6" t="n">
        <v>3</v>
      </c>
      <c r="C236" s="6" t="n">
        <v>4</v>
      </c>
      <c r="D236" s="12" t="n">
        <f aca="false">C236/(B236+C236)*100</f>
        <v>57.1428571428571</v>
      </c>
      <c r="E236" s="6" t="n">
        <v>3</v>
      </c>
      <c r="F236" s="6" t="s">
        <v>1652</v>
      </c>
      <c r="G236" s="6" t="n">
        <v>2</v>
      </c>
      <c r="H236" s="6" t="s">
        <v>1653</v>
      </c>
      <c r="I236" s="6" t="n">
        <v>1</v>
      </c>
      <c r="J236" s="6" t="s">
        <v>1654</v>
      </c>
      <c r="K236" s="6" t="n">
        <v>1</v>
      </c>
    </row>
    <row r="237" customFormat="false" ht="12.8" hidden="false" customHeight="false" outlineLevel="0" collapsed="false">
      <c r="A237" s="6" t="s">
        <v>1655</v>
      </c>
      <c r="B237" s="6" t="n">
        <v>3</v>
      </c>
      <c r="C237" s="6" t="n">
        <v>4</v>
      </c>
      <c r="D237" s="12" t="n">
        <f aca="false">C237/(B237+C237)*100</f>
        <v>57.1428571428571</v>
      </c>
      <c r="E237" s="6" t="n">
        <v>1</v>
      </c>
      <c r="F237" s="6" t="s">
        <v>1656</v>
      </c>
      <c r="G237" s="6" t="n">
        <v>4</v>
      </c>
    </row>
    <row r="238" customFormat="false" ht="12.8" hidden="false" customHeight="false" outlineLevel="0" collapsed="false">
      <c r="A238" s="6" t="s">
        <v>1657</v>
      </c>
      <c r="B238" s="6" t="n">
        <v>3</v>
      </c>
      <c r="C238" s="6" t="n">
        <v>3</v>
      </c>
      <c r="D238" s="12" t="n">
        <f aca="false">C238/(B238+C238)*100</f>
        <v>50</v>
      </c>
      <c r="E238" s="6" t="n">
        <v>2</v>
      </c>
      <c r="F238" s="6" t="s">
        <v>1658</v>
      </c>
      <c r="G238" s="6" t="n">
        <v>2</v>
      </c>
      <c r="H238" s="6" t="s">
        <v>1659</v>
      </c>
      <c r="I238" s="6" t="n">
        <v>1</v>
      </c>
    </row>
    <row r="239" customFormat="false" ht="12.8" hidden="false" customHeight="false" outlineLevel="0" collapsed="false">
      <c r="A239" s="6" t="s">
        <v>1660</v>
      </c>
      <c r="B239" s="6" t="n">
        <v>3</v>
      </c>
      <c r="C239" s="6" t="n">
        <v>3</v>
      </c>
      <c r="D239" s="12" t="n">
        <f aca="false">C239/(B239+C239)*100</f>
        <v>50</v>
      </c>
      <c r="E239" s="6" t="n">
        <v>1</v>
      </c>
      <c r="F239" s="6" t="s">
        <v>1661</v>
      </c>
      <c r="G239" s="6" t="n">
        <v>3</v>
      </c>
    </row>
    <row r="240" customFormat="false" ht="12.8" hidden="false" customHeight="false" outlineLevel="0" collapsed="false">
      <c r="A240" s="6" t="s">
        <v>1662</v>
      </c>
      <c r="B240" s="6" t="n">
        <v>3</v>
      </c>
      <c r="C240" s="6" t="n">
        <v>2</v>
      </c>
      <c r="D240" s="12" t="n">
        <f aca="false">C240/(B240+C240)*100</f>
        <v>40</v>
      </c>
      <c r="E240" s="6" t="n">
        <v>3</v>
      </c>
      <c r="F240" s="6" t="s">
        <v>1663</v>
      </c>
      <c r="G240" s="6" t="n">
        <v>2</v>
      </c>
      <c r="H240" s="6" t="s">
        <v>1664</v>
      </c>
      <c r="I240" s="6" t="n">
        <v>0</v>
      </c>
      <c r="J240" s="6" t="s">
        <v>1665</v>
      </c>
      <c r="K240" s="6" t="n">
        <v>0</v>
      </c>
    </row>
    <row r="241" customFormat="false" ht="12.8" hidden="false" customHeight="false" outlineLevel="0" collapsed="false">
      <c r="A241" s="6" t="s">
        <v>1666</v>
      </c>
      <c r="B241" s="6" t="n">
        <v>3</v>
      </c>
      <c r="C241" s="6" t="n">
        <v>2</v>
      </c>
      <c r="D241" s="12" t="n">
        <f aca="false">C241/(B241+C241)*100</f>
        <v>40</v>
      </c>
      <c r="E241" s="6" t="n">
        <v>1</v>
      </c>
      <c r="F241" s="6" t="s">
        <v>1667</v>
      </c>
      <c r="G241" s="6" t="n">
        <v>2</v>
      </c>
    </row>
    <row r="242" customFormat="false" ht="12.8" hidden="false" customHeight="false" outlineLevel="0" collapsed="false">
      <c r="A242" s="6" t="s">
        <v>1668</v>
      </c>
      <c r="B242" s="6" t="n">
        <v>3</v>
      </c>
      <c r="C242" s="6" t="n">
        <v>2</v>
      </c>
      <c r="D242" s="12" t="n">
        <f aca="false">C242/(B242+C242)*100</f>
        <v>40</v>
      </c>
      <c r="E242" s="6" t="n">
        <v>1</v>
      </c>
      <c r="F242" s="6" t="s">
        <v>1669</v>
      </c>
      <c r="G242" s="6" t="n">
        <v>2</v>
      </c>
    </row>
    <row r="243" customFormat="false" ht="12.8" hidden="false" customHeight="false" outlineLevel="0" collapsed="false">
      <c r="A243" s="6" t="s">
        <v>1670</v>
      </c>
      <c r="B243" s="6" t="n">
        <v>3</v>
      </c>
      <c r="C243" s="6" t="n">
        <v>1</v>
      </c>
      <c r="D243" s="12" t="n">
        <f aca="false">C243/(B243+C243)*100</f>
        <v>25</v>
      </c>
      <c r="E243" s="6" t="n">
        <v>1</v>
      </c>
      <c r="F243" s="6" t="s">
        <v>1671</v>
      </c>
      <c r="G243" s="6" t="n">
        <v>1</v>
      </c>
    </row>
    <row r="244" customFormat="false" ht="12.8" hidden="false" customHeight="false" outlineLevel="0" collapsed="false">
      <c r="A244" s="6" t="s">
        <v>1672</v>
      </c>
      <c r="B244" s="6" t="n">
        <v>3</v>
      </c>
      <c r="C244" s="6" t="n">
        <v>1</v>
      </c>
      <c r="D244" s="12" t="n">
        <f aca="false">C244/(B244+C244)*100</f>
        <v>25</v>
      </c>
      <c r="E244" s="6" t="n">
        <v>1</v>
      </c>
      <c r="F244" s="6" t="s">
        <v>1673</v>
      </c>
      <c r="G244" s="6" t="n">
        <v>1</v>
      </c>
    </row>
    <row r="245" customFormat="false" ht="12.8" hidden="false" customHeight="false" outlineLevel="0" collapsed="false">
      <c r="A245" s="6" t="s">
        <v>1674</v>
      </c>
      <c r="B245" s="6" t="n">
        <v>3</v>
      </c>
      <c r="C245" s="6" t="n">
        <v>1</v>
      </c>
      <c r="D245" s="12" t="n">
        <f aca="false">C245/(B245+C245)*100</f>
        <v>25</v>
      </c>
      <c r="E245" s="6" t="n">
        <v>1</v>
      </c>
      <c r="F245" s="6" t="s">
        <v>1675</v>
      </c>
      <c r="G245" s="6" t="n">
        <v>1</v>
      </c>
    </row>
    <row r="246" customFormat="false" ht="12.8" hidden="false" customHeight="false" outlineLevel="0" collapsed="false">
      <c r="A246" s="6" t="s">
        <v>1676</v>
      </c>
      <c r="B246" s="6" t="n">
        <v>3</v>
      </c>
      <c r="C246" s="6" t="n">
        <v>1</v>
      </c>
      <c r="D246" s="12" t="n">
        <f aca="false">C246/(B246+C246)*100</f>
        <v>25</v>
      </c>
      <c r="E246" s="6" t="n">
        <v>1</v>
      </c>
      <c r="F246" s="6" t="s">
        <v>1677</v>
      </c>
      <c r="G246" s="6" t="n">
        <v>1</v>
      </c>
    </row>
    <row r="247" customFormat="false" ht="12.8" hidden="false" customHeight="false" outlineLevel="0" collapsed="false">
      <c r="A247" s="6" t="s">
        <v>1678</v>
      </c>
      <c r="B247" s="6" t="n">
        <v>3</v>
      </c>
      <c r="C247" s="6" t="n">
        <v>1</v>
      </c>
      <c r="D247" s="12" t="n">
        <f aca="false">C247/(B247+C247)*100</f>
        <v>25</v>
      </c>
      <c r="E247" s="6" t="n">
        <v>1</v>
      </c>
      <c r="F247" s="6" t="s">
        <v>1679</v>
      </c>
      <c r="G247" s="6" t="n">
        <v>1</v>
      </c>
    </row>
    <row r="248" customFormat="false" ht="12.8" hidden="false" customHeight="false" outlineLevel="0" collapsed="false">
      <c r="A248" s="6" t="s">
        <v>1680</v>
      </c>
      <c r="B248" s="6" t="n">
        <v>3</v>
      </c>
      <c r="C248" s="6" t="n">
        <v>1</v>
      </c>
      <c r="D248" s="12" t="n">
        <f aca="false">C248/(B248+C248)*100</f>
        <v>25</v>
      </c>
      <c r="E248" s="6" t="n">
        <v>1</v>
      </c>
      <c r="F248" s="6" t="s">
        <v>1681</v>
      </c>
      <c r="G248" s="6" t="n">
        <v>1</v>
      </c>
    </row>
    <row r="249" customFormat="false" ht="12.8" hidden="false" customHeight="false" outlineLevel="0" collapsed="false">
      <c r="A249" s="6" t="s">
        <v>1682</v>
      </c>
      <c r="B249" s="6" t="n">
        <v>3</v>
      </c>
      <c r="C249" s="6" t="n">
        <v>1</v>
      </c>
      <c r="D249" s="12" t="n">
        <f aca="false">C249/(B249+C249)*100</f>
        <v>25</v>
      </c>
      <c r="E249" s="6" t="n">
        <v>1</v>
      </c>
      <c r="F249" s="6" t="s">
        <v>1683</v>
      </c>
      <c r="G249" s="6" t="n">
        <v>1</v>
      </c>
    </row>
    <row r="250" customFormat="false" ht="12.8" hidden="false" customHeight="false" outlineLevel="0" collapsed="false">
      <c r="A250" s="6" t="s">
        <v>1684</v>
      </c>
      <c r="B250" s="6" t="n">
        <v>3</v>
      </c>
      <c r="C250" s="6" t="n">
        <v>1</v>
      </c>
      <c r="D250" s="12" t="n">
        <f aca="false">C250/(B250+C250)*100</f>
        <v>25</v>
      </c>
      <c r="E250" s="6" t="n">
        <v>1</v>
      </c>
      <c r="F250" s="6" t="s">
        <v>1685</v>
      </c>
      <c r="G250" s="6" t="n">
        <v>1</v>
      </c>
    </row>
    <row r="251" customFormat="false" ht="12.8" hidden="false" customHeight="false" outlineLevel="0" collapsed="false">
      <c r="A251" s="6" t="s">
        <v>1686</v>
      </c>
      <c r="B251" s="6" t="n">
        <v>3</v>
      </c>
      <c r="C251" s="6" t="n">
        <v>1</v>
      </c>
      <c r="D251" s="12" t="n">
        <f aca="false">C251/(B251+C251)*100</f>
        <v>25</v>
      </c>
      <c r="E251" s="6" t="n">
        <v>1</v>
      </c>
      <c r="F251" s="6" t="s">
        <v>1687</v>
      </c>
      <c r="G251" s="6" t="n">
        <v>1</v>
      </c>
    </row>
    <row r="252" customFormat="false" ht="12.8" hidden="false" customHeight="false" outlineLevel="0" collapsed="false">
      <c r="A252" s="6" t="s">
        <v>1688</v>
      </c>
      <c r="B252" s="6" t="n">
        <v>3</v>
      </c>
      <c r="C252" s="6" t="n">
        <v>0</v>
      </c>
      <c r="D252" s="12" t="n">
        <f aca="false">C252/(B252+C252)*100</f>
        <v>0</v>
      </c>
      <c r="E252" s="6" t="n">
        <v>2</v>
      </c>
      <c r="F252" s="6" t="s">
        <v>1689</v>
      </c>
      <c r="G252" s="6" t="n">
        <v>0</v>
      </c>
      <c r="H252" s="6" t="s">
        <v>1690</v>
      </c>
      <c r="I252" s="6" t="n">
        <v>0</v>
      </c>
    </row>
    <row r="253" customFormat="false" ht="12.8" hidden="false" customHeight="false" outlineLevel="0" collapsed="false">
      <c r="A253" s="6" t="s">
        <v>1691</v>
      </c>
      <c r="B253" s="6" t="n">
        <v>3</v>
      </c>
      <c r="C253" s="6" t="n">
        <v>0</v>
      </c>
      <c r="D253" s="12" t="n">
        <f aca="false">C253/(B253+C253)*100</f>
        <v>0</v>
      </c>
      <c r="E253" s="6" t="n">
        <v>1</v>
      </c>
      <c r="F253" s="6" t="s">
        <v>1692</v>
      </c>
      <c r="G253" s="6" t="n">
        <v>0</v>
      </c>
    </row>
    <row r="254" customFormat="false" ht="12.8" hidden="false" customHeight="false" outlineLevel="0" collapsed="false">
      <c r="A254" s="6" t="s">
        <v>1693</v>
      </c>
      <c r="B254" s="6" t="n">
        <v>4</v>
      </c>
      <c r="C254" s="6" t="n">
        <v>980</v>
      </c>
      <c r="D254" s="12" t="n">
        <f aca="false">C254/(B254+C254)*100</f>
        <v>99.5934959349593</v>
      </c>
      <c r="E254" s="6" t="n">
        <v>10</v>
      </c>
      <c r="F254" s="6" t="s">
        <v>1694</v>
      </c>
      <c r="G254" s="6" t="n">
        <v>347</v>
      </c>
      <c r="H254" s="6" t="s">
        <v>1695</v>
      </c>
      <c r="I254" s="6" t="n">
        <v>282</v>
      </c>
      <c r="J254" s="6" t="s">
        <v>1696</v>
      </c>
      <c r="K254" s="6" t="n">
        <v>223</v>
      </c>
      <c r="L254" s="6" t="s">
        <v>1697</v>
      </c>
      <c r="M254" s="6" t="n">
        <v>65</v>
      </c>
      <c r="N254" s="6" t="s">
        <v>1698</v>
      </c>
      <c r="O254" s="6" t="n">
        <v>46</v>
      </c>
      <c r="P254" s="6" t="s">
        <v>1699</v>
      </c>
      <c r="Q254" s="6" t="n">
        <v>7</v>
      </c>
      <c r="R254" s="6" t="s">
        <v>1700</v>
      </c>
      <c r="S254" s="6" t="n">
        <v>5</v>
      </c>
      <c r="T254" s="6" t="s">
        <v>1701</v>
      </c>
      <c r="U254" s="6" t="n">
        <v>4</v>
      </c>
      <c r="V254" s="6" t="s">
        <v>1702</v>
      </c>
      <c r="W254" s="6" t="n">
        <v>1</v>
      </c>
      <c r="X254" s="6" t="s">
        <v>1703</v>
      </c>
      <c r="Y254" s="6" t="n">
        <v>0</v>
      </c>
    </row>
    <row r="255" customFormat="false" ht="12.8" hidden="false" customHeight="false" outlineLevel="0" collapsed="false">
      <c r="A255" s="6" t="s">
        <v>1704</v>
      </c>
      <c r="B255" s="6" t="n">
        <v>4</v>
      </c>
      <c r="C255" s="6" t="n">
        <v>154</v>
      </c>
      <c r="D255" s="12" t="n">
        <f aca="false">C255/(B255+C255)*100</f>
        <v>97.4683544303798</v>
      </c>
      <c r="E255" s="6" t="n">
        <v>13</v>
      </c>
      <c r="F255" s="6" t="s">
        <v>1705</v>
      </c>
      <c r="G255" s="6" t="n">
        <v>109</v>
      </c>
      <c r="H255" s="6" t="s">
        <v>1706</v>
      </c>
      <c r="I255" s="6" t="n">
        <v>17</v>
      </c>
      <c r="J255" s="6" t="s">
        <v>1707</v>
      </c>
      <c r="K255" s="6" t="n">
        <v>7</v>
      </c>
      <c r="L255" s="6" t="s">
        <v>1708</v>
      </c>
      <c r="M255" s="6" t="n">
        <v>6</v>
      </c>
      <c r="N255" s="6" t="s">
        <v>1709</v>
      </c>
      <c r="O255" s="6" t="n">
        <v>5</v>
      </c>
      <c r="P255" s="6" t="s">
        <v>1710</v>
      </c>
      <c r="Q255" s="6" t="n">
        <v>4</v>
      </c>
      <c r="R255" s="6" t="s">
        <v>1711</v>
      </c>
      <c r="S255" s="6" t="n">
        <v>1</v>
      </c>
      <c r="T255" s="6" t="s">
        <v>1712</v>
      </c>
      <c r="U255" s="6" t="n">
        <v>1</v>
      </c>
      <c r="V255" s="6" t="s">
        <v>1713</v>
      </c>
      <c r="W255" s="6" t="n">
        <v>1</v>
      </c>
      <c r="X255" s="6" t="s">
        <v>1714</v>
      </c>
      <c r="Y255" s="6" t="n">
        <v>1</v>
      </c>
      <c r="Z255" s="6" t="s">
        <v>1715</v>
      </c>
      <c r="AA255" s="6" t="n">
        <v>1</v>
      </c>
      <c r="AB255" s="6" t="s">
        <v>1716</v>
      </c>
      <c r="AC255" s="6" t="n">
        <v>1</v>
      </c>
      <c r="AD255" s="6" t="s">
        <v>1717</v>
      </c>
      <c r="AE255" s="6" t="n">
        <v>0</v>
      </c>
    </row>
    <row r="256" customFormat="false" ht="12.8" hidden="false" customHeight="false" outlineLevel="0" collapsed="false">
      <c r="A256" s="6" t="s">
        <v>1718</v>
      </c>
      <c r="B256" s="6" t="n">
        <v>4</v>
      </c>
      <c r="C256" s="6" t="n">
        <v>121</v>
      </c>
      <c r="D256" s="12" t="n">
        <f aca="false">C256/(B256+C256)*100</f>
        <v>96.8</v>
      </c>
      <c r="E256" s="6" t="n">
        <v>3</v>
      </c>
      <c r="F256" s="6" t="s">
        <v>1719</v>
      </c>
      <c r="G256" s="6" t="n">
        <v>117</v>
      </c>
      <c r="H256" s="6" t="s">
        <v>1720</v>
      </c>
      <c r="I256" s="6" t="n">
        <v>3</v>
      </c>
      <c r="J256" s="6" t="s">
        <v>1721</v>
      </c>
      <c r="K256" s="6" t="n">
        <v>1</v>
      </c>
    </row>
    <row r="257" customFormat="false" ht="12.8" hidden="false" customHeight="false" outlineLevel="0" collapsed="false">
      <c r="A257" s="6" t="s">
        <v>1722</v>
      </c>
      <c r="B257" s="6" t="n">
        <v>4</v>
      </c>
      <c r="C257" s="6" t="n">
        <v>95</v>
      </c>
      <c r="D257" s="12" t="n">
        <f aca="false">C257/(B257+C257)*100</f>
        <v>95.959595959596</v>
      </c>
      <c r="E257" s="6" t="n">
        <v>1</v>
      </c>
      <c r="F257" s="6" t="s">
        <v>1723</v>
      </c>
      <c r="G257" s="6" t="n">
        <v>95</v>
      </c>
    </row>
    <row r="258" customFormat="false" ht="12.8" hidden="false" customHeight="false" outlineLevel="0" collapsed="false">
      <c r="A258" s="6" t="s">
        <v>1724</v>
      </c>
      <c r="B258" s="6" t="n">
        <v>4</v>
      </c>
      <c r="C258" s="6" t="n">
        <v>81</v>
      </c>
      <c r="D258" s="12" t="n">
        <f aca="false">C258/(B258+C258)*100</f>
        <v>95.2941176470588</v>
      </c>
      <c r="E258" s="6" t="n">
        <v>7</v>
      </c>
      <c r="F258" s="6" t="s">
        <v>1725</v>
      </c>
      <c r="G258" s="6" t="n">
        <v>54</v>
      </c>
      <c r="H258" s="6" t="s">
        <v>1726</v>
      </c>
      <c r="I258" s="6" t="n">
        <v>20</v>
      </c>
      <c r="J258" s="6" t="s">
        <v>1727</v>
      </c>
      <c r="K258" s="6" t="n">
        <v>2</v>
      </c>
      <c r="L258" s="6" t="s">
        <v>1728</v>
      </c>
      <c r="M258" s="6" t="n">
        <v>2</v>
      </c>
      <c r="N258" s="6" t="s">
        <v>1729</v>
      </c>
      <c r="O258" s="6" t="n">
        <v>2</v>
      </c>
      <c r="P258" s="6" t="s">
        <v>1730</v>
      </c>
      <c r="Q258" s="6" t="n">
        <v>1</v>
      </c>
      <c r="R258" s="6" t="s">
        <v>1731</v>
      </c>
      <c r="S258" s="6" t="n">
        <v>0</v>
      </c>
    </row>
    <row r="259" customFormat="false" ht="12.8" hidden="false" customHeight="false" outlineLevel="0" collapsed="false">
      <c r="A259" s="6" t="s">
        <v>1732</v>
      </c>
      <c r="B259" s="6" t="n">
        <v>4</v>
      </c>
      <c r="C259" s="6" t="n">
        <v>73</v>
      </c>
      <c r="D259" s="12" t="n">
        <f aca="false">C259/(B259+C259)*100</f>
        <v>94.8051948051948</v>
      </c>
      <c r="E259" s="6" t="n">
        <v>2</v>
      </c>
      <c r="F259" s="6" t="s">
        <v>1733</v>
      </c>
      <c r="G259" s="6" t="n">
        <v>50</v>
      </c>
      <c r="H259" s="6" t="s">
        <v>1734</v>
      </c>
      <c r="I259" s="6" t="n">
        <v>23</v>
      </c>
    </row>
    <row r="260" customFormat="false" ht="12.8" hidden="false" customHeight="false" outlineLevel="0" collapsed="false">
      <c r="A260" s="6" t="s">
        <v>1735</v>
      </c>
      <c r="B260" s="6" t="n">
        <v>4</v>
      </c>
      <c r="C260" s="6" t="n">
        <v>34</v>
      </c>
      <c r="D260" s="12" t="n">
        <f aca="false">C260/(B260+C260)*100</f>
        <v>89.4736842105263</v>
      </c>
      <c r="E260" s="6" t="n">
        <v>11</v>
      </c>
      <c r="F260" s="6" t="s">
        <v>1736</v>
      </c>
      <c r="G260" s="6" t="n">
        <v>7</v>
      </c>
      <c r="H260" s="6" t="s">
        <v>1737</v>
      </c>
      <c r="I260" s="6" t="n">
        <v>5</v>
      </c>
      <c r="J260" s="6" t="s">
        <v>1738</v>
      </c>
      <c r="K260" s="6" t="n">
        <v>5</v>
      </c>
      <c r="L260" s="6" t="s">
        <v>1739</v>
      </c>
      <c r="M260" s="6" t="n">
        <v>5</v>
      </c>
      <c r="N260" s="6" t="s">
        <v>1740</v>
      </c>
      <c r="O260" s="6" t="n">
        <v>4</v>
      </c>
      <c r="P260" s="6" t="s">
        <v>1741</v>
      </c>
      <c r="Q260" s="6" t="n">
        <v>3</v>
      </c>
      <c r="R260" s="6" t="s">
        <v>1742</v>
      </c>
      <c r="S260" s="6" t="n">
        <v>1</v>
      </c>
      <c r="T260" s="6" t="s">
        <v>1743</v>
      </c>
      <c r="U260" s="6" t="n">
        <v>1</v>
      </c>
      <c r="V260" s="6" t="s">
        <v>1744</v>
      </c>
      <c r="W260" s="6" t="n">
        <v>1</v>
      </c>
      <c r="X260" s="6" t="s">
        <v>1745</v>
      </c>
      <c r="Y260" s="6" t="n">
        <v>1</v>
      </c>
      <c r="Z260" s="6" t="s">
        <v>1746</v>
      </c>
      <c r="AA260" s="6" t="n">
        <v>1</v>
      </c>
    </row>
    <row r="261" customFormat="false" ht="12.8" hidden="false" customHeight="false" outlineLevel="0" collapsed="false">
      <c r="A261" s="6" t="s">
        <v>1747</v>
      </c>
      <c r="B261" s="6" t="n">
        <v>4</v>
      </c>
      <c r="C261" s="6" t="n">
        <v>10</v>
      </c>
      <c r="D261" s="12" t="n">
        <f aca="false">C261/(B261+C261)*100</f>
        <v>71.4285714285714</v>
      </c>
      <c r="E261" s="6" t="n">
        <v>7</v>
      </c>
      <c r="F261" s="6" t="s">
        <v>1748</v>
      </c>
      <c r="G261" s="6" t="n">
        <v>3</v>
      </c>
      <c r="H261" s="6" t="s">
        <v>1749</v>
      </c>
      <c r="I261" s="6" t="n">
        <v>3</v>
      </c>
      <c r="J261" s="6" t="s">
        <v>1750</v>
      </c>
      <c r="K261" s="6" t="n">
        <v>2</v>
      </c>
      <c r="L261" s="6" t="s">
        <v>1751</v>
      </c>
      <c r="M261" s="6" t="n">
        <v>1</v>
      </c>
      <c r="N261" s="6" t="s">
        <v>1752</v>
      </c>
      <c r="O261" s="6" t="n">
        <v>1</v>
      </c>
      <c r="P261" s="6" t="s">
        <v>1753</v>
      </c>
      <c r="Q261" s="6" t="n">
        <v>0</v>
      </c>
      <c r="R261" s="6" t="s">
        <v>1754</v>
      </c>
      <c r="S261" s="6" t="n">
        <v>0</v>
      </c>
    </row>
    <row r="262" customFormat="false" ht="12.8" hidden="false" customHeight="false" outlineLevel="0" collapsed="false">
      <c r="A262" s="6" t="s">
        <v>1755</v>
      </c>
      <c r="B262" s="6" t="n">
        <v>4</v>
      </c>
      <c r="C262" s="6" t="n">
        <v>9</v>
      </c>
      <c r="D262" s="12" t="n">
        <f aca="false">C262/(B262+C262)*100</f>
        <v>69.2307692307692</v>
      </c>
      <c r="E262" s="6" t="n">
        <v>6</v>
      </c>
      <c r="F262" s="6" t="s">
        <v>1756</v>
      </c>
      <c r="G262" s="6" t="n">
        <v>4</v>
      </c>
      <c r="H262" s="6" t="s">
        <v>1757</v>
      </c>
      <c r="I262" s="6" t="n">
        <v>3</v>
      </c>
      <c r="J262" s="6" t="s">
        <v>1758</v>
      </c>
      <c r="K262" s="6" t="n">
        <v>1</v>
      </c>
      <c r="L262" s="6" t="s">
        <v>1759</v>
      </c>
      <c r="M262" s="6" t="n">
        <v>1</v>
      </c>
      <c r="N262" s="6" t="s">
        <v>1760</v>
      </c>
      <c r="O262" s="6" t="n">
        <v>0</v>
      </c>
      <c r="P262" s="6" t="s">
        <v>1761</v>
      </c>
      <c r="Q262" s="6" t="n">
        <v>0</v>
      </c>
    </row>
    <row r="263" customFormat="false" ht="12.8" hidden="false" customHeight="false" outlineLevel="0" collapsed="false">
      <c r="A263" s="6" t="s">
        <v>1762</v>
      </c>
      <c r="B263" s="6" t="n">
        <v>4</v>
      </c>
      <c r="C263" s="6" t="n">
        <v>7</v>
      </c>
      <c r="D263" s="12" t="n">
        <f aca="false">C263/(B263+C263)*100</f>
        <v>63.6363636363636</v>
      </c>
      <c r="E263" s="6" t="n">
        <v>5</v>
      </c>
      <c r="F263" s="6" t="s">
        <v>1763</v>
      </c>
      <c r="G263" s="6" t="n">
        <v>4</v>
      </c>
      <c r="H263" s="6" t="s">
        <v>1764</v>
      </c>
      <c r="I263" s="6" t="n">
        <v>2</v>
      </c>
      <c r="J263" s="6" t="s">
        <v>1765</v>
      </c>
      <c r="K263" s="6" t="n">
        <v>1</v>
      </c>
      <c r="L263" s="6" t="s">
        <v>1766</v>
      </c>
      <c r="M263" s="6" t="n">
        <v>0</v>
      </c>
      <c r="N263" s="6" t="s">
        <v>1767</v>
      </c>
      <c r="O263" s="6" t="n">
        <v>0</v>
      </c>
    </row>
    <row r="264" customFormat="false" ht="12.8" hidden="false" customHeight="false" outlineLevel="0" collapsed="false">
      <c r="A264" s="6" t="s">
        <v>1768</v>
      </c>
      <c r="B264" s="6" t="n">
        <v>4</v>
      </c>
      <c r="C264" s="6" t="n">
        <v>5</v>
      </c>
      <c r="D264" s="12" t="n">
        <f aca="false">C264/(B264+C264)*100</f>
        <v>55.5555555555556</v>
      </c>
      <c r="E264" s="6" t="n">
        <v>2</v>
      </c>
      <c r="F264" s="6" t="s">
        <v>1769</v>
      </c>
      <c r="G264" s="6" t="n">
        <v>3</v>
      </c>
      <c r="H264" s="6" t="s">
        <v>1770</v>
      </c>
      <c r="I264" s="6" t="n">
        <v>2</v>
      </c>
    </row>
    <row r="265" customFormat="false" ht="12.8" hidden="false" customHeight="false" outlineLevel="0" collapsed="false">
      <c r="A265" s="6" t="s">
        <v>1771</v>
      </c>
      <c r="B265" s="6" t="n">
        <v>4</v>
      </c>
      <c r="C265" s="6" t="n">
        <v>4</v>
      </c>
      <c r="D265" s="12" t="n">
        <f aca="false">C265/(B265+C265)*100</f>
        <v>50</v>
      </c>
      <c r="E265" s="6" t="n">
        <v>1</v>
      </c>
      <c r="F265" s="6" t="s">
        <v>1772</v>
      </c>
      <c r="G265" s="6" t="n">
        <v>4</v>
      </c>
    </row>
    <row r="266" customFormat="false" ht="12.8" hidden="false" customHeight="false" outlineLevel="0" collapsed="false">
      <c r="A266" s="6" t="s">
        <v>1773</v>
      </c>
      <c r="B266" s="6" t="n">
        <v>4</v>
      </c>
      <c r="C266" s="6" t="n">
        <v>3</v>
      </c>
      <c r="D266" s="12" t="n">
        <f aca="false">C266/(B266+C266)*100</f>
        <v>42.8571428571429</v>
      </c>
      <c r="E266" s="6" t="n">
        <v>3</v>
      </c>
      <c r="F266" s="6" t="s">
        <v>1774</v>
      </c>
      <c r="G266" s="6" t="n">
        <v>1</v>
      </c>
      <c r="H266" s="6" t="s">
        <v>1775</v>
      </c>
      <c r="I266" s="6" t="n">
        <v>1</v>
      </c>
      <c r="J266" s="6" t="s">
        <v>1776</v>
      </c>
      <c r="K266" s="6" t="n">
        <v>1</v>
      </c>
    </row>
    <row r="267" customFormat="false" ht="12.8" hidden="false" customHeight="false" outlineLevel="0" collapsed="false">
      <c r="A267" s="6" t="s">
        <v>1777</v>
      </c>
      <c r="B267" s="6" t="n">
        <v>4</v>
      </c>
      <c r="C267" s="6" t="n">
        <v>3</v>
      </c>
      <c r="D267" s="12" t="n">
        <f aca="false">C267/(B267+C267)*100</f>
        <v>42.8571428571429</v>
      </c>
      <c r="E267" s="6" t="n">
        <v>2</v>
      </c>
      <c r="F267" s="6" t="s">
        <v>1778</v>
      </c>
      <c r="G267" s="6" t="n">
        <v>2</v>
      </c>
      <c r="H267" s="6" t="s">
        <v>1779</v>
      </c>
      <c r="I267" s="6" t="n">
        <v>1</v>
      </c>
    </row>
    <row r="268" customFormat="false" ht="12.8" hidden="false" customHeight="false" outlineLevel="0" collapsed="false">
      <c r="A268" s="6" t="s">
        <v>1780</v>
      </c>
      <c r="B268" s="6" t="n">
        <v>4</v>
      </c>
      <c r="C268" s="6" t="n">
        <v>2</v>
      </c>
      <c r="D268" s="12" t="n">
        <f aca="false">C268/(B268+C268)*100</f>
        <v>33.3333333333333</v>
      </c>
      <c r="E268" s="6" t="n">
        <v>1</v>
      </c>
      <c r="F268" s="6" t="s">
        <v>1781</v>
      </c>
      <c r="G268" s="6" t="n">
        <v>2</v>
      </c>
    </row>
    <row r="269" customFormat="false" ht="12.8" hidden="false" customHeight="false" outlineLevel="0" collapsed="false">
      <c r="A269" s="6" t="s">
        <v>1782</v>
      </c>
      <c r="B269" s="6" t="n">
        <v>4</v>
      </c>
      <c r="C269" s="6" t="n">
        <v>2</v>
      </c>
      <c r="D269" s="12" t="n">
        <f aca="false">C269/(B269+C269)*100</f>
        <v>33.3333333333333</v>
      </c>
      <c r="E269" s="6" t="n">
        <v>1</v>
      </c>
      <c r="F269" s="6" t="s">
        <v>1783</v>
      </c>
      <c r="G269" s="6" t="n">
        <v>2</v>
      </c>
    </row>
    <row r="270" customFormat="false" ht="12.8" hidden="false" customHeight="false" outlineLevel="0" collapsed="false">
      <c r="A270" s="6" t="s">
        <v>1784</v>
      </c>
      <c r="B270" s="6" t="n">
        <v>4</v>
      </c>
      <c r="C270" s="6" t="n">
        <v>1</v>
      </c>
      <c r="D270" s="12" t="n">
        <f aca="false">C270/(B270+C270)*100</f>
        <v>20</v>
      </c>
      <c r="E270" s="6" t="n">
        <v>4</v>
      </c>
      <c r="F270" s="6" t="s">
        <v>1785</v>
      </c>
      <c r="G270" s="6" t="n">
        <v>1</v>
      </c>
      <c r="H270" s="6" t="s">
        <v>1786</v>
      </c>
      <c r="I270" s="6" t="n">
        <v>0</v>
      </c>
      <c r="J270" s="6" t="s">
        <v>1787</v>
      </c>
      <c r="K270" s="6" t="n">
        <v>0</v>
      </c>
      <c r="L270" s="6" t="s">
        <v>1788</v>
      </c>
      <c r="M270" s="6" t="n">
        <v>0</v>
      </c>
    </row>
    <row r="271" customFormat="false" ht="12.8" hidden="false" customHeight="false" outlineLevel="0" collapsed="false">
      <c r="A271" s="6" t="s">
        <v>1789</v>
      </c>
      <c r="B271" s="6" t="n">
        <v>4</v>
      </c>
      <c r="C271" s="6" t="n">
        <v>1</v>
      </c>
      <c r="D271" s="12" t="n">
        <f aca="false">C271/(B271+C271)*100</f>
        <v>20</v>
      </c>
      <c r="E271" s="6" t="n">
        <v>1</v>
      </c>
      <c r="F271" s="6" t="s">
        <v>1790</v>
      </c>
      <c r="G271" s="6" t="n">
        <v>1</v>
      </c>
    </row>
    <row r="272" customFormat="false" ht="12.8" hidden="false" customHeight="false" outlineLevel="0" collapsed="false">
      <c r="A272" s="6" t="s">
        <v>1791</v>
      </c>
      <c r="B272" s="6" t="n">
        <v>4</v>
      </c>
      <c r="C272" s="6" t="n">
        <v>1</v>
      </c>
      <c r="D272" s="12" t="n">
        <f aca="false">C272/(B272+C272)*100</f>
        <v>20</v>
      </c>
      <c r="E272" s="6" t="n">
        <v>1</v>
      </c>
      <c r="F272" s="6" t="s">
        <v>1792</v>
      </c>
      <c r="G272" s="6" t="n">
        <v>1</v>
      </c>
    </row>
    <row r="273" customFormat="false" ht="12.8" hidden="false" customHeight="false" outlineLevel="0" collapsed="false">
      <c r="A273" s="6" t="s">
        <v>1793</v>
      </c>
      <c r="B273" s="6" t="n">
        <v>4</v>
      </c>
      <c r="C273" s="6" t="n">
        <v>1</v>
      </c>
      <c r="D273" s="12" t="n">
        <f aca="false">C273/(B273+C273)*100</f>
        <v>20</v>
      </c>
      <c r="E273" s="6" t="n">
        <v>1</v>
      </c>
      <c r="F273" s="6" t="s">
        <v>1794</v>
      </c>
      <c r="G273" s="6" t="n">
        <v>1</v>
      </c>
    </row>
    <row r="274" customFormat="false" ht="12.8" hidden="false" customHeight="false" outlineLevel="0" collapsed="false">
      <c r="A274" s="6" t="s">
        <v>1795</v>
      </c>
      <c r="B274" s="6" t="n">
        <v>4</v>
      </c>
      <c r="C274" s="6" t="n">
        <v>1</v>
      </c>
      <c r="D274" s="12" t="n">
        <f aca="false">C274/(B274+C274)*100</f>
        <v>20</v>
      </c>
      <c r="E274" s="6" t="n">
        <v>1</v>
      </c>
      <c r="F274" s="6" t="s">
        <v>1796</v>
      </c>
      <c r="G274" s="6" t="n">
        <v>1</v>
      </c>
    </row>
    <row r="275" customFormat="false" ht="12.8" hidden="false" customHeight="false" outlineLevel="0" collapsed="false">
      <c r="A275" s="6" t="s">
        <v>1797</v>
      </c>
      <c r="B275" s="6" t="n">
        <v>4</v>
      </c>
      <c r="C275" s="6" t="n">
        <v>1</v>
      </c>
      <c r="D275" s="12" t="n">
        <f aca="false">C275/(B275+C275)*100</f>
        <v>20</v>
      </c>
      <c r="E275" s="6" t="n">
        <v>1</v>
      </c>
      <c r="F275" s="6" t="s">
        <v>1798</v>
      </c>
      <c r="G275" s="6" t="n">
        <v>1</v>
      </c>
    </row>
    <row r="276" customFormat="false" ht="12.8" hidden="false" customHeight="false" outlineLevel="0" collapsed="false">
      <c r="A276" s="6" t="s">
        <v>1799</v>
      </c>
      <c r="B276" s="6" t="n">
        <v>4</v>
      </c>
      <c r="C276" s="6" t="n">
        <v>1</v>
      </c>
      <c r="D276" s="12" t="n">
        <f aca="false">C276/(B276+C276)*100</f>
        <v>20</v>
      </c>
      <c r="E276" s="6" t="n">
        <v>1</v>
      </c>
      <c r="F276" s="6" t="s">
        <v>1800</v>
      </c>
      <c r="G276" s="6" t="n">
        <v>1</v>
      </c>
    </row>
    <row r="277" customFormat="false" ht="12.8" hidden="false" customHeight="false" outlineLevel="0" collapsed="false">
      <c r="A277" s="6" t="s">
        <v>1801</v>
      </c>
      <c r="B277" s="6" t="n">
        <v>4</v>
      </c>
      <c r="C277" s="6" t="n">
        <v>0</v>
      </c>
      <c r="D277" s="12" t="n">
        <f aca="false">C277/(B277+C277)*100</f>
        <v>0</v>
      </c>
      <c r="E277" s="6" t="n">
        <v>1</v>
      </c>
      <c r="F277" s="6" t="s">
        <v>1802</v>
      </c>
      <c r="G277" s="6" t="n">
        <v>0</v>
      </c>
    </row>
    <row r="278" customFormat="false" ht="12.8" hidden="false" customHeight="false" outlineLevel="0" collapsed="false">
      <c r="A278" s="6" t="s">
        <v>1803</v>
      </c>
      <c r="B278" s="6" t="n">
        <v>4</v>
      </c>
      <c r="C278" s="6" t="n">
        <v>0</v>
      </c>
      <c r="D278" s="12" t="n">
        <f aca="false">C278/(B278+C278)*100</f>
        <v>0</v>
      </c>
      <c r="E278" s="6" t="n">
        <v>1</v>
      </c>
      <c r="F278" s="6" t="s">
        <v>1804</v>
      </c>
      <c r="G278" s="6" t="n">
        <v>0</v>
      </c>
    </row>
    <row r="279" customFormat="false" ht="12.8" hidden="false" customHeight="false" outlineLevel="0" collapsed="false">
      <c r="A279" s="6" t="s">
        <v>1805</v>
      </c>
      <c r="B279" s="6" t="n">
        <v>4</v>
      </c>
      <c r="C279" s="6" t="n">
        <v>0</v>
      </c>
      <c r="D279" s="12" t="n">
        <f aca="false">C279/(B279+C279)*100</f>
        <v>0</v>
      </c>
      <c r="E279" s="6" t="n">
        <v>1</v>
      </c>
      <c r="F279" s="6" t="s">
        <v>1806</v>
      </c>
      <c r="G279" s="6" t="n">
        <v>0</v>
      </c>
    </row>
    <row r="280" customFormat="false" ht="12.8" hidden="false" customHeight="false" outlineLevel="0" collapsed="false">
      <c r="A280" s="6" t="s">
        <v>1807</v>
      </c>
      <c r="B280" s="6" t="n">
        <v>5</v>
      </c>
      <c r="C280" s="6" t="n">
        <v>385</v>
      </c>
      <c r="D280" s="12" t="n">
        <f aca="false">C280/(B280+C280)*100</f>
        <v>98.7179487179487</v>
      </c>
      <c r="E280" s="6" t="n">
        <v>13</v>
      </c>
      <c r="F280" s="6" t="s">
        <v>1808</v>
      </c>
      <c r="G280" s="6" t="n">
        <v>226</v>
      </c>
      <c r="H280" s="6" t="s">
        <v>1809</v>
      </c>
      <c r="I280" s="6" t="n">
        <v>108</v>
      </c>
      <c r="J280" s="6" t="s">
        <v>1810</v>
      </c>
      <c r="K280" s="6" t="n">
        <v>33</v>
      </c>
      <c r="L280" s="6" t="s">
        <v>1811</v>
      </c>
      <c r="M280" s="6" t="n">
        <v>7</v>
      </c>
      <c r="N280" s="6" t="s">
        <v>1812</v>
      </c>
      <c r="O280" s="6" t="n">
        <v>5</v>
      </c>
      <c r="P280" s="6" t="s">
        <v>1813</v>
      </c>
      <c r="Q280" s="6" t="n">
        <v>2</v>
      </c>
      <c r="R280" s="6" t="s">
        <v>1814</v>
      </c>
      <c r="S280" s="6" t="n">
        <v>1</v>
      </c>
      <c r="T280" s="6" t="s">
        <v>1815</v>
      </c>
      <c r="U280" s="6" t="n">
        <v>1</v>
      </c>
      <c r="V280" s="6" t="s">
        <v>1816</v>
      </c>
      <c r="W280" s="6" t="n">
        <v>1</v>
      </c>
      <c r="X280" s="6" t="s">
        <v>1817</v>
      </c>
      <c r="Y280" s="6" t="n">
        <v>1</v>
      </c>
      <c r="Z280" s="6" t="s">
        <v>1818</v>
      </c>
      <c r="AA280" s="6" t="n">
        <v>0</v>
      </c>
      <c r="AB280" s="6" t="s">
        <v>1819</v>
      </c>
      <c r="AC280" s="6" t="n">
        <v>0</v>
      </c>
      <c r="AD280" s="6" t="s">
        <v>1820</v>
      </c>
      <c r="AE280" s="6" t="n">
        <v>0</v>
      </c>
    </row>
    <row r="281" customFormat="false" ht="12.8" hidden="false" customHeight="false" outlineLevel="0" collapsed="false">
      <c r="A281" s="6" t="s">
        <v>1821</v>
      </c>
      <c r="B281" s="6" t="n">
        <v>5</v>
      </c>
      <c r="C281" s="6" t="n">
        <v>199</v>
      </c>
      <c r="D281" s="12" t="n">
        <f aca="false">C281/(B281+C281)*100</f>
        <v>97.5490196078431</v>
      </c>
      <c r="E281" s="6" t="n">
        <v>6</v>
      </c>
      <c r="F281" s="6" t="s">
        <v>1822</v>
      </c>
      <c r="G281" s="6" t="n">
        <v>73</v>
      </c>
      <c r="H281" s="6" t="s">
        <v>1823</v>
      </c>
      <c r="I281" s="6" t="n">
        <v>64</v>
      </c>
      <c r="J281" s="6" t="s">
        <v>1824</v>
      </c>
      <c r="K281" s="6" t="n">
        <v>49</v>
      </c>
      <c r="L281" s="6" t="s">
        <v>1825</v>
      </c>
      <c r="M281" s="6" t="n">
        <v>8</v>
      </c>
      <c r="N281" s="6" t="s">
        <v>1826</v>
      </c>
      <c r="O281" s="6" t="n">
        <v>4</v>
      </c>
      <c r="P281" s="6" t="s">
        <v>1827</v>
      </c>
      <c r="Q281" s="6" t="n">
        <v>1</v>
      </c>
    </row>
    <row r="282" customFormat="false" ht="12.8" hidden="false" customHeight="false" outlineLevel="0" collapsed="false">
      <c r="A282" s="6" t="s">
        <v>1828</v>
      </c>
      <c r="B282" s="6" t="n">
        <v>5</v>
      </c>
      <c r="C282" s="6" t="n">
        <v>140</v>
      </c>
      <c r="D282" s="12" t="n">
        <f aca="false">C282/(B282+C282)*100</f>
        <v>96.551724137931</v>
      </c>
      <c r="E282" s="6" t="n">
        <v>3</v>
      </c>
      <c r="F282" s="6" t="s">
        <v>1829</v>
      </c>
      <c r="G282" s="6" t="n">
        <v>113</v>
      </c>
      <c r="H282" s="6" t="s">
        <v>1830</v>
      </c>
      <c r="I282" s="6" t="n">
        <v>26</v>
      </c>
      <c r="J282" s="6" t="s">
        <v>1831</v>
      </c>
      <c r="K282" s="6" t="n">
        <v>1</v>
      </c>
    </row>
    <row r="283" customFormat="false" ht="12.8" hidden="false" customHeight="false" outlineLevel="0" collapsed="false">
      <c r="A283" s="6" t="s">
        <v>1832</v>
      </c>
      <c r="B283" s="6" t="n">
        <v>5</v>
      </c>
      <c r="C283" s="6" t="n">
        <v>129</v>
      </c>
      <c r="D283" s="12" t="n">
        <f aca="false">C283/(B283+C283)*100</f>
        <v>96.2686567164179</v>
      </c>
      <c r="E283" s="6" t="n">
        <v>4</v>
      </c>
      <c r="F283" s="6" t="s">
        <v>1833</v>
      </c>
      <c r="G283" s="6" t="n">
        <v>120</v>
      </c>
      <c r="H283" s="6" t="s">
        <v>1834</v>
      </c>
      <c r="I283" s="6" t="n">
        <v>8</v>
      </c>
      <c r="J283" s="6" t="s">
        <v>1835</v>
      </c>
      <c r="K283" s="6" t="n">
        <v>1</v>
      </c>
      <c r="L283" s="6" t="s">
        <v>1836</v>
      </c>
      <c r="M283" s="6" t="n">
        <v>0</v>
      </c>
    </row>
    <row r="284" customFormat="false" ht="12.8" hidden="false" customHeight="false" outlineLevel="0" collapsed="false">
      <c r="A284" s="6" t="s">
        <v>1837</v>
      </c>
      <c r="B284" s="6" t="n">
        <v>5</v>
      </c>
      <c r="C284" s="6" t="n">
        <v>67</v>
      </c>
      <c r="D284" s="12" t="n">
        <f aca="false">C284/(B284+C284)*100</f>
        <v>93.0555555555556</v>
      </c>
      <c r="E284" s="6" t="n">
        <v>3</v>
      </c>
      <c r="F284" s="6" t="s">
        <v>1838</v>
      </c>
      <c r="G284" s="6" t="n">
        <v>54</v>
      </c>
      <c r="H284" s="6" t="s">
        <v>1839</v>
      </c>
      <c r="I284" s="6" t="n">
        <v>12</v>
      </c>
      <c r="J284" s="6" t="s">
        <v>1840</v>
      </c>
      <c r="K284" s="6" t="n">
        <v>1</v>
      </c>
    </row>
    <row r="285" customFormat="false" ht="12.8" hidden="false" customHeight="false" outlineLevel="0" collapsed="false">
      <c r="A285" s="6" t="s">
        <v>1841</v>
      </c>
      <c r="B285" s="6" t="n">
        <v>5</v>
      </c>
      <c r="C285" s="6" t="n">
        <v>13</v>
      </c>
      <c r="D285" s="12" t="n">
        <f aca="false">C285/(B285+C285)*100</f>
        <v>72.2222222222222</v>
      </c>
      <c r="E285" s="6" t="n">
        <v>4</v>
      </c>
      <c r="F285" s="6" t="s">
        <v>1842</v>
      </c>
      <c r="G285" s="6" t="n">
        <v>7</v>
      </c>
      <c r="H285" s="6" t="s">
        <v>1843</v>
      </c>
      <c r="I285" s="6" t="n">
        <v>4</v>
      </c>
      <c r="J285" s="6" t="s">
        <v>1844</v>
      </c>
      <c r="K285" s="6" t="n">
        <v>1</v>
      </c>
      <c r="L285" s="6" t="s">
        <v>1845</v>
      </c>
      <c r="M285" s="6" t="n">
        <v>1</v>
      </c>
    </row>
    <row r="286" customFormat="false" ht="12.8" hidden="false" customHeight="false" outlineLevel="0" collapsed="false">
      <c r="A286" s="6" t="s">
        <v>1846</v>
      </c>
      <c r="B286" s="6" t="n">
        <v>5</v>
      </c>
      <c r="C286" s="6" t="n">
        <v>10</v>
      </c>
      <c r="D286" s="12" t="n">
        <f aca="false">C286/(B286+C286)*100</f>
        <v>66.6666666666667</v>
      </c>
      <c r="E286" s="6" t="n">
        <v>4</v>
      </c>
      <c r="F286" s="6" t="s">
        <v>1847</v>
      </c>
      <c r="G286" s="6" t="n">
        <v>6</v>
      </c>
      <c r="H286" s="6" t="s">
        <v>1848</v>
      </c>
      <c r="I286" s="6" t="n">
        <v>3</v>
      </c>
      <c r="J286" s="6" t="s">
        <v>1849</v>
      </c>
      <c r="K286" s="6" t="n">
        <v>1</v>
      </c>
      <c r="L286" s="6" t="s">
        <v>1850</v>
      </c>
      <c r="M286" s="6" t="n">
        <v>0</v>
      </c>
    </row>
    <row r="287" customFormat="false" ht="12.8" hidden="false" customHeight="false" outlineLevel="0" collapsed="false">
      <c r="A287" s="6" t="s">
        <v>1851</v>
      </c>
      <c r="B287" s="6" t="n">
        <v>5</v>
      </c>
      <c r="C287" s="6" t="n">
        <v>10</v>
      </c>
      <c r="D287" s="12" t="n">
        <f aca="false">C287/(B287+C287)*100</f>
        <v>66.6666666666667</v>
      </c>
      <c r="E287" s="6" t="n">
        <v>1</v>
      </c>
      <c r="F287" s="6" t="s">
        <v>1852</v>
      </c>
      <c r="G287" s="6" t="n">
        <v>10</v>
      </c>
    </row>
    <row r="288" customFormat="false" ht="12.8" hidden="false" customHeight="false" outlineLevel="0" collapsed="false">
      <c r="A288" s="6" t="s">
        <v>1853</v>
      </c>
      <c r="B288" s="6" t="n">
        <v>5</v>
      </c>
      <c r="C288" s="6" t="n">
        <v>9</v>
      </c>
      <c r="D288" s="12" t="n">
        <f aca="false">C288/(B288+C288)*100</f>
        <v>64.2857142857143</v>
      </c>
      <c r="E288" s="6" t="n">
        <v>3</v>
      </c>
      <c r="F288" s="6" t="s">
        <v>1854</v>
      </c>
      <c r="G288" s="6" t="n">
        <v>8</v>
      </c>
      <c r="H288" s="6" t="s">
        <v>1855</v>
      </c>
      <c r="I288" s="6" t="n">
        <v>1</v>
      </c>
      <c r="J288" s="6" t="s">
        <v>1856</v>
      </c>
      <c r="K288" s="6" t="n">
        <v>0</v>
      </c>
    </row>
    <row r="289" customFormat="false" ht="12.8" hidden="false" customHeight="false" outlineLevel="0" collapsed="false">
      <c r="A289" s="6" t="s">
        <v>1857</v>
      </c>
      <c r="B289" s="6" t="n">
        <v>5</v>
      </c>
      <c r="C289" s="6" t="n">
        <v>5</v>
      </c>
      <c r="D289" s="12" t="n">
        <f aca="false">C289/(B289+C289)*100</f>
        <v>50</v>
      </c>
      <c r="E289" s="6" t="n">
        <v>5</v>
      </c>
      <c r="F289" s="6" t="s">
        <v>1858</v>
      </c>
      <c r="G289" s="6" t="n">
        <v>3</v>
      </c>
      <c r="H289" s="6" t="s">
        <v>1859</v>
      </c>
      <c r="I289" s="6" t="n">
        <v>1</v>
      </c>
      <c r="J289" s="6" t="s">
        <v>1860</v>
      </c>
      <c r="K289" s="6" t="n">
        <v>1</v>
      </c>
      <c r="L289" s="6" t="s">
        <v>1861</v>
      </c>
      <c r="M289" s="6" t="n">
        <v>0</v>
      </c>
      <c r="N289" s="6" t="s">
        <v>1862</v>
      </c>
      <c r="O289" s="6" t="n">
        <v>0</v>
      </c>
    </row>
    <row r="290" customFormat="false" ht="12.8" hidden="false" customHeight="false" outlineLevel="0" collapsed="false">
      <c r="A290" s="6" t="s">
        <v>1863</v>
      </c>
      <c r="B290" s="6" t="n">
        <v>5</v>
      </c>
      <c r="C290" s="6" t="n">
        <v>5</v>
      </c>
      <c r="D290" s="12" t="n">
        <f aca="false">C290/(B290+C290)*100</f>
        <v>50</v>
      </c>
      <c r="E290" s="6" t="n">
        <v>1</v>
      </c>
      <c r="F290" s="6" t="s">
        <v>1864</v>
      </c>
      <c r="G290" s="6" t="n">
        <v>5</v>
      </c>
    </row>
    <row r="291" customFormat="false" ht="12.8" hidden="false" customHeight="false" outlineLevel="0" collapsed="false">
      <c r="A291" s="6" t="s">
        <v>1865</v>
      </c>
      <c r="B291" s="6" t="n">
        <v>5</v>
      </c>
      <c r="C291" s="6" t="n">
        <v>4</v>
      </c>
      <c r="D291" s="12" t="n">
        <f aca="false">C291/(B291+C291)*100</f>
        <v>44.4444444444444</v>
      </c>
      <c r="E291" s="6" t="n">
        <v>3</v>
      </c>
      <c r="F291" s="6" t="s">
        <v>1866</v>
      </c>
      <c r="G291" s="6" t="n">
        <v>2</v>
      </c>
      <c r="H291" s="6" t="s">
        <v>1867</v>
      </c>
      <c r="I291" s="6" t="n">
        <v>1</v>
      </c>
      <c r="J291" s="6" t="s">
        <v>1868</v>
      </c>
      <c r="K291" s="6" t="n">
        <v>1</v>
      </c>
    </row>
    <row r="292" customFormat="false" ht="12.8" hidden="false" customHeight="false" outlineLevel="0" collapsed="false">
      <c r="A292" s="6" t="s">
        <v>1869</v>
      </c>
      <c r="B292" s="6" t="n">
        <v>5</v>
      </c>
      <c r="C292" s="6" t="n">
        <v>4</v>
      </c>
      <c r="D292" s="12" t="n">
        <f aca="false">C292/(B292+C292)*100</f>
        <v>44.4444444444444</v>
      </c>
      <c r="E292" s="6" t="n">
        <v>2</v>
      </c>
      <c r="F292" s="6" t="s">
        <v>1870</v>
      </c>
      <c r="G292" s="6" t="n">
        <v>3</v>
      </c>
      <c r="H292" s="6" t="s">
        <v>1871</v>
      </c>
      <c r="I292" s="6" t="n">
        <v>1</v>
      </c>
    </row>
    <row r="293" customFormat="false" ht="12.8" hidden="false" customHeight="false" outlineLevel="0" collapsed="false">
      <c r="A293" s="6" t="s">
        <v>1872</v>
      </c>
      <c r="B293" s="6" t="n">
        <v>5</v>
      </c>
      <c r="C293" s="6" t="n">
        <v>4</v>
      </c>
      <c r="D293" s="12" t="n">
        <f aca="false">C293/(B293+C293)*100</f>
        <v>44.4444444444444</v>
      </c>
      <c r="E293" s="6" t="n">
        <v>2</v>
      </c>
      <c r="F293" s="6" t="s">
        <v>1873</v>
      </c>
      <c r="G293" s="6" t="n">
        <v>3</v>
      </c>
      <c r="H293" s="6" t="s">
        <v>1874</v>
      </c>
      <c r="I293" s="6" t="n">
        <v>1</v>
      </c>
    </row>
    <row r="294" customFormat="false" ht="12.8" hidden="false" customHeight="false" outlineLevel="0" collapsed="false">
      <c r="A294" s="6" t="s">
        <v>1875</v>
      </c>
      <c r="B294" s="6" t="n">
        <v>5</v>
      </c>
      <c r="C294" s="6" t="n">
        <v>3</v>
      </c>
      <c r="D294" s="12" t="n">
        <f aca="false">C294/(B294+C294)*100</f>
        <v>37.5</v>
      </c>
      <c r="E294" s="6" t="n">
        <v>2</v>
      </c>
      <c r="F294" s="6" t="s">
        <v>1876</v>
      </c>
      <c r="G294" s="6" t="n">
        <v>2</v>
      </c>
      <c r="H294" s="6" t="s">
        <v>1877</v>
      </c>
      <c r="I294" s="6" t="n">
        <v>1</v>
      </c>
    </row>
    <row r="295" customFormat="false" ht="12.8" hidden="false" customHeight="false" outlineLevel="0" collapsed="false">
      <c r="A295" s="6" t="s">
        <v>1878</v>
      </c>
      <c r="B295" s="6" t="n">
        <v>5</v>
      </c>
      <c r="C295" s="6" t="n">
        <v>2</v>
      </c>
      <c r="D295" s="12" t="n">
        <f aca="false">C295/(B295+C295)*100</f>
        <v>28.5714285714286</v>
      </c>
      <c r="E295" s="6" t="n">
        <v>2</v>
      </c>
      <c r="F295" s="6" t="s">
        <v>1879</v>
      </c>
      <c r="G295" s="6" t="n">
        <v>1</v>
      </c>
      <c r="H295" s="6" t="s">
        <v>1880</v>
      </c>
      <c r="I295" s="6" t="n">
        <v>1</v>
      </c>
    </row>
    <row r="296" customFormat="false" ht="12.8" hidden="false" customHeight="false" outlineLevel="0" collapsed="false">
      <c r="A296" s="6" t="s">
        <v>1881</v>
      </c>
      <c r="B296" s="6" t="n">
        <v>5</v>
      </c>
      <c r="C296" s="6" t="n">
        <v>2</v>
      </c>
      <c r="D296" s="12" t="n">
        <f aca="false">C296/(B296+C296)*100</f>
        <v>28.5714285714286</v>
      </c>
      <c r="E296" s="6" t="n">
        <v>2</v>
      </c>
      <c r="F296" s="6" t="s">
        <v>1882</v>
      </c>
      <c r="G296" s="6" t="n">
        <v>1</v>
      </c>
      <c r="H296" s="6" t="s">
        <v>1883</v>
      </c>
      <c r="I296" s="6" t="n">
        <v>1</v>
      </c>
    </row>
    <row r="297" customFormat="false" ht="12.8" hidden="false" customHeight="false" outlineLevel="0" collapsed="false">
      <c r="A297" s="6" t="s">
        <v>1884</v>
      </c>
      <c r="B297" s="6" t="n">
        <v>5</v>
      </c>
      <c r="C297" s="6" t="n">
        <v>2</v>
      </c>
      <c r="D297" s="12" t="n">
        <f aca="false">C297/(B297+C297)*100</f>
        <v>28.5714285714286</v>
      </c>
      <c r="E297" s="6" t="n">
        <v>2</v>
      </c>
      <c r="F297" s="6" t="s">
        <v>1885</v>
      </c>
      <c r="G297" s="6" t="n">
        <v>2</v>
      </c>
      <c r="H297" s="6" t="s">
        <v>1886</v>
      </c>
      <c r="I297" s="6" t="n">
        <v>0</v>
      </c>
    </row>
    <row r="298" customFormat="false" ht="12.8" hidden="false" customHeight="false" outlineLevel="0" collapsed="false">
      <c r="A298" s="6" t="s">
        <v>1887</v>
      </c>
      <c r="B298" s="6" t="n">
        <v>5</v>
      </c>
      <c r="C298" s="6" t="n">
        <v>2</v>
      </c>
      <c r="D298" s="12" t="n">
        <f aca="false">C298/(B298+C298)*100</f>
        <v>28.5714285714286</v>
      </c>
      <c r="E298" s="6" t="n">
        <v>2</v>
      </c>
      <c r="F298" s="6" t="s">
        <v>1888</v>
      </c>
      <c r="G298" s="6" t="n">
        <v>1</v>
      </c>
      <c r="H298" s="6" t="s">
        <v>1889</v>
      </c>
      <c r="I298" s="6" t="n">
        <v>1</v>
      </c>
    </row>
    <row r="299" customFormat="false" ht="12.8" hidden="false" customHeight="false" outlineLevel="0" collapsed="false">
      <c r="A299" s="6" t="s">
        <v>1890</v>
      </c>
      <c r="B299" s="6" t="n">
        <v>5</v>
      </c>
      <c r="C299" s="6" t="n">
        <v>2</v>
      </c>
      <c r="D299" s="12" t="n">
        <f aca="false">C299/(B299+C299)*100</f>
        <v>28.5714285714286</v>
      </c>
      <c r="E299" s="6" t="n">
        <v>2</v>
      </c>
      <c r="F299" s="6" t="s">
        <v>1891</v>
      </c>
      <c r="G299" s="6" t="n">
        <v>1</v>
      </c>
      <c r="H299" s="6" t="s">
        <v>1892</v>
      </c>
      <c r="I299" s="6" t="n">
        <v>1</v>
      </c>
    </row>
    <row r="300" customFormat="false" ht="12.8" hidden="false" customHeight="false" outlineLevel="0" collapsed="false">
      <c r="A300" s="6" t="s">
        <v>1893</v>
      </c>
      <c r="B300" s="6" t="n">
        <v>5</v>
      </c>
      <c r="C300" s="6" t="n">
        <v>2</v>
      </c>
      <c r="D300" s="12" t="n">
        <f aca="false">C300/(B300+C300)*100</f>
        <v>28.5714285714286</v>
      </c>
      <c r="E300" s="6" t="n">
        <v>2</v>
      </c>
      <c r="F300" s="6" t="s">
        <v>1894</v>
      </c>
      <c r="G300" s="6" t="n">
        <v>1</v>
      </c>
      <c r="H300" s="6" t="s">
        <v>1895</v>
      </c>
      <c r="I300" s="6" t="n">
        <v>1</v>
      </c>
    </row>
    <row r="301" customFormat="false" ht="12.8" hidden="false" customHeight="false" outlineLevel="0" collapsed="false">
      <c r="A301" s="6" t="s">
        <v>1896</v>
      </c>
      <c r="B301" s="6" t="n">
        <v>5</v>
      </c>
      <c r="C301" s="6" t="n">
        <v>2</v>
      </c>
      <c r="D301" s="12" t="n">
        <f aca="false">C301/(B301+C301)*100</f>
        <v>28.5714285714286</v>
      </c>
      <c r="E301" s="6" t="n">
        <v>1</v>
      </c>
      <c r="F301" s="6" t="s">
        <v>1897</v>
      </c>
      <c r="G301" s="6" t="n">
        <v>2</v>
      </c>
    </row>
    <row r="302" customFormat="false" ht="12.8" hidden="false" customHeight="false" outlineLevel="0" collapsed="false">
      <c r="A302" s="6" t="s">
        <v>1898</v>
      </c>
      <c r="B302" s="6" t="n">
        <v>5</v>
      </c>
      <c r="C302" s="6" t="n">
        <v>2</v>
      </c>
      <c r="D302" s="12" t="n">
        <f aca="false">C302/(B302+C302)*100</f>
        <v>28.5714285714286</v>
      </c>
      <c r="E302" s="6" t="n">
        <v>1</v>
      </c>
      <c r="F302" s="6" t="s">
        <v>1899</v>
      </c>
      <c r="G302" s="6" t="n">
        <v>2</v>
      </c>
    </row>
    <row r="303" customFormat="false" ht="12.8" hidden="false" customHeight="false" outlineLevel="0" collapsed="false">
      <c r="A303" s="6" t="s">
        <v>1900</v>
      </c>
      <c r="B303" s="6" t="n">
        <v>5</v>
      </c>
      <c r="C303" s="6" t="n">
        <v>2</v>
      </c>
      <c r="D303" s="12" t="n">
        <f aca="false">C303/(B303+C303)*100</f>
        <v>28.5714285714286</v>
      </c>
      <c r="E303" s="6" t="n">
        <v>1</v>
      </c>
      <c r="F303" s="6" t="s">
        <v>1901</v>
      </c>
      <c r="G303" s="6" t="n">
        <v>2</v>
      </c>
    </row>
    <row r="304" customFormat="false" ht="12.8" hidden="false" customHeight="false" outlineLevel="0" collapsed="false">
      <c r="A304" s="6" t="s">
        <v>1902</v>
      </c>
      <c r="B304" s="6" t="n">
        <v>5</v>
      </c>
      <c r="C304" s="6" t="n">
        <v>2</v>
      </c>
      <c r="D304" s="12" t="n">
        <f aca="false">C304/(B304+C304)*100</f>
        <v>28.5714285714286</v>
      </c>
      <c r="E304" s="6" t="n">
        <v>1</v>
      </c>
      <c r="F304" s="6" t="s">
        <v>1903</v>
      </c>
      <c r="G304" s="6" t="n">
        <v>2</v>
      </c>
    </row>
    <row r="305" customFormat="false" ht="12.8" hidden="false" customHeight="false" outlineLevel="0" collapsed="false">
      <c r="A305" s="6" t="s">
        <v>1904</v>
      </c>
      <c r="B305" s="6" t="n">
        <v>5</v>
      </c>
      <c r="C305" s="6" t="n">
        <v>1</v>
      </c>
      <c r="D305" s="12" t="n">
        <f aca="false">C305/(B305+C305)*100</f>
        <v>16.6666666666667</v>
      </c>
      <c r="E305" s="6" t="n">
        <v>3</v>
      </c>
      <c r="F305" s="6" t="s">
        <v>1905</v>
      </c>
      <c r="G305" s="6" t="n">
        <v>1</v>
      </c>
      <c r="H305" s="6" t="s">
        <v>1906</v>
      </c>
      <c r="I305" s="6" t="n">
        <v>0</v>
      </c>
      <c r="J305" s="6" t="s">
        <v>1907</v>
      </c>
      <c r="K305" s="6" t="n">
        <v>0</v>
      </c>
    </row>
    <row r="306" customFormat="false" ht="12.8" hidden="false" customHeight="false" outlineLevel="0" collapsed="false">
      <c r="A306" s="6" t="s">
        <v>1908</v>
      </c>
      <c r="B306" s="6" t="n">
        <v>5</v>
      </c>
      <c r="C306" s="6" t="n">
        <v>1</v>
      </c>
      <c r="D306" s="12" t="n">
        <f aca="false">C306/(B306+C306)*100</f>
        <v>16.6666666666667</v>
      </c>
      <c r="E306" s="6" t="n">
        <v>1</v>
      </c>
      <c r="F306" s="6" t="s">
        <v>1909</v>
      </c>
      <c r="G306" s="6" t="n">
        <v>1</v>
      </c>
    </row>
    <row r="307" customFormat="false" ht="12.8" hidden="false" customHeight="false" outlineLevel="0" collapsed="false">
      <c r="A307" s="6" t="s">
        <v>1910</v>
      </c>
      <c r="B307" s="6" t="n">
        <v>5</v>
      </c>
      <c r="C307" s="6" t="n">
        <v>1</v>
      </c>
      <c r="D307" s="12" t="n">
        <f aca="false">C307/(B307+C307)*100</f>
        <v>16.6666666666667</v>
      </c>
      <c r="E307" s="6" t="n">
        <v>1</v>
      </c>
      <c r="F307" s="6" t="s">
        <v>1911</v>
      </c>
      <c r="G307" s="6" t="n">
        <v>1</v>
      </c>
    </row>
    <row r="308" customFormat="false" ht="12.8" hidden="false" customHeight="false" outlineLevel="0" collapsed="false">
      <c r="A308" s="6" t="s">
        <v>1912</v>
      </c>
      <c r="B308" s="6" t="n">
        <v>5</v>
      </c>
      <c r="C308" s="6" t="n">
        <v>1</v>
      </c>
      <c r="D308" s="12" t="n">
        <f aca="false">C308/(B308+C308)*100</f>
        <v>16.6666666666667</v>
      </c>
      <c r="E308" s="6" t="n">
        <v>1</v>
      </c>
      <c r="F308" s="6" t="s">
        <v>1913</v>
      </c>
      <c r="G308" s="6" t="n">
        <v>1</v>
      </c>
    </row>
    <row r="309" customFormat="false" ht="12.8" hidden="false" customHeight="false" outlineLevel="0" collapsed="false">
      <c r="A309" s="6" t="s">
        <v>1914</v>
      </c>
      <c r="B309" s="6" t="n">
        <v>5</v>
      </c>
      <c r="C309" s="6" t="n">
        <v>1</v>
      </c>
      <c r="D309" s="12" t="n">
        <f aca="false">C309/(B309+C309)*100</f>
        <v>16.6666666666667</v>
      </c>
      <c r="E309" s="6" t="n">
        <v>1</v>
      </c>
      <c r="F309" s="6" t="s">
        <v>1915</v>
      </c>
      <c r="G309" s="6" t="n">
        <v>1</v>
      </c>
    </row>
    <row r="310" customFormat="false" ht="12.8" hidden="false" customHeight="false" outlineLevel="0" collapsed="false">
      <c r="A310" s="6" t="s">
        <v>1916</v>
      </c>
      <c r="B310" s="6" t="n">
        <v>5</v>
      </c>
      <c r="C310" s="6" t="n">
        <v>0</v>
      </c>
      <c r="D310" s="12" t="n">
        <f aca="false">C310/(B310+C310)*100</f>
        <v>0</v>
      </c>
      <c r="E310" s="6" t="n">
        <v>1</v>
      </c>
      <c r="F310" s="6" t="s">
        <v>1917</v>
      </c>
      <c r="G310" s="6" t="n">
        <v>0</v>
      </c>
    </row>
    <row r="311" customFormat="false" ht="12.8" hidden="false" customHeight="false" outlineLevel="0" collapsed="false">
      <c r="A311" s="6" t="s">
        <v>1918</v>
      </c>
      <c r="B311" s="6" t="n">
        <v>6</v>
      </c>
      <c r="C311" s="6" t="n">
        <v>42</v>
      </c>
      <c r="D311" s="12" t="n">
        <f aca="false">C311/(B311+C311)*100</f>
        <v>87.5</v>
      </c>
      <c r="E311" s="6" t="n">
        <v>11</v>
      </c>
      <c r="F311" s="6" t="s">
        <v>1919</v>
      </c>
      <c r="G311" s="6" t="n">
        <v>30</v>
      </c>
      <c r="H311" s="6" t="s">
        <v>1920</v>
      </c>
      <c r="I311" s="6" t="n">
        <v>4</v>
      </c>
      <c r="J311" s="6" t="s">
        <v>1921</v>
      </c>
      <c r="K311" s="6" t="n">
        <v>3</v>
      </c>
      <c r="L311" s="6" t="s">
        <v>1922</v>
      </c>
      <c r="M311" s="6" t="n">
        <v>2</v>
      </c>
      <c r="N311" s="6" t="s">
        <v>1923</v>
      </c>
      <c r="O311" s="6" t="n">
        <v>2</v>
      </c>
      <c r="P311" s="6" t="s">
        <v>1924</v>
      </c>
      <c r="Q311" s="6" t="n">
        <v>1</v>
      </c>
      <c r="R311" s="6" t="s">
        <v>1925</v>
      </c>
      <c r="S311" s="6" t="n">
        <v>0</v>
      </c>
      <c r="T311" s="6" t="s">
        <v>1926</v>
      </c>
      <c r="U311" s="6" t="n">
        <v>0</v>
      </c>
      <c r="V311" s="6" t="s">
        <v>1927</v>
      </c>
      <c r="W311" s="6" t="n">
        <v>0</v>
      </c>
      <c r="X311" s="6" t="s">
        <v>1928</v>
      </c>
      <c r="Y311" s="6" t="n">
        <v>0</v>
      </c>
      <c r="Z311" s="6" t="s">
        <v>1929</v>
      </c>
      <c r="AA311" s="6" t="n">
        <v>0</v>
      </c>
    </row>
    <row r="312" customFormat="false" ht="12.8" hidden="false" customHeight="false" outlineLevel="0" collapsed="false">
      <c r="A312" s="6" t="s">
        <v>1930</v>
      </c>
      <c r="B312" s="6" t="n">
        <v>6</v>
      </c>
      <c r="C312" s="6" t="n">
        <v>22</v>
      </c>
      <c r="D312" s="12" t="n">
        <f aca="false">C312/(B312+C312)*100</f>
        <v>78.5714285714286</v>
      </c>
      <c r="E312" s="6" t="n">
        <v>11</v>
      </c>
      <c r="F312" s="6" t="s">
        <v>1931</v>
      </c>
      <c r="G312" s="6" t="n">
        <v>5</v>
      </c>
      <c r="H312" s="6" t="s">
        <v>1932</v>
      </c>
      <c r="I312" s="6" t="n">
        <v>4</v>
      </c>
      <c r="J312" s="6" t="s">
        <v>1933</v>
      </c>
      <c r="K312" s="6" t="n">
        <v>4</v>
      </c>
      <c r="L312" s="6" t="s">
        <v>1934</v>
      </c>
      <c r="M312" s="6" t="n">
        <v>2</v>
      </c>
      <c r="N312" s="6" t="s">
        <v>1935</v>
      </c>
      <c r="O312" s="6" t="n">
        <v>2</v>
      </c>
      <c r="P312" s="6" t="s">
        <v>1936</v>
      </c>
      <c r="Q312" s="6" t="n">
        <v>1</v>
      </c>
      <c r="R312" s="6" t="s">
        <v>1937</v>
      </c>
      <c r="S312" s="6" t="n">
        <v>1</v>
      </c>
      <c r="T312" s="6" t="s">
        <v>1938</v>
      </c>
      <c r="U312" s="6" t="n">
        <v>1</v>
      </c>
      <c r="V312" s="6" t="s">
        <v>1939</v>
      </c>
      <c r="W312" s="6" t="n">
        <v>1</v>
      </c>
      <c r="X312" s="6" t="s">
        <v>1940</v>
      </c>
      <c r="Y312" s="6" t="n">
        <v>1</v>
      </c>
      <c r="Z312" s="6" t="s">
        <v>1941</v>
      </c>
      <c r="AA312" s="6" t="n">
        <v>0</v>
      </c>
    </row>
    <row r="313" customFormat="false" ht="12.8" hidden="false" customHeight="false" outlineLevel="0" collapsed="false">
      <c r="A313" s="6" t="s">
        <v>1942</v>
      </c>
      <c r="B313" s="6" t="n">
        <v>6</v>
      </c>
      <c r="C313" s="6" t="n">
        <v>17</v>
      </c>
      <c r="D313" s="12" t="n">
        <f aca="false">C313/(B313+C313)*100</f>
        <v>73.9130434782609</v>
      </c>
      <c r="E313" s="6" t="n">
        <v>6</v>
      </c>
      <c r="F313" s="6" t="s">
        <v>1943</v>
      </c>
      <c r="G313" s="6" t="n">
        <v>10</v>
      </c>
      <c r="H313" s="6" t="s">
        <v>1944</v>
      </c>
      <c r="I313" s="6" t="n">
        <v>3</v>
      </c>
      <c r="J313" s="6" t="s">
        <v>1945</v>
      </c>
      <c r="K313" s="6" t="n">
        <v>1</v>
      </c>
      <c r="L313" s="6" t="s">
        <v>1946</v>
      </c>
      <c r="M313" s="6" t="n">
        <v>1</v>
      </c>
      <c r="N313" s="6" t="s">
        <v>1947</v>
      </c>
      <c r="O313" s="6" t="n">
        <v>1</v>
      </c>
      <c r="P313" s="6" t="s">
        <v>1948</v>
      </c>
      <c r="Q313" s="6" t="n">
        <v>1</v>
      </c>
    </row>
    <row r="314" customFormat="false" ht="12.8" hidden="false" customHeight="false" outlineLevel="0" collapsed="false">
      <c r="A314" s="6" t="s">
        <v>1949</v>
      </c>
      <c r="B314" s="6" t="n">
        <v>6</v>
      </c>
      <c r="C314" s="6" t="n">
        <v>11</v>
      </c>
      <c r="D314" s="12" t="n">
        <f aca="false">C314/(B314+C314)*100</f>
        <v>64.7058823529412</v>
      </c>
      <c r="E314" s="6" t="n">
        <v>1</v>
      </c>
      <c r="F314" s="6" t="s">
        <v>1950</v>
      </c>
      <c r="G314" s="6" t="n">
        <v>11</v>
      </c>
    </row>
    <row r="315" customFormat="false" ht="12.8" hidden="false" customHeight="false" outlineLevel="0" collapsed="false">
      <c r="A315" s="6" t="s">
        <v>1951</v>
      </c>
      <c r="B315" s="6" t="n">
        <v>6</v>
      </c>
      <c r="C315" s="6" t="n">
        <v>10</v>
      </c>
      <c r="D315" s="12" t="n">
        <f aca="false">C315/(B315+C315)*100</f>
        <v>62.5</v>
      </c>
      <c r="E315" s="6" t="n">
        <v>1</v>
      </c>
      <c r="F315" s="6" t="s">
        <v>1952</v>
      </c>
      <c r="G315" s="6" t="n">
        <v>10</v>
      </c>
    </row>
    <row r="316" customFormat="false" ht="12.8" hidden="false" customHeight="false" outlineLevel="0" collapsed="false">
      <c r="A316" s="6" t="s">
        <v>1953</v>
      </c>
      <c r="B316" s="6" t="n">
        <v>6</v>
      </c>
      <c r="C316" s="6" t="n">
        <v>7</v>
      </c>
      <c r="D316" s="12" t="n">
        <f aca="false">C316/(B316+C316)*100</f>
        <v>53.8461538461539</v>
      </c>
      <c r="E316" s="6" t="n">
        <v>8</v>
      </c>
      <c r="F316" s="6" t="s">
        <v>1954</v>
      </c>
      <c r="G316" s="6" t="n">
        <v>6</v>
      </c>
      <c r="H316" s="6" t="s">
        <v>1955</v>
      </c>
      <c r="I316" s="6" t="n">
        <v>1</v>
      </c>
      <c r="J316" s="6" t="s">
        <v>1956</v>
      </c>
      <c r="K316" s="6" t="n">
        <v>0</v>
      </c>
      <c r="L316" s="6" t="s">
        <v>1957</v>
      </c>
      <c r="M316" s="6" t="n">
        <v>0</v>
      </c>
      <c r="N316" s="6" t="s">
        <v>1958</v>
      </c>
      <c r="O316" s="6" t="n">
        <v>0</v>
      </c>
      <c r="P316" s="6" t="s">
        <v>1959</v>
      </c>
      <c r="Q316" s="6" t="n">
        <v>0</v>
      </c>
      <c r="R316" s="6" t="s">
        <v>1960</v>
      </c>
      <c r="S316" s="6" t="n">
        <v>0</v>
      </c>
      <c r="T316" s="6" t="s">
        <v>1961</v>
      </c>
      <c r="U316" s="6" t="n">
        <v>0</v>
      </c>
    </row>
    <row r="317" customFormat="false" ht="12.8" hidden="false" customHeight="false" outlineLevel="0" collapsed="false">
      <c r="A317" s="6" t="s">
        <v>1962</v>
      </c>
      <c r="B317" s="6" t="n">
        <v>6</v>
      </c>
      <c r="C317" s="6" t="n">
        <v>7</v>
      </c>
      <c r="D317" s="12" t="n">
        <f aca="false">C317/(B317+C317)*100</f>
        <v>53.8461538461539</v>
      </c>
      <c r="E317" s="6" t="n">
        <v>2</v>
      </c>
      <c r="F317" s="6" t="s">
        <v>1963</v>
      </c>
      <c r="G317" s="6" t="n">
        <v>7</v>
      </c>
      <c r="H317" s="6" t="s">
        <v>1964</v>
      </c>
      <c r="I317" s="6" t="n">
        <v>0</v>
      </c>
    </row>
    <row r="318" customFormat="false" ht="12.8" hidden="false" customHeight="false" outlineLevel="0" collapsed="false">
      <c r="A318" s="6" t="s">
        <v>1965</v>
      </c>
      <c r="B318" s="6" t="n">
        <v>6</v>
      </c>
      <c r="C318" s="6" t="n">
        <v>6</v>
      </c>
      <c r="D318" s="12" t="n">
        <f aca="false">C318/(B318+C318)*100</f>
        <v>50</v>
      </c>
      <c r="E318" s="6" t="n">
        <v>5</v>
      </c>
      <c r="F318" s="6" t="s">
        <v>1966</v>
      </c>
      <c r="G318" s="6" t="n">
        <v>2</v>
      </c>
      <c r="H318" s="6" t="s">
        <v>1967</v>
      </c>
      <c r="I318" s="6" t="n">
        <v>1</v>
      </c>
      <c r="J318" s="6" t="s">
        <v>1968</v>
      </c>
      <c r="K318" s="6" t="n">
        <v>1</v>
      </c>
      <c r="L318" s="6" t="s">
        <v>1969</v>
      </c>
      <c r="M318" s="6" t="n">
        <v>1</v>
      </c>
      <c r="N318" s="6" t="s">
        <v>1970</v>
      </c>
      <c r="O318" s="6" t="n">
        <v>1</v>
      </c>
    </row>
    <row r="319" customFormat="false" ht="12.8" hidden="false" customHeight="false" outlineLevel="0" collapsed="false">
      <c r="A319" s="6" t="s">
        <v>1971</v>
      </c>
      <c r="B319" s="6" t="n">
        <v>6</v>
      </c>
      <c r="C319" s="6" t="n">
        <v>6</v>
      </c>
      <c r="D319" s="12" t="n">
        <f aca="false">C319/(B319+C319)*100</f>
        <v>50</v>
      </c>
      <c r="E319" s="6" t="n">
        <v>4</v>
      </c>
      <c r="F319" s="6" t="s">
        <v>1972</v>
      </c>
      <c r="G319" s="6" t="n">
        <v>5</v>
      </c>
      <c r="H319" s="6" t="s">
        <v>1973</v>
      </c>
      <c r="I319" s="6" t="n">
        <v>1</v>
      </c>
      <c r="J319" s="6" t="s">
        <v>1974</v>
      </c>
      <c r="K319" s="6" t="n">
        <v>0</v>
      </c>
      <c r="L319" s="6" t="s">
        <v>1975</v>
      </c>
      <c r="M319" s="6" t="n">
        <v>0</v>
      </c>
    </row>
    <row r="320" customFormat="false" ht="12.8" hidden="false" customHeight="false" outlineLevel="0" collapsed="false">
      <c r="A320" s="6" t="s">
        <v>1976</v>
      </c>
      <c r="B320" s="6" t="n">
        <v>6</v>
      </c>
      <c r="C320" s="6" t="n">
        <v>5</v>
      </c>
      <c r="D320" s="12" t="n">
        <f aca="false">C320/(B320+C320)*100</f>
        <v>45.4545454545455</v>
      </c>
      <c r="E320" s="6" t="n">
        <v>1</v>
      </c>
      <c r="F320" s="6" t="s">
        <v>1977</v>
      </c>
      <c r="G320" s="6" t="n">
        <v>5</v>
      </c>
    </row>
    <row r="321" customFormat="false" ht="12.8" hidden="false" customHeight="false" outlineLevel="0" collapsed="false">
      <c r="A321" s="6" t="s">
        <v>1978</v>
      </c>
      <c r="B321" s="6" t="n">
        <v>6</v>
      </c>
      <c r="C321" s="6" t="n">
        <v>4</v>
      </c>
      <c r="D321" s="12" t="n">
        <f aca="false">C321/(B321+C321)*100</f>
        <v>40</v>
      </c>
      <c r="E321" s="6" t="n">
        <v>4</v>
      </c>
      <c r="F321" s="6" t="s">
        <v>1979</v>
      </c>
      <c r="G321" s="6" t="n">
        <v>1</v>
      </c>
      <c r="H321" s="6" t="s">
        <v>1980</v>
      </c>
      <c r="I321" s="6" t="n">
        <v>1</v>
      </c>
      <c r="J321" s="6" t="s">
        <v>1981</v>
      </c>
      <c r="K321" s="6" t="n">
        <v>1</v>
      </c>
      <c r="L321" s="6" t="s">
        <v>1982</v>
      </c>
      <c r="M321" s="6" t="n">
        <v>1</v>
      </c>
    </row>
    <row r="322" customFormat="false" ht="12.8" hidden="false" customHeight="false" outlineLevel="0" collapsed="false">
      <c r="A322" s="6" t="s">
        <v>1983</v>
      </c>
      <c r="B322" s="6" t="n">
        <v>6</v>
      </c>
      <c r="C322" s="6" t="n">
        <v>3</v>
      </c>
      <c r="D322" s="12" t="n">
        <f aca="false">C322/(B322+C322)*100</f>
        <v>33.3333333333333</v>
      </c>
      <c r="E322" s="6" t="n">
        <v>2</v>
      </c>
      <c r="F322" s="6" t="s">
        <v>1984</v>
      </c>
      <c r="G322" s="6" t="n">
        <v>2</v>
      </c>
      <c r="H322" s="6" t="s">
        <v>1985</v>
      </c>
      <c r="I322" s="6" t="n">
        <v>1</v>
      </c>
    </row>
    <row r="323" customFormat="false" ht="12.8" hidden="false" customHeight="false" outlineLevel="0" collapsed="false">
      <c r="A323" s="6" t="s">
        <v>1986</v>
      </c>
      <c r="B323" s="6" t="n">
        <v>6</v>
      </c>
      <c r="C323" s="6" t="n">
        <v>2</v>
      </c>
      <c r="D323" s="12" t="n">
        <f aca="false">C323/(B323+C323)*100</f>
        <v>25</v>
      </c>
      <c r="E323" s="6" t="n">
        <v>2</v>
      </c>
      <c r="F323" s="6" t="s">
        <v>1987</v>
      </c>
      <c r="G323" s="6" t="n">
        <v>1</v>
      </c>
      <c r="H323" s="6" t="s">
        <v>1988</v>
      </c>
      <c r="I323" s="6" t="n">
        <v>1</v>
      </c>
    </row>
    <row r="324" customFormat="false" ht="12.8" hidden="false" customHeight="false" outlineLevel="0" collapsed="false">
      <c r="A324" s="6" t="s">
        <v>1989</v>
      </c>
      <c r="B324" s="6" t="n">
        <v>6</v>
      </c>
      <c r="C324" s="6" t="n">
        <v>2</v>
      </c>
      <c r="D324" s="12" t="n">
        <f aca="false">C324/(B324+C324)*100</f>
        <v>25</v>
      </c>
      <c r="E324" s="6" t="n">
        <v>2</v>
      </c>
      <c r="F324" s="6" t="s">
        <v>1990</v>
      </c>
      <c r="G324" s="6" t="n">
        <v>1</v>
      </c>
      <c r="H324" s="6" t="s">
        <v>1991</v>
      </c>
      <c r="I324" s="6" t="n">
        <v>1</v>
      </c>
    </row>
    <row r="325" customFormat="false" ht="12.8" hidden="false" customHeight="false" outlineLevel="0" collapsed="false">
      <c r="A325" s="6" t="s">
        <v>1992</v>
      </c>
      <c r="B325" s="6" t="n">
        <v>6</v>
      </c>
      <c r="C325" s="6" t="n">
        <v>1</v>
      </c>
      <c r="D325" s="12" t="n">
        <f aca="false">C325/(B325+C325)*100</f>
        <v>14.2857142857143</v>
      </c>
      <c r="E325" s="6" t="n">
        <v>2</v>
      </c>
      <c r="F325" s="6" t="s">
        <v>1993</v>
      </c>
      <c r="G325" s="6" t="n">
        <v>1</v>
      </c>
      <c r="H325" s="6" t="s">
        <v>1994</v>
      </c>
      <c r="I325" s="6" t="n">
        <v>0</v>
      </c>
    </row>
    <row r="326" customFormat="false" ht="12.8" hidden="false" customHeight="false" outlineLevel="0" collapsed="false">
      <c r="A326" s="6" t="s">
        <v>1995</v>
      </c>
      <c r="B326" s="6" t="n">
        <v>6</v>
      </c>
      <c r="C326" s="6" t="n">
        <v>1</v>
      </c>
      <c r="D326" s="12" t="n">
        <f aca="false">C326/(B326+C326)*100</f>
        <v>14.2857142857143</v>
      </c>
      <c r="E326" s="6" t="n">
        <v>1</v>
      </c>
      <c r="F326" s="6" t="s">
        <v>1996</v>
      </c>
      <c r="G326" s="6" t="n">
        <v>1</v>
      </c>
    </row>
    <row r="327" customFormat="false" ht="12.8" hidden="false" customHeight="false" outlineLevel="0" collapsed="false">
      <c r="A327" s="6" t="s">
        <v>1997</v>
      </c>
      <c r="B327" s="6" t="n">
        <v>6</v>
      </c>
      <c r="C327" s="6" t="n">
        <v>1</v>
      </c>
      <c r="D327" s="12" t="n">
        <f aca="false">C327/(B327+C327)*100</f>
        <v>14.2857142857143</v>
      </c>
      <c r="E327" s="6" t="n">
        <v>1</v>
      </c>
      <c r="F327" s="6" t="s">
        <v>1998</v>
      </c>
      <c r="G327" s="6" t="n">
        <v>1</v>
      </c>
    </row>
    <row r="328" customFormat="false" ht="12.8" hidden="false" customHeight="false" outlineLevel="0" collapsed="false">
      <c r="A328" s="6" t="s">
        <v>1999</v>
      </c>
      <c r="B328" s="6" t="n">
        <v>6</v>
      </c>
      <c r="C328" s="6" t="n">
        <v>1</v>
      </c>
      <c r="D328" s="12" t="n">
        <f aca="false">C328/(B328+C328)*100</f>
        <v>14.2857142857143</v>
      </c>
      <c r="E328" s="6" t="n">
        <v>1</v>
      </c>
      <c r="F328" s="6" t="s">
        <v>2000</v>
      </c>
      <c r="G328" s="6" t="n">
        <v>1</v>
      </c>
    </row>
    <row r="329" customFormat="false" ht="12.8" hidden="false" customHeight="false" outlineLevel="0" collapsed="false">
      <c r="A329" s="6" t="s">
        <v>2001</v>
      </c>
      <c r="B329" s="6" t="n">
        <v>6</v>
      </c>
      <c r="C329" s="6" t="n">
        <v>0</v>
      </c>
      <c r="D329" s="12" t="n">
        <f aca="false">C329/(B329+C329)*100</f>
        <v>0</v>
      </c>
      <c r="E329" s="6" t="n">
        <v>2</v>
      </c>
      <c r="F329" s="6" t="s">
        <v>2002</v>
      </c>
      <c r="G329" s="6" t="n">
        <v>0</v>
      </c>
      <c r="H329" s="6" t="s">
        <v>2003</v>
      </c>
      <c r="I329" s="6" t="n">
        <v>0</v>
      </c>
    </row>
    <row r="330" customFormat="false" ht="12.8" hidden="false" customHeight="false" outlineLevel="0" collapsed="false">
      <c r="A330" s="6" t="s">
        <v>2004</v>
      </c>
      <c r="B330" s="6" t="n">
        <v>6</v>
      </c>
      <c r="C330" s="6" t="n">
        <v>0</v>
      </c>
      <c r="D330" s="12" t="n">
        <f aca="false">C330/(B330+C330)*100</f>
        <v>0</v>
      </c>
      <c r="E330" s="6" t="n">
        <v>2</v>
      </c>
      <c r="F330" s="6" t="s">
        <v>2005</v>
      </c>
      <c r="G330" s="6" t="n">
        <v>0</v>
      </c>
      <c r="H330" s="6" t="s">
        <v>2006</v>
      </c>
      <c r="I330" s="6" t="n">
        <v>0</v>
      </c>
    </row>
    <row r="331" customFormat="false" ht="12.8" hidden="false" customHeight="false" outlineLevel="0" collapsed="false">
      <c r="A331" s="6" t="s">
        <v>2007</v>
      </c>
      <c r="B331" s="6" t="n">
        <v>6</v>
      </c>
      <c r="C331" s="6" t="n">
        <v>0</v>
      </c>
      <c r="D331" s="12" t="n">
        <f aca="false">C331/(B331+C331)*100</f>
        <v>0</v>
      </c>
      <c r="E331" s="6" t="n">
        <v>1</v>
      </c>
      <c r="F331" s="6" t="s">
        <v>2008</v>
      </c>
      <c r="G331" s="6" t="n">
        <v>0</v>
      </c>
    </row>
    <row r="332" customFormat="false" ht="12.8" hidden="false" customHeight="false" outlineLevel="0" collapsed="false">
      <c r="A332" s="6" t="s">
        <v>2009</v>
      </c>
      <c r="B332" s="6" t="n">
        <v>6</v>
      </c>
      <c r="C332" s="6" t="n">
        <v>0</v>
      </c>
      <c r="D332" s="12" t="n">
        <f aca="false">C332/(B332+C332)*100</f>
        <v>0</v>
      </c>
      <c r="E332" s="6" t="n">
        <v>1</v>
      </c>
      <c r="F332" s="6" t="s">
        <v>2010</v>
      </c>
      <c r="G332" s="6" t="n">
        <v>0</v>
      </c>
    </row>
    <row r="333" customFormat="false" ht="12.8" hidden="false" customHeight="false" outlineLevel="0" collapsed="false">
      <c r="A333" s="6" t="s">
        <v>2011</v>
      </c>
      <c r="B333" s="6" t="n">
        <v>7</v>
      </c>
      <c r="C333" s="6" t="n">
        <v>482</v>
      </c>
      <c r="D333" s="12" t="n">
        <f aca="false">C333/(B333+C333)*100</f>
        <v>98.5685071574642</v>
      </c>
      <c r="E333" s="6" t="n">
        <v>7</v>
      </c>
      <c r="F333" s="6" t="s">
        <v>2012</v>
      </c>
      <c r="G333" s="6" t="n">
        <v>435</v>
      </c>
      <c r="H333" s="6" t="s">
        <v>2013</v>
      </c>
      <c r="I333" s="6" t="n">
        <v>32</v>
      </c>
      <c r="J333" s="6" t="s">
        <v>2014</v>
      </c>
      <c r="K333" s="6" t="n">
        <v>10</v>
      </c>
      <c r="L333" s="6" t="s">
        <v>2015</v>
      </c>
      <c r="M333" s="6" t="n">
        <v>2</v>
      </c>
      <c r="N333" s="6" t="s">
        <v>2016</v>
      </c>
      <c r="O333" s="6" t="n">
        <v>2</v>
      </c>
      <c r="P333" s="6" t="s">
        <v>2017</v>
      </c>
      <c r="Q333" s="6" t="n">
        <v>1</v>
      </c>
      <c r="R333" s="6" t="s">
        <v>2018</v>
      </c>
      <c r="S333" s="6" t="n">
        <v>0</v>
      </c>
    </row>
    <row r="334" customFormat="false" ht="12.8" hidden="false" customHeight="false" outlineLevel="0" collapsed="false">
      <c r="A334" s="6" t="s">
        <v>2019</v>
      </c>
      <c r="B334" s="6" t="n">
        <v>7</v>
      </c>
      <c r="C334" s="6" t="n">
        <v>20</v>
      </c>
      <c r="D334" s="12" t="n">
        <f aca="false">C334/(B334+C334)*100</f>
        <v>74.0740740740741</v>
      </c>
      <c r="E334" s="6" t="n">
        <v>7</v>
      </c>
      <c r="F334" s="6" t="s">
        <v>2020</v>
      </c>
      <c r="G334" s="6" t="n">
        <v>11</v>
      </c>
      <c r="H334" s="6" t="s">
        <v>2021</v>
      </c>
      <c r="I334" s="6" t="n">
        <v>3</v>
      </c>
      <c r="J334" s="6" t="s">
        <v>2022</v>
      </c>
      <c r="K334" s="6" t="n">
        <v>2</v>
      </c>
      <c r="L334" s="6" t="s">
        <v>2023</v>
      </c>
      <c r="M334" s="6" t="n">
        <v>1</v>
      </c>
      <c r="N334" s="6" t="s">
        <v>2024</v>
      </c>
      <c r="O334" s="6" t="n">
        <v>1</v>
      </c>
      <c r="P334" s="6" t="s">
        <v>2025</v>
      </c>
      <c r="Q334" s="6" t="n">
        <v>1</v>
      </c>
      <c r="R334" s="6" t="s">
        <v>2026</v>
      </c>
      <c r="S334" s="6" t="n">
        <v>1</v>
      </c>
    </row>
    <row r="335" customFormat="false" ht="12.8" hidden="false" customHeight="false" outlineLevel="0" collapsed="false">
      <c r="A335" s="6" t="s">
        <v>2027</v>
      </c>
      <c r="B335" s="6" t="n">
        <v>7</v>
      </c>
      <c r="C335" s="6" t="n">
        <v>19</v>
      </c>
      <c r="D335" s="12" t="n">
        <f aca="false">C335/(B335+C335)*100</f>
        <v>73.0769230769231</v>
      </c>
      <c r="E335" s="6" t="n">
        <v>3</v>
      </c>
      <c r="F335" s="6" t="s">
        <v>2028</v>
      </c>
      <c r="G335" s="6" t="n">
        <v>17</v>
      </c>
      <c r="H335" s="6" t="s">
        <v>2029</v>
      </c>
      <c r="I335" s="6" t="n">
        <v>1</v>
      </c>
      <c r="J335" s="6" t="s">
        <v>2030</v>
      </c>
      <c r="K335" s="6" t="n">
        <v>1</v>
      </c>
    </row>
    <row r="336" customFormat="false" ht="12.8" hidden="false" customHeight="false" outlineLevel="0" collapsed="false">
      <c r="A336" s="6" t="s">
        <v>2031</v>
      </c>
      <c r="B336" s="6" t="n">
        <v>7</v>
      </c>
      <c r="C336" s="6" t="n">
        <v>3</v>
      </c>
      <c r="D336" s="12" t="n">
        <f aca="false">C336/(B336+C336)*100</f>
        <v>30</v>
      </c>
      <c r="E336" s="6" t="n">
        <v>2</v>
      </c>
      <c r="F336" s="6" t="s">
        <v>2032</v>
      </c>
      <c r="G336" s="6" t="n">
        <v>2</v>
      </c>
      <c r="H336" s="6" t="s">
        <v>2033</v>
      </c>
      <c r="I336" s="6" t="n">
        <v>1</v>
      </c>
    </row>
    <row r="337" customFormat="false" ht="12.8" hidden="false" customHeight="false" outlineLevel="0" collapsed="false">
      <c r="A337" s="6" t="s">
        <v>2034</v>
      </c>
      <c r="B337" s="6" t="n">
        <v>7</v>
      </c>
      <c r="C337" s="6" t="n">
        <v>3</v>
      </c>
      <c r="D337" s="12" t="n">
        <f aca="false">C337/(B337+C337)*100</f>
        <v>30</v>
      </c>
      <c r="E337" s="6" t="n">
        <v>1</v>
      </c>
      <c r="F337" s="6" t="s">
        <v>2035</v>
      </c>
      <c r="G337" s="6" t="n">
        <v>3</v>
      </c>
    </row>
    <row r="338" customFormat="false" ht="12.8" hidden="false" customHeight="false" outlineLevel="0" collapsed="false">
      <c r="A338" s="6" t="s">
        <v>2036</v>
      </c>
      <c r="B338" s="6" t="n">
        <v>7</v>
      </c>
      <c r="C338" s="6" t="n">
        <v>2</v>
      </c>
      <c r="D338" s="12" t="n">
        <f aca="false">C338/(B338+C338)*100</f>
        <v>22.2222222222222</v>
      </c>
      <c r="E338" s="6" t="n">
        <v>2</v>
      </c>
      <c r="F338" s="6" t="s">
        <v>2037</v>
      </c>
      <c r="G338" s="6" t="n">
        <v>1</v>
      </c>
      <c r="H338" s="6" t="s">
        <v>2038</v>
      </c>
      <c r="I338" s="6" t="n">
        <v>1</v>
      </c>
    </row>
    <row r="339" customFormat="false" ht="12.8" hidden="false" customHeight="false" outlineLevel="0" collapsed="false">
      <c r="A339" s="6" t="s">
        <v>2039</v>
      </c>
      <c r="B339" s="6" t="n">
        <v>7</v>
      </c>
      <c r="C339" s="6" t="n">
        <v>2</v>
      </c>
      <c r="D339" s="12" t="n">
        <f aca="false">C339/(B339+C339)*100</f>
        <v>22.2222222222222</v>
      </c>
      <c r="E339" s="6" t="n">
        <v>1</v>
      </c>
      <c r="F339" s="6" t="s">
        <v>2040</v>
      </c>
      <c r="G339" s="6" t="n">
        <v>2</v>
      </c>
    </row>
    <row r="340" customFormat="false" ht="12.8" hidden="false" customHeight="false" outlineLevel="0" collapsed="false">
      <c r="A340" s="6" t="s">
        <v>2041</v>
      </c>
      <c r="B340" s="6" t="n">
        <v>7</v>
      </c>
      <c r="C340" s="6" t="n">
        <v>2</v>
      </c>
      <c r="D340" s="12" t="n">
        <f aca="false">C340/(B340+C340)*100</f>
        <v>22.2222222222222</v>
      </c>
      <c r="E340" s="6" t="n">
        <v>1</v>
      </c>
      <c r="F340" s="6" t="s">
        <v>2042</v>
      </c>
      <c r="G340" s="6" t="n">
        <v>2</v>
      </c>
    </row>
    <row r="341" customFormat="false" ht="12.8" hidden="false" customHeight="false" outlineLevel="0" collapsed="false">
      <c r="A341" s="6" t="s">
        <v>2043</v>
      </c>
      <c r="B341" s="6" t="n">
        <v>7</v>
      </c>
      <c r="C341" s="6" t="n">
        <v>1</v>
      </c>
      <c r="D341" s="12" t="n">
        <f aca="false">C341/(B341+C341)*100</f>
        <v>12.5</v>
      </c>
      <c r="E341" s="6" t="n">
        <v>1</v>
      </c>
      <c r="F341" s="6" t="s">
        <v>2044</v>
      </c>
      <c r="G341" s="6" t="n">
        <v>1</v>
      </c>
    </row>
    <row r="342" customFormat="false" ht="12.8" hidden="false" customHeight="false" outlineLevel="0" collapsed="false">
      <c r="A342" s="6" t="s">
        <v>2045</v>
      </c>
      <c r="B342" s="6" t="n">
        <v>7</v>
      </c>
      <c r="C342" s="6" t="n">
        <v>1</v>
      </c>
      <c r="D342" s="12" t="n">
        <f aca="false">C342/(B342+C342)*100</f>
        <v>12.5</v>
      </c>
      <c r="E342" s="6" t="n">
        <v>1</v>
      </c>
      <c r="F342" s="6" t="s">
        <v>2046</v>
      </c>
      <c r="G342" s="6" t="n">
        <v>1</v>
      </c>
    </row>
    <row r="343" customFormat="false" ht="12.8" hidden="false" customHeight="false" outlineLevel="0" collapsed="false">
      <c r="A343" s="6" t="s">
        <v>2047</v>
      </c>
      <c r="B343" s="6" t="n">
        <v>7</v>
      </c>
      <c r="C343" s="6" t="n">
        <v>1</v>
      </c>
      <c r="D343" s="12" t="n">
        <f aca="false">C343/(B343+C343)*100</f>
        <v>12.5</v>
      </c>
      <c r="E343" s="6" t="n">
        <v>1</v>
      </c>
      <c r="F343" s="6" t="s">
        <v>2048</v>
      </c>
      <c r="G343" s="6" t="n">
        <v>1</v>
      </c>
    </row>
    <row r="344" customFormat="false" ht="12.8" hidden="false" customHeight="false" outlineLevel="0" collapsed="false">
      <c r="A344" s="6" t="s">
        <v>2049</v>
      </c>
      <c r="B344" s="6" t="n">
        <v>7</v>
      </c>
      <c r="C344" s="6" t="n">
        <v>1</v>
      </c>
      <c r="D344" s="12" t="n">
        <f aca="false">C344/(B344+C344)*100</f>
        <v>12.5</v>
      </c>
      <c r="E344" s="6" t="n">
        <v>1</v>
      </c>
      <c r="F344" s="6" t="s">
        <v>2050</v>
      </c>
      <c r="G344" s="6" t="n">
        <v>1</v>
      </c>
    </row>
    <row r="345" customFormat="false" ht="12.8" hidden="false" customHeight="false" outlineLevel="0" collapsed="false">
      <c r="A345" s="6" t="s">
        <v>2051</v>
      </c>
      <c r="B345" s="6" t="n">
        <v>7</v>
      </c>
      <c r="C345" s="6" t="n">
        <v>1</v>
      </c>
      <c r="D345" s="12" t="n">
        <f aca="false">C345/(B345+C345)*100</f>
        <v>12.5</v>
      </c>
      <c r="E345" s="6" t="n">
        <v>1</v>
      </c>
      <c r="F345" s="6" t="s">
        <v>2052</v>
      </c>
      <c r="G345" s="6" t="n">
        <v>1</v>
      </c>
    </row>
    <row r="346" customFormat="false" ht="12.8" hidden="false" customHeight="false" outlineLevel="0" collapsed="false">
      <c r="A346" s="6" t="s">
        <v>2053</v>
      </c>
      <c r="B346" s="6" t="n">
        <v>7</v>
      </c>
      <c r="C346" s="6" t="n">
        <v>1</v>
      </c>
      <c r="D346" s="12" t="n">
        <f aca="false">C346/(B346+C346)*100</f>
        <v>12.5</v>
      </c>
      <c r="E346" s="6" t="n">
        <v>1</v>
      </c>
      <c r="F346" s="6" t="s">
        <v>2054</v>
      </c>
      <c r="G346" s="6" t="n">
        <v>1</v>
      </c>
    </row>
    <row r="347" customFormat="false" ht="12.8" hidden="false" customHeight="false" outlineLevel="0" collapsed="false">
      <c r="A347" s="6" t="s">
        <v>2055</v>
      </c>
      <c r="B347" s="6" t="n">
        <v>7</v>
      </c>
      <c r="C347" s="6" t="n">
        <v>1</v>
      </c>
      <c r="D347" s="12" t="n">
        <f aca="false">C347/(B347+C347)*100</f>
        <v>12.5</v>
      </c>
      <c r="E347" s="6" t="n">
        <v>1</v>
      </c>
      <c r="F347" s="6" t="s">
        <v>2056</v>
      </c>
      <c r="G347" s="6" t="n">
        <v>1</v>
      </c>
    </row>
    <row r="348" customFormat="false" ht="12.8" hidden="false" customHeight="false" outlineLevel="0" collapsed="false">
      <c r="A348" s="6" t="s">
        <v>2057</v>
      </c>
      <c r="B348" s="6" t="n">
        <v>7</v>
      </c>
      <c r="C348" s="6" t="n">
        <v>0</v>
      </c>
      <c r="D348" s="12" t="n">
        <f aca="false">C348/(B348+C348)*100</f>
        <v>0</v>
      </c>
      <c r="E348" s="6" t="n">
        <v>2</v>
      </c>
      <c r="F348" s="6" t="s">
        <v>2058</v>
      </c>
      <c r="G348" s="6" t="n">
        <v>0</v>
      </c>
      <c r="H348" s="6" t="s">
        <v>2059</v>
      </c>
      <c r="I348" s="6" t="n">
        <v>0</v>
      </c>
    </row>
    <row r="349" customFormat="false" ht="12.8" hidden="false" customHeight="false" outlineLevel="0" collapsed="false">
      <c r="A349" s="6" t="s">
        <v>2060</v>
      </c>
      <c r="B349" s="6" t="n">
        <v>7</v>
      </c>
      <c r="C349" s="6" t="n">
        <v>0</v>
      </c>
      <c r="D349" s="12" t="n">
        <f aca="false">C349/(B349+C349)*100</f>
        <v>0</v>
      </c>
      <c r="E349" s="6" t="n">
        <v>2</v>
      </c>
      <c r="F349" s="6" t="s">
        <v>2061</v>
      </c>
      <c r="G349" s="6" t="n">
        <v>0</v>
      </c>
      <c r="H349" s="6" t="s">
        <v>2062</v>
      </c>
      <c r="I349" s="6" t="n">
        <v>0</v>
      </c>
    </row>
    <row r="350" customFormat="false" ht="12.8" hidden="false" customHeight="false" outlineLevel="0" collapsed="false">
      <c r="A350" s="6" t="s">
        <v>2063</v>
      </c>
      <c r="B350" s="6" t="n">
        <v>7</v>
      </c>
      <c r="C350" s="6" t="n">
        <v>0</v>
      </c>
      <c r="D350" s="12" t="n">
        <f aca="false">C350/(B350+C350)*100</f>
        <v>0</v>
      </c>
      <c r="E350" s="6" t="n">
        <v>1</v>
      </c>
      <c r="F350" s="6" t="s">
        <v>2064</v>
      </c>
      <c r="G350" s="6" t="n">
        <v>0</v>
      </c>
    </row>
    <row r="351" customFormat="false" ht="12.8" hidden="false" customHeight="false" outlineLevel="0" collapsed="false">
      <c r="A351" s="6" t="s">
        <v>2065</v>
      </c>
      <c r="B351" s="6" t="n">
        <v>8</v>
      </c>
      <c r="C351" s="6" t="n">
        <v>6409</v>
      </c>
      <c r="D351" s="12" t="n">
        <f aca="false">C351/(B351+C351)*100</f>
        <v>99.8753311516285</v>
      </c>
      <c r="E351" s="6" t="n">
        <v>39</v>
      </c>
      <c r="F351" s="6" t="s">
        <v>2066</v>
      </c>
      <c r="G351" s="6" t="n">
        <v>2151</v>
      </c>
      <c r="H351" s="6" t="s">
        <v>2066</v>
      </c>
      <c r="I351" s="6" t="n">
        <v>2151</v>
      </c>
      <c r="J351" s="6" t="s">
        <v>2067</v>
      </c>
      <c r="K351" s="6" t="n">
        <v>1124</v>
      </c>
      <c r="L351" s="6" t="s">
        <v>2068</v>
      </c>
      <c r="M351" s="6" t="n">
        <v>333</v>
      </c>
      <c r="N351" s="6" t="s">
        <v>2069</v>
      </c>
      <c r="O351" s="6" t="n">
        <v>280</v>
      </c>
      <c r="P351" s="6" t="s">
        <v>2070</v>
      </c>
      <c r="Q351" s="6" t="n">
        <v>79</v>
      </c>
      <c r="R351" s="6" t="s">
        <v>2071</v>
      </c>
      <c r="S351" s="6" t="n">
        <v>61</v>
      </c>
      <c r="T351" s="6" t="s">
        <v>2072</v>
      </c>
      <c r="U351" s="6" t="n">
        <v>49</v>
      </c>
      <c r="V351" s="6" t="s">
        <v>2073</v>
      </c>
      <c r="W351" s="6" t="n">
        <v>41</v>
      </c>
      <c r="X351" s="6" t="s">
        <v>2074</v>
      </c>
      <c r="Y351" s="6" t="n">
        <v>36</v>
      </c>
      <c r="Z351" s="6" t="s">
        <v>2075</v>
      </c>
      <c r="AA351" s="6" t="n">
        <v>26</v>
      </c>
      <c r="AB351" s="6" t="s">
        <v>2076</v>
      </c>
      <c r="AC351" s="6" t="n">
        <v>19</v>
      </c>
      <c r="AD351" s="6" t="s">
        <v>2077</v>
      </c>
      <c r="AE351" s="6" t="n">
        <v>11</v>
      </c>
      <c r="AF351" s="6" t="s">
        <v>2078</v>
      </c>
      <c r="AG351" s="6" t="n">
        <v>8</v>
      </c>
      <c r="AH351" s="6" t="s">
        <v>2079</v>
      </c>
      <c r="AI351" s="6" t="n">
        <v>7</v>
      </c>
      <c r="AJ351" s="6" t="s">
        <v>2080</v>
      </c>
      <c r="AK351" s="6" t="n">
        <v>5</v>
      </c>
      <c r="AL351" s="6" t="s">
        <v>2081</v>
      </c>
      <c r="AM351" s="6" t="n">
        <v>4</v>
      </c>
      <c r="AN351" s="6" t="s">
        <v>2082</v>
      </c>
      <c r="AO351" s="6" t="n">
        <v>4</v>
      </c>
      <c r="AP351" s="6" t="s">
        <v>2083</v>
      </c>
      <c r="AQ351" s="6" t="n">
        <v>2</v>
      </c>
      <c r="AR351" s="6" t="s">
        <v>2084</v>
      </c>
      <c r="AS351" s="6" t="n">
        <v>2</v>
      </c>
      <c r="AT351" s="6" t="s">
        <v>2085</v>
      </c>
      <c r="AU351" s="6" t="n">
        <v>2</v>
      </c>
      <c r="AV351" s="6" t="s">
        <v>2086</v>
      </c>
      <c r="AW351" s="6" t="n">
        <v>2</v>
      </c>
      <c r="AX351" s="6" t="s">
        <v>2087</v>
      </c>
      <c r="AY351" s="6" t="n">
        <v>2</v>
      </c>
      <c r="AZ351" s="6" t="s">
        <v>2088</v>
      </c>
      <c r="BA351" s="6" t="n">
        <v>2</v>
      </c>
      <c r="BB351" s="6" t="s">
        <v>2088</v>
      </c>
      <c r="BC351" s="6" t="n">
        <v>2</v>
      </c>
      <c r="BD351" s="6" t="s">
        <v>2089</v>
      </c>
      <c r="BE351" s="6" t="n">
        <v>1</v>
      </c>
      <c r="BF351" s="6" t="s">
        <v>2090</v>
      </c>
      <c r="BG351" s="6" t="n">
        <v>1</v>
      </c>
      <c r="BH351" s="6" t="s">
        <v>2091</v>
      </c>
      <c r="BI351" s="6" t="n">
        <v>1</v>
      </c>
      <c r="BJ351" s="6" t="s">
        <v>2092</v>
      </c>
      <c r="BK351" s="6" t="n">
        <v>1</v>
      </c>
      <c r="BL351" s="6" t="s">
        <v>2093</v>
      </c>
      <c r="BM351" s="6" t="n">
        <v>1</v>
      </c>
      <c r="BN351" s="6" t="s">
        <v>2094</v>
      </c>
      <c r="BO351" s="6" t="n">
        <v>1</v>
      </c>
      <c r="BP351" s="6" t="s">
        <v>2095</v>
      </c>
      <c r="BQ351" s="6" t="n">
        <v>0</v>
      </c>
      <c r="BR351" s="6" t="s">
        <v>2096</v>
      </c>
      <c r="BS351" s="6" t="n">
        <v>0</v>
      </c>
      <c r="BT351" s="6" t="s">
        <v>2097</v>
      </c>
      <c r="BU351" s="6" t="n">
        <v>0</v>
      </c>
      <c r="BV351" s="6" t="s">
        <v>2098</v>
      </c>
      <c r="BW351" s="6" t="n">
        <v>0</v>
      </c>
      <c r="BX351" s="6" t="s">
        <v>2099</v>
      </c>
      <c r="BY351" s="6" t="n">
        <v>0</v>
      </c>
      <c r="BZ351" s="6" t="s">
        <v>2100</v>
      </c>
      <c r="CA351" s="6" t="n">
        <v>0</v>
      </c>
      <c r="CB351" s="6" t="s">
        <v>2101</v>
      </c>
      <c r="CC351" s="6" t="n">
        <v>0</v>
      </c>
      <c r="CD351" s="6" t="s">
        <v>2101</v>
      </c>
      <c r="CE351" s="6" t="n">
        <v>0</v>
      </c>
    </row>
    <row r="352" customFormat="false" ht="12.8" hidden="false" customHeight="false" outlineLevel="0" collapsed="false">
      <c r="A352" s="6" t="s">
        <v>2102</v>
      </c>
      <c r="B352" s="6" t="n">
        <v>8</v>
      </c>
      <c r="C352" s="6" t="n">
        <v>5637</v>
      </c>
      <c r="D352" s="12" t="n">
        <f aca="false">C352/(B352+C352)*100</f>
        <v>99.8582816651904</v>
      </c>
      <c r="E352" s="6" t="n">
        <v>90</v>
      </c>
      <c r="F352" s="6" t="s">
        <v>2103</v>
      </c>
      <c r="G352" s="6" t="n">
        <v>803</v>
      </c>
      <c r="H352" s="6" t="s">
        <v>2104</v>
      </c>
      <c r="I352" s="6" t="n">
        <v>704</v>
      </c>
      <c r="J352" s="6" t="s">
        <v>2105</v>
      </c>
      <c r="K352" s="6" t="n">
        <v>594</v>
      </c>
      <c r="L352" s="6" t="s">
        <v>2106</v>
      </c>
      <c r="M352" s="6" t="n">
        <v>487</v>
      </c>
      <c r="N352" s="6" t="s">
        <v>2107</v>
      </c>
      <c r="O352" s="6" t="n">
        <v>438</v>
      </c>
      <c r="P352" s="6" t="s">
        <v>2108</v>
      </c>
      <c r="Q352" s="6" t="n">
        <v>404</v>
      </c>
      <c r="R352" s="6" t="s">
        <v>2109</v>
      </c>
      <c r="S352" s="6" t="n">
        <v>323</v>
      </c>
      <c r="T352" s="6" t="s">
        <v>2110</v>
      </c>
      <c r="U352" s="6" t="n">
        <v>306</v>
      </c>
      <c r="V352" s="6" t="s">
        <v>2111</v>
      </c>
      <c r="W352" s="6" t="n">
        <v>278</v>
      </c>
      <c r="X352" s="6" t="s">
        <v>2112</v>
      </c>
      <c r="Y352" s="6" t="n">
        <v>214</v>
      </c>
      <c r="Z352" s="6" t="s">
        <v>2113</v>
      </c>
      <c r="AA352" s="6" t="n">
        <v>193</v>
      </c>
      <c r="AB352" s="6" t="s">
        <v>2114</v>
      </c>
      <c r="AC352" s="6" t="n">
        <v>134</v>
      </c>
      <c r="AD352" s="6" t="s">
        <v>2115</v>
      </c>
      <c r="AE352" s="6" t="n">
        <v>109</v>
      </c>
      <c r="AF352" s="6" t="s">
        <v>2116</v>
      </c>
      <c r="AG352" s="6" t="n">
        <v>94</v>
      </c>
      <c r="AH352" s="6" t="s">
        <v>2117</v>
      </c>
      <c r="AI352" s="6" t="n">
        <v>76</v>
      </c>
      <c r="AJ352" s="6" t="s">
        <v>2118</v>
      </c>
      <c r="AK352" s="6" t="n">
        <v>53</v>
      </c>
      <c r="AL352" s="6" t="s">
        <v>2119</v>
      </c>
      <c r="AM352" s="6" t="n">
        <v>43</v>
      </c>
      <c r="AN352" s="6" t="s">
        <v>2120</v>
      </c>
      <c r="AO352" s="6" t="n">
        <v>43</v>
      </c>
      <c r="AP352" s="6" t="s">
        <v>2121</v>
      </c>
      <c r="AQ352" s="6" t="n">
        <v>36</v>
      </c>
      <c r="AR352" s="6" t="s">
        <v>2122</v>
      </c>
      <c r="AS352" s="6" t="n">
        <v>30</v>
      </c>
      <c r="AT352" s="6" t="s">
        <v>2123</v>
      </c>
      <c r="AU352" s="6" t="n">
        <v>20</v>
      </c>
      <c r="AV352" s="6" t="s">
        <v>2124</v>
      </c>
      <c r="AW352" s="6" t="n">
        <v>20</v>
      </c>
      <c r="AX352" s="6" t="s">
        <v>2125</v>
      </c>
      <c r="AY352" s="6" t="n">
        <v>17</v>
      </c>
      <c r="AZ352" s="6" t="s">
        <v>2126</v>
      </c>
      <c r="BA352" s="6" t="n">
        <v>17</v>
      </c>
      <c r="BB352" s="6" t="s">
        <v>2127</v>
      </c>
      <c r="BC352" s="6" t="n">
        <v>16</v>
      </c>
      <c r="BD352" s="6" t="s">
        <v>2128</v>
      </c>
      <c r="BE352" s="6" t="n">
        <v>14</v>
      </c>
      <c r="BF352" s="6" t="s">
        <v>2129</v>
      </c>
      <c r="BG352" s="6" t="n">
        <v>13</v>
      </c>
      <c r="BH352" s="6" t="s">
        <v>2130</v>
      </c>
      <c r="BI352" s="6" t="n">
        <v>12</v>
      </c>
      <c r="BJ352" s="6" t="s">
        <v>2131</v>
      </c>
      <c r="BK352" s="6" t="n">
        <v>12</v>
      </c>
      <c r="BL352" s="6" t="s">
        <v>2132</v>
      </c>
      <c r="BM352" s="6" t="n">
        <v>11</v>
      </c>
      <c r="BN352" s="6" t="s">
        <v>2133</v>
      </c>
      <c r="BO352" s="6" t="n">
        <v>11</v>
      </c>
      <c r="BP352" s="6" t="s">
        <v>2134</v>
      </c>
      <c r="BQ352" s="6" t="n">
        <v>10</v>
      </c>
      <c r="BR352" s="6" t="s">
        <v>2135</v>
      </c>
      <c r="BS352" s="6" t="n">
        <v>9</v>
      </c>
      <c r="BT352" s="6" t="s">
        <v>2136</v>
      </c>
      <c r="BU352" s="6" t="n">
        <v>7</v>
      </c>
      <c r="BV352" s="6" t="s">
        <v>2137</v>
      </c>
      <c r="BW352" s="6" t="n">
        <v>7</v>
      </c>
      <c r="BX352" s="6" t="s">
        <v>2138</v>
      </c>
      <c r="BY352" s="6" t="n">
        <v>7</v>
      </c>
      <c r="BZ352" s="6" t="s">
        <v>2139</v>
      </c>
      <c r="CA352" s="6" t="n">
        <v>5</v>
      </c>
      <c r="CB352" s="6" t="s">
        <v>2140</v>
      </c>
      <c r="CC352" s="6" t="n">
        <v>5</v>
      </c>
      <c r="CD352" s="6" t="s">
        <v>2141</v>
      </c>
      <c r="CE352" s="6" t="n">
        <v>4</v>
      </c>
      <c r="CF352" s="6" t="s">
        <v>2142</v>
      </c>
      <c r="CG352" s="6" t="n">
        <v>4</v>
      </c>
      <c r="CH352" s="6" t="s">
        <v>2143</v>
      </c>
      <c r="CI352" s="6" t="n">
        <v>4</v>
      </c>
      <c r="CJ352" s="6" t="s">
        <v>2144</v>
      </c>
      <c r="CK352" s="6" t="n">
        <v>3</v>
      </c>
      <c r="CL352" s="6" t="s">
        <v>2145</v>
      </c>
      <c r="CM352" s="6" t="n">
        <v>3</v>
      </c>
      <c r="CN352" s="6" t="s">
        <v>2146</v>
      </c>
      <c r="CO352" s="6" t="n">
        <v>3</v>
      </c>
      <c r="CP352" s="6" t="s">
        <v>2147</v>
      </c>
      <c r="CQ352" s="6" t="n">
        <v>2</v>
      </c>
      <c r="CR352" s="6" t="s">
        <v>2148</v>
      </c>
      <c r="CS352" s="6" t="n">
        <v>2</v>
      </c>
      <c r="CT352" s="6" t="s">
        <v>2149</v>
      </c>
      <c r="CU352" s="6" t="n">
        <v>2</v>
      </c>
      <c r="CV352" s="6" t="s">
        <v>2150</v>
      </c>
      <c r="CW352" s="6" t="n">
        <v>2</v>
      </c>
      <c r="CX352" s="6" t="s">
        <v>2151</v>
      </c>
      <c r="CY352" s="6" t="n">
        <v>2</v>
      </c>
      <c r="CZ352" s="6" t="s">
        <v>2152</v>
      </c>
      <c r="DA352" s="6" t="n">
        <v>2</v>
      </c>
      <c r="DB352" s="6" t="s">
        <v>2153</v>
      </c>
      <c r="DC352" s="6" t="n">
        <v>2</v>
      </c>
      <c r="DD352" s="6" t="s">
        <v>2154</v>
      </c>
      <c r="DE352" s="6" t="n">
        <v>2</v>
      </c>
      <c r="DF352" s="6" t="s">
        <v>2155</v>
      </c>
      <c r="DG352" s="6" t="n">
        <v>2</v>
      </c>
      <c r="DH352" s="6" t="s">
        <v>2156</v>
      </c>
      <c r="DI352" s="6" t="n">
        <v>2</v>
      </c>
      <c r="DJ352" s="6" t="s">
        <v>2157</v>
      </c>
      <c r="DK352" s="6" t="n">
        <v>1</v>
      </c>
      <c r="DL352" s="6" t="s">
        <v>2158</v>
      </c>
      <c r="DM352" s="6" t="n">
        <v>1</v>
      </c>
      <c r="DN352" s="6" t="s">
        <v>2159</v>
      </c>
      <c r="DO352" s="6" t="n">
        <v>1</v>
      </c>
      <c r="DP352" s="6" t="s">
        <v>2160</v>
      </c>
      <c r="DQ352" s="6" t="n">
        <v>1</v>
      </c>
      <c r="DR352" s="6" t="s">
        <v>2161</v>
      </c>
      <c r="DS352" s="6" t="n">
        <v>1</v>
      </c>
      <c r="DT352" s="6" t="s">
        <v>2162</v>
      </c>
      <c r="DU352" s="6" t="n">
        <v>1</v>
      </c>
      <c r="DV352" s="6" t="s">
        <v>2163</v>
      </c>
      <c r="DW352" s="6" t="n">
        <v>1</v>
      </c>
      <c r="DX352" s="6" t="s">
        <v>2164</v>
      </c>
      <c r="DY352" s="6" t="n">
        <v>1</v>
      </c>
      <c r="DZ352" s="6" t="s">
        <v>2165</v>
      </c>
      <c r="EA352" s="6" t="n">
        <v>1</v>
      </c>
      <c r="EB352" s="6" t="s">
        <v>2166</v>
      </c>
      <c r="EC352" s="6" t="n">
        <v>1</v>
      </c>
      <c r="ED352" s="6" t="s">
        <v>2167</v>
      </c>
      <c r="EE352" s="6" t="n">
        <v>1</v>
      </c>
      <c r="EF352" s="6" t="s">
        <v>2168</v>
      </c>
      <c r="EG352" s="6" t="n">
        <v>1</v>
      </c>
      <c r="EH352" s="6" t="s">
        <v>2169</v>
      </c>
      <c r="EI352" s="6" t="n">
        <v>1</v>
      </c>
      <c r="EJ352" s="6" t="s">
        <v>2170</v>
      </c>
      <c r="EK352" s="6" t="n">
        <v>1</v>
      </c>
      <c r="EL352" s="6" t="s">
        <v>2171</v>
      </c>
      <c r="EM352" s="6" t="n">
        <v>1</v>
      </c>
      <c r="EN352" s="6" t="s">
        <v>2172</v>
      </c>
      <c r="EO352" s="6" t="n">
        <v>1</v>
      </c>
      <c r="EP352" s="6" t="s">
        <v>2173</v>
      </c>
      <c r="EQ352" s="6" t="n">
        <v>1</v>
      </c>
      <c r="ER352" s="6" t="s">
        <v>2174</v>
      </c>
      <c r="ES352" s="6" t="n">
        <v>1</v>
      </c>
      <c r="ET352" s="6" t="s">
        <v>2175</v>
      </c>
      <c r="EU352" s="6" t="n">
        <v>1</v>
      </c>
      <c r="EV352" s="6" t="s">
        <v>2176</v>
      </c>
      <c r="EW352" s="6" t="n">
        <v>1</v>
      </c>
      <c r="EX352" s="6" t="s">
        <v>2177</v>
      </c>
      <c r="EY352" s="6" t="n">
        <v>1</v>
      </c>
      <c r="EZ352" s="6" t="s">
        <v>2178</v>
      </c>
      <c r="FA352" s="6" t="n">
        <v>0</v>
      </c>
      <c r="FB352" s="6" t="s">
        <v>2179</v>
      </c>
      <c r="FC352" s="6" t="n">
        <v>0</v>
      </c>
      <c r="FD352" s="6" t="s">
        <v>2180</v>
      </c>
      <c r="FE352" s="6" t="n">
        <v>0</v>
      </c>
      <c r="FF352" s="6" t="s">
        <v>2181</v>
      </c>
      <c r="FG352" s="6" t="n">
        <v>0</v>
      </c>
      <c r="FH352" s="6" t="s">
        <v>2182</v>
      </c>
      <c r="FI352" s="6" t="n">
        <v>0</v>
      </c>
      <c r="FJ352" s="6" t="s">
        <v>2183</v>
      </c>
      <c r="FK352" s="6" t="n">
        <v>0</v>
      </c>
      <c r="FL352" s="6" t="s">
        <v>2184</v>
      </c>
      <c r="FM352" s="6" t="n">
        <v>0</v>
      </c>
      <c r="FN352" s="6" t="s">
        <v>2185</v>
      </c>
      <c r="FO352" s="6" t="n">
        <v>0</v>
      </c>
      <c r="FP352" s="6" t="s">
        <v>2186</v>
      </c>
      <c r="FQ352" s="6" t="n">
        <v>0</v>
      </c>
      <c r="FR352" s="6" t="s">
        <v>2187</v>
      </c>
      <c r="FS352" s="6" t="n">
        <v>0</v>
      </c>
      <c r="FT352" s="6" t="s">
        <v>2188</v>
      </c>
      <c r="FU352" s="6" t="n">
        <v>0</v>
      </c>
      <c r="FV352" s="6" t="s">
        <v>2189</v>
      </c>
      <c r="FW352" s="6" t="n">
        <v>0</v>
      </c>
      <c r="FX352" s="6" t="s">
        <v>2190</v>
      </c>
      <c r="FY352" s="6" t="n">
        <v>0</v>
      </c>
      <c r="FZ352" s="6" t="s">
        <v>2191</v>
      </c>
      <c r="GA352" s="6" t="n">
        <v>0</v>
      </c>
      <c r="GB352" s="6" t="s">
        <v>2192</v>
      </c>
      <c r="GC352" s="6" t="n">
        <v>0</v>
      </c>
    </row>
    <row r="353" customFormat="false" ht="12.8" hidden="false" customHeight="false" outlineLevel="0" collapsed="false">
      <c r="A353" s="6" t="s">
        <v>2193</v>
      </c>
      <c r="B353" s="6" t="n">
        <v>8</v>
      </c>
      <c r="C353" s="6" t="n">
        <v>105</v>
      </c>
      <c r="D353" s="12" t="n">
        <f aca="false">C353/(B353+C353)*100</f>
        <v>92.9203539823009</v>
      </c>
      <c r="E353" s="6" t="n">
        <v>14</v>
      </c>
      <c r="F353" s="6" t="s">
        <v>2194</v>
      </c>
      <c r="G353" s="6" t="n">
        <v>66</v>
      </c>
      <c r="H353" s="6" t="s">
        <v>2195</v>
      </c>
      <c r="I353" s="6" t="n">
        <v>13</v>
      </c>
      <c r="J353" s="6" t="s">
        <v>2196</v>
      </c>
      <c r="K353" s="6" t="n">
        <v>5</v>
      </c>
      <c r="L353" s="6" t="s">
        <v>2197</v>
      </c>
      <c r="M353" s="6" t="n">
        <v>5</v>
      </c>
      <c r="N353" s="6" t="s">
        <v>2198</v>
      </c>
      <c r="O353" s="6" t="n">
        <v>5</v>
      </c>
      <c r="P353" s="6" t="s">
        <v>2199</v>
      </c>
      <c r="Q353" s="6" t="n">
        <v>3</v>
      </c>
      <c r="R353" s="6" t="s">
        <v>2200</v>
      </c>
      <c r="S353" s="6" t="n">
        <v>3</v>
      </c>
      <c r="T353" s="6" t="s">
        <v>2201</v>
      </c>
      <c r="U353" s="6" t="n">
        <v>2</v>
      </c>
      <c r="V353" s="6" t="s">
        <v>2202</v>
      </c>
      <c r="W353" s="6" t="n">
        <v>2</v>
      </c>
      <c r="X353" s="6" t="s">
        <v>2203</v>
      </c>
      <c r="Y353" s="6" t="n">
        <v>1</v>
      </c>
      <c r="Z353" s="6" t="s">
        <v>2204</v>
      </c>
      <c r="AA353" s="6" t="n">
        <v>0</v>
      </c>
      <c r="AB353" s="6" t="s">
        <v>2205</v>
      </c>
      <c r="AC353" s="6" t="n">
        <v>0</v>
      </c>
      <c r="AD353" s="6" t="s">
        <v>2206</v>
      </c>
      <c r="AE353" s="6" t="n">
        <v>0</v>
      </c>
      <c r="AF353" s="6" t="s">
        <v>2207</v>
      </c>
      <c r="AG353" s="6" t="n">
        <v>0</v>
      </c>
    </row>
    <row r="354" customFormat="false" ht="12.8" hidden="false" customHeight="false" outlineLevel="0" collapsed="false">
      <c r="A354" s="6" t="s">
        <v>2208</v>
      </c>
      <c r="B354" s="6" t="n">
        <v>8</v>
      </c>
      <c r="C354" s="6" t="n">
        <v>20</v>
      </c>
      <c r="D354" s="12" t="n">
        <f aca="false">C354/(B354+C354)*100</f>
        <v>71.4285714285714</v>
      </c>
      <c r="E354" s="6" t="n">
        <v>3</v>
      </c>
      <c r="F354" s="6" t="s">
        <v>2209</v>
      </c>
      <c r="G354" s="6" t="n">
        <v>15</v>
      </c>
      <c r="H354" s="6" t="s">
        <v>2210</v>
      </c>
      <c r="I354" s="6" t="n">
        <v>4</v>
      </c>
      <c r="J354" s="6" t="s">
        <v>2211</v>
      </c>
      <c r="K354" s="6" t="n">
        <v>1</v>
      </c>
    </row>
    <row r="355" customFormat="false" ht="12.8" hidden="false" customHeight="false" outlineLevel="0" collapsed="false">
      <c r="A355" s="6" t="s">
        <v>2212</v>
      </c>
      <c r="B355" s="6" t="n">
        <v>8</v>
      </c>
      <c r="C355" s="6" t="n">
        <v>12</v>
      </c>
      <c r="D355" s="12" t="n">
        <f aca="false">C355/(B355+C355)*100</f>
        <v>60</v>
      </c>
      <c r="E355" s="6" t="n">
        <v>5</v>
      </c>
      <c r="F355" s="6" t="s">
        <v>2213</v>
      </c>
      <c r="G355" s="6" t="n">
        <v>4</v>
      </c>
      <c r="H355" s="6" t="s">
        <v>2214</v>
      </c>
      <c r="I355" s="6" t="n">
        <v>3</v>
      </c>
      <c r="J355" s="6" t="s">
        <v>2215</v>
      </c>
      <c r="K355" s="6" t="n">
        <v>2</v>
      </c>
      <c r="L355" s="6" t="s">
        <v>2216</v>
      </c>
      <c r="M355" s="6" t="n">
        <v>2</v>
      </c>
      <c r="N355" s="6" t="s">
        <v>2217</v>
      </c>
      <c r="O355" s="6" t="n">
        <v>1</v>
      </c>
    </row>
    <row r="356" customFormat="false" ht="12.8" hidden="false" customHeight="false" outlineLevel="0" collapsed="false">
      <c r="A356" s="6" t="s">
        <v>2218</v>
      </c>
      <c r="B356" s="6" t="n">
        <v>8</v>
      </c>
      <c r="C356" s="6" t="n">
        <v>6</v>
      </c>
      <c r="D356" s="12" t="n">
        <f aca="false">C356/(B356+C356)*100</f>
        <v>42.8571428571429</v>
      </c>
      <c r="E356" s="6" t="n">
        <v>1</v>
      </c>
      <c r="F356" s="6" t="s">
        <v>2219</v>
      </c>
      <c r="G356" s="6" t="n">
        <v>6</v>
      </c>
    </row>
    <row r="357" customFormat="false" ht="12.8" hidden="false" customHeight="false" outlineLevel="0" collapsed="false">
      <c r="A357" s="6" t="s">
        <v>2220</v>
      </c>
      <c r="B357" s="6" t="n">
        <v>8</v>
      </c>
      <c r="C357" s="6" t="n">
        <v>1</v>
      </c>
      <c r="D357" s="12" t="n">
        <f aca="false">C357/(B357+C357)*100</f>
        <v>11.1111111111111</v>
      </c>
      <c r="E357" s="6" t="n">
        <v>1</v>
      </c>
      <c r="F357" s="6" t="s">
        <v>2221</v>
      </c>
      <c r="G357" s="6" t="n">
        <v>1</v>
      </c>
    </row>
    <row r="358" customFormat="false" ht="12.8" hidden="false" customHeight="false" outlineLevel="0" collapsed="false">
      <c r="A358" s="6" t="s">
        <v>2222</v>
      </c>
      <c r="B358" s="6" t="n">
        <v>8</v>
      </c>
      <c r="C358" s="6" t="n">
        <v>1</v>
      </c>
      <c r="D358" s="12" t="n">
        <f aca="false">C358/(B358+C358)*100</f>
        <v>11.1111111111111</v>
      </c>
      <c r="E358" s="6" t="n">
        <v>1</v>
      </c>
      <c r="F358" s="6" t="s">
        <v>2223</v>
      </c>
      <c r="G358" s="6" t="n">
        <v>1</v>
      </c>
    </row>
    <row r="359" customFormat="false" ht="12.8" hidden="false" customHeight="false" outlineLevel="0" collapsed="false">
      <c r="A359" s="6" t="s">
        <v>2224</v>
      </c>
      <c r="B359" s="6" t="n">
        <v>8</v>
      </c>
      <c r="C359" s="6" t="n">
        <v>1</v>
      </c>
      <c r="D359" s="12" t="n">
        <f aca="false">C359/(B359+C359)*100</f>
        <v>11.1111111111111</v>
      </c>
      <c r="E359" s="6" t="n">
        <v>1</v>
      </c>
      <c r="F359" s="6" t="s">
        <v>2225</v>
      </c>
      <c r="G359" s="6" t="n">
        <v>1</v>
      </c>
    </row>
    <row r="360" customFormat="false" ht="12.8" hidden="false" customHeight="false" outlineLevel="0" collapsed="false">
      <c r="A360" s="6" t="s">
        <v>2226</v>
      </c>
      <c r="B360" s="6" t="n">
        <v>8</v>
      </c>
      <c r="C360" s="6" t="n">
        <v>1</v>
      </c>
      <c r="D360" s="12" t="n">
        <f aca="false">C360/(B360+C360)*100</f>
        <v>11.1111111111111</v>
      </c>
      <c r="E360" s="6" t="n">
        <v>1</v>
      </c>
      <c r="F360" s="6" t="s">
        <v>2227</v>
      </c>
      <c r="G360" s="6" t="n">
        <v>1</v>
      </c>
    </row>
    <row r="361" customFormat="false" ht="12.8" hidden="false" customHeight="false" outlineLevel="0" collapsed="false">
      <c r="A361" s="6" t="s">
        <v>2228</v>
      </c>
      <c r="B361" s="6" t="n">
        <v>8</v>
      </c>
      <c r="C361" s="6" t="n">
        <v>1</v>
      </c>
      <c r="D361" s="12" t="n">
        <f aca="false">C361/(B361+C361)*100</f>
        <v>11.1111111111111</v>
      </c>
      <c r="E361" s="6" t="n">
        <v>1</v>
      </c>
      <c r="F361" s="6" t="s">
        <v>2229</v>
      </c>
      <c r="G361" s="6" t="n">
        <v>1</v>
      </c>
    </row>
    <row r="362" customFormat="false" ht="12.8" hidden="false" customHeight="false" outlineLevel="0" collapsed="false">
      <c r="A362" s="6" t="s">
        <v>2230</v>
      </c>
      <c r="B362" s="6" t="n">
        <v>8</v>
      </c>
      <c r="C362" s="6" t="n">
        <v>1</v>
      </c>
      <c r="D362" s="12" t="n">
        <f aca="false">C362/(B362+C362)*100</f>
        <v>11.1111111111111</v>
      </c>
      <c r="E362" s="6" t="n">
        <v>1</v>
      </c>
      <c r="F362" s="6" t="s">
        <v>2231</v>
      </c>
      <c r="G362" s="6" t="n">
        <v>1</v>
      </c>
    </row>
    <row r="363" customFormat="false" ht="12.8" hidden="false" customHeight="false" outlineLevel="0" collapsed="false">
      <c r="A363" s="6" t="s">
        <v>2232</v>
      </c>
      <c r="B363" s="6" t="n">
        <v>9</v>
      </c>
      <c r="C363" s="6" t="n">
        <v>210</v>
      </c>
      <c r="D363" s="12" t="n">
        <f aca="false">C363/(B363+C363)*100</f>
        <v>95.8904109589041</v>
      </c>
      <c r="E363" s="6" t="n">
        <v>5</v>
      </c>
      <c r="F363" s="6" t="s">
        <v>2233</v>
      </c>
      <c r="G363" s="6" t="n">
        <v>193</v>
      </c>
      <c r="H363" s="6" t="s">
        <v>2234</v>
      </c>
      <c r="I363" s="6" t="n">
        <v>13</v>
      </c>
      <c r="J363" s="6" t="s">
        <v>2235</v>
      </c>
      <c r="K363" s="6" t="n">
        <v>2</v>
      </c>
      <c r="L363" s="6" t="s">
        <v>2236</v>
      </c>
      <c r="M363" s="6" t="n">
        <v>1</v>
      </c>
      <c r="N363" s="6" t="s">
        <v>2237</v>
      </c>
      <c r="O363" s="6" t="n">
        <v>1</v>
      </c>
    </row>
    <row r="364" customFormat="false" ht="12.8" hidden="false" customHeight="false" outlineLevel="0" collapsed="false">
      <c r="A364" s="6" t="s">
        <v>2238</v>
      </c>
      <c r="B364" s="6" t="n">
        <v>9</v>
      </c>
      <c r="C364" s="6" t="n">
        <v>71</v>
      </c>
      <c r="D364" s="12" t="n">
        <f aca="false">C364/(B364+C364)*100</f>
        <v>88.75</v>
      </c>
      <c r="E364" s="6" t="n">
        <v>3</v>
      </c>
      <c r="F364" s="6" t="s">
        <v>2239</v>
      </c>
      <c r="G364" s="6" t="n">
        <v>70</v>
      </c>
      <c r="H364" s="6" t="s">
        <v>2240</v>
      </c>
      <c r="I364" s="6" t="n">
        <v>1</v>
      </c>
      <c r="J364" s="6" t="s">
        <v>2241</v>
      </c>
      <c r="K364" s="6" t="n">
        <v>0</v>
      </c>
    </row>
    <row r="365" customFormat="false" ht="12.8" hidden="false" customHeight="false" outlineLevel="0" collapsed="false">
      <c r="A365" s="6" t="s">
        <v>2242</v>
      </c>
      <c r="B365" s="6" t="n">
        <v>9</v>
      </c>
      <c r="C365" s="6" t="n">
        <v>38</v>
      </c>
      <c r="D365" s="12" t="n">
        <f aca="false">C365/(B365+C365)*100</f>
        <v>80.8510638297872</v>
      </c>
      <c r="E365" s="6" t="n">
        <v>7</v>
      </c>
      <c r="F365" s="6" t="s">
        <v>2243</v>
      </c>
      <c r="G365" s="6" t="n">
        <v>29</v>
      </c>
      <c r="H365" s="6" t="s">
        <v>2244</v>
      </c>
      <c r="I365" s="6" t="n">
        <v>7</v>
      </c>
      <c r="J365" s="6" t="s">
        <v>2245</v>
      </c>
      <c r="K365" s="6" t="n">
        <v>1</v>
      </c>
      <c r="L365" s="6" t="s">
        <v>2246</v>
      </c>
      <c r="M365" s="6" t="n">
        <v>1</v>
      </c>
      <c r="N365" s="6" t="s">
        <v>2247</v>
      </c>
      <c r="O365" s="6" t="n">
        <v>0</v>
      </c>
      <c r="P365" s="6" t="s">
        <v>2248</v>
      </c>
      <c r="Q365" s="6" t="n">
        <v>0</v>
      </c>
      <c r="R365" s="6" t="s">
        <v>2249</v>
      </c>
      <c r="S365" s="6" t="n">
        <v>0</v>
      </c>
    </row>
    <row r="366" customFormat="false" ht="12.8" hidden="false" customHeight="false" outlineLevel="0" collapsed="false">
      <c r="A366" s="6" t="s">
        <v>2250</v>
      </c>
      <c r="B366" s="6" t="n">
        <v>9</v>
      </c>
      <c r="C366" s="6" t="n">
        <v>7</v>
      </c>
      <c r="D366" s="12" t="n">
        <f aca="false">C366/(B366+C366)*100</f>
        <v>43.75</v>
      </c>
      <c r="E366" s="6" t="n">
        <v>1</v>
      </c>
      <c r="F366" s="6" t="s">
        <v>2251</v>
      </c>
      <c r="G366" s="6" t="n">
        <v>7</v>
      </c>
    </row>
    <row r="367" customFormat="false" ht="12.8" hidden="false" customHeight="false" outlineLevel="0" collapsed="false">
      <c r="A367" s="6" t="s">
        <v>2252</v>
      </c>
      <c r="B367" s="6" t="n">
        <v>9</v>
      </c>
      <c r="C367" s="6" t="n">
        <v>3</v>
      </c>
      <c r="D367" s="12" t="n">
        <f aca="false">C367/(B367+C367)*100</f>
        <v>25</v>
      </c>
      <c r="E367" s="6" t="n">
        <v>3</v>
      </c>
      <c r="F367" s="6" t="s">
        <v>2253</v>
      </c>
      <c r="G367" s="6" t="n">
        <v>1</v>
      </c>
      <c r="H367" s="6" t="s">
        <v>2254</v>
      </c>
      <c r="I367" s="6" t="n">
        <v>1</v>
      </c>
      <c r="J367" s="6" t="s">
        <v>2255</v>
      </c>
      <c r="K367" s="6" t="n">
        <v>1</v>
      </c>
    </row>
    <row r="368" customFormat="false" ht="12.8" hidden="false" customHeight="false" outlineLevel="0" collapsed="false">
      <c r="A368" s="6" t="s">
        <v>2256</v>
      </c>
      <c r="B368" s="6" t="n">
        <v>9</v>
      </c>
      <c r="C368" s="6" t="n">
        <v>1</v>
      </c>
      <c r="D368" s="12" t="n">
        <f aca="false">C368/(B368+C368)*100</f>
        <v>10</v>
      </c>
      <c r="E368" s="6" t="n">
        <v>2</v>
      </c>
      <c r="F368" s="6" t="s">
        <v>2257</v>
      </c>
      <c r="G368" s="6" t="n">
        <v>1</v>
      </c>
      <c r="H368" s="6" t="s">
        <v>2258</v>
      </c>
      <c r="I368" s="6" t="n">
        <v>0</v>
      </c>
    </row>
    <row r="369" customFormat="false" ht="12.8" hidden="false" customHeight="false" outlineLevel="0" collapsed="false">
      <c r="A369" s="6" t="s">
        <v>2259</v>
      </c>
      <c r="B369" s="6" t="n">
        <v>9</v>
      </c>
      <c r="C369" s="6" t="n">
        <v>1</v>
      </c>
      <c r="D369" s="12" t="n">
        <f aca="false">C369/(B369+C369)*100</f>
        <v>10</v>
      </c>
      <c r="E369" s="6" t="n">
        <v>2</v>
      </c>
      <c r="F369" s="6" t="s">
        <v>2260</v>
      </c>
      <c r="G369" s="6" t="n">
        <v>1</v>
      </c>
      <c r="H369" s="6" t="s">
        <v>2261</v>
      </c>
      <c r="I369" s="6" t="n">
        <v>0</v>
      </c>
    </row>
    <row r="370" customFormat="false" ht="12.8" hidden="false" customHeight="false" outlineLevel="0" collapsed="false">
      <c r="A370" s="6" t="s">
        <v>2262</v>
      </c>
      <c r="B370" s="6" t="n">
        <v>9</v>
      </c>
      <c r="C370" s="6" t="n">
        <v>1</v>
      </c>
      <c r="D370" s="12" t="n">
        <f aca="false">C370/(B370+C370)*100</f>
        <v>10</v>
      </c>
      <c r="E370" s="6" t="n">
        <v>1</v>
      </c>
      <c r="F370" s="6" t="s">
        <v>2263</v>
      </c>
      <c r="G370" s="6" t="n">
        <v>1</v>
      </c>
    </row>
    <row r="371" customFormat="false" ht="12.8" hidden="false" customHeight="false" outlineLevel="0" collapsed="false">
      <c r="A371" s="6" t="s">
        <v>2264</v>
      </c>
      <c r="B371" s="6" t="n">
        <v>9</v>
      </c>
      <c r="C371" s="6" t="n">
        <v>1</v>
      </c>
      <c r="D371" s="12" t="n">
        <f aca="false">C371/(B371+C371)*100</f>
        <v>10</v>
      </c>
      <c r="E371" s="6" t="n">
        <v>1</v>
      </c>
      <c r="F371" s="6" t="s">
        <v>2265</v>
      </c>
      <c r="G371" s="6" t="n">
        <v>1</v>
      </c>
    </row>
    <row r="372" customFormat="false" ht="12.8" hidden="false" customHeight="false" outlineLevel="0" collapsed="false">
      <c r="A372" s="6" t="s">
        <v>2266</v>
      </c>
      <c r="B372" s="6" t="n">
        <v>9</v>
      </c>
      <c r="C372" s="6" t="n">
        <v>0</v>
      </c>
      <c r="D372" s="12" t="n">
        <f aca="false">C372/(B372+C372)*100</f>
        <v>0</v>
      </c>
      <c r="E372" s="6" t="n">
        <v>1</v>
      </c>
      <c r="F372" s="6" t="s">
        <v>2267</v>
      </c>
      <c r="G372" s="6" t="n">
        <v>0</v>
      </c>
    </row>
    <row r="373" customFormat="false" ht="12.8" hidden="false" customHeight="false" outlineLevel="0" collapsed="false">
      <c r="A373" s="6" t="s">
        <v>2268</v>
      </c>
      <c r="B373" s="6" t="n">
        <v>10</v>
      </c>
      <c r="C373" s="6" t="n">
        <v>45</v>
      </c>
      <c r="D373" s="12" t="n">
        <f aca="false">C373/(B373+C373)*100</f>
        <v>81.8181818181818</v>
      </c>
      <c r="E373" s="6" t="n">
        <v>2</v>
      </c>
      <c r="F373" s="6" t="s">
        <v>2269</v>
      </c>
      <c r="G373" s="6" t="n">
        <v>37</v>
      </c>
      <c r="H373" s="6" t="s">
        <v>2270</v>
      </c>
      <c r="I373" s="6" t="n">
        <v>8</v>
      </c>
    </row>
    <row r="374" customFormat="false" ht="12.8" hidden="false" customHeight="false" outlineLevel="0" collapsed="false">
      <c r="A374" s="6" t="s">
        <v>2271</v>
      </c>
      <c r="B374" s="6" t="n">
        <v>10</v>
      </c>
      <c r="C374" s="6" t="n">
        <v>27</v>
      </c>
      <c r="D374" s="12" t="n">
        <f aca="false">C374/(B374+C374)*100</f>
        <v>72.972972972973</v>
      </c>
      <c r="E374" s="6" t="n">
        <v>6</v>
      </c>
      <c r="F374" s="6" t="s">
        <v>2272</v>
      </c>
      <c r="G374" s="6" t="n">
        <v>16</v>
      </c>
      <c r="H374" s="6" t="s">
        <v>2273</v>
      </c>
      <c r="I374" s="6" t="n">
        <v>5</v>
      </c>
      <c r="J374" s="6" t="s">
        <v>2274</v>
      </c>
      <c r="K374" s="6" t="n">
        <v>4</v>
      </c>
      <c r="L374" s="6" t="s">
        <v>2275</v>
      </c>
      <c r="M374" s="6" t="n">
        <v>1</v>
      </c>
      <c r="N374" s="6" t="s">
        <v>2276</v>
      </c>
      <c r="O374" s="6" t="n">
        <v>1</v>
      </c>
      <c r="P374" s="6" t="s">
        <v>2277</v>
      </c>
      <c r="Q374" s="6" t="n">
        <v>0</v>
      </c>
    </row>
    <row r="375" customFormat="false" ht="12.8" hidden="false" customHeight="false" outlineLevel="0" collapsed="false">
      <c r="A375" s="6" t="s">
        <v>2278</v>
      </c>
      <c r="B375" s="6" t="n">
        <v>10</v>
      </c>
      <c r="C375" s="6" t="n">
        <v>20</v>
      </c>
      <c r="D375" s="12" t="n">
        <f aca="false">C375/(B375+C375)*100</f>
        <v>66.6666666666667</v>
      </c>
      <c r="E375" s="6" t="n">
        <v>12</v>
      </c>
      <c r="F375" s="6" t="s">
        <v>2279</v>
      </c>
      <c r="G375" s="6" t="n">
        <v>6</v>
      </c>
      <c r="H375" s="6" t="s">
        <v>2280</v>
      </c>
      <c r="I375" s="6" t="n">
        <v>4</v>
      </c>
      <c r="J375" s="6" t="s">
        <v>2281</v>
      </c>
      <c r="K375" s="6" t="n">
        <v>3</v>
      </c>
      <c r="L375" s="6" t="s">
        <v>2282</v>
      </c>
      <c r="M375" s="6" t="n">
        <v>2</v>
      </c>
      <c r="N375" s="6" t="s">
        <v>2283</v>
      </c>
      <c r="O375" s="6" t="n">
        <v>2</v>
      </c>
      <c r="P375" s="6" t="s">
        <v>2284</v>
      </c>
      <c r="Q375" s="6" t="n">
        <v>1</v>
      </c>
      <c r="R375" s="6" t="s">
        <v>2285</v>
      </c>
      <c r="S375" s="6" t="n">
        <v>1</v>
      </c>
      <c r="T375" s="6" t="s">
        <v>2286</v>
      </c>
      <c r="U375" s="6" t="n">
        <v>1</v>
      </c>
      <c r="V375" s="6" t="s">
        <v>2287</v>
      </c>
      <c r="W375" s="6" t="n">
        <v>0</v>
      </c>
      <c r="X375" s="6" t="s">
        <v>2288</v>
      </c>
      <c r="Y375" s="6" t="n">
        <v>0</v>
      </c>
      <c r="Z375" s="6" t="s">
        <v>2289</v>
      </c>
      <c r="AA375" s="6" t="n">
        <v>0</v>
      </c>
      <c r="AB375" s="6" t="s">
        <v>2290</v>
      </c>
      <c r="AC375" s="6" t="n">
        <v>0</v>
      </c>
    </row>
    <row r="376" customFormat="false" ht="12.8" hidden="false" customHeight="false" outlineLevel="0" collapsed="false">
      <c r="A376" s="6" t="s">
        <v>2291</v>
      </c>
      <c r="B376" s="6" t="n">
        <v>10</v>
      </c>
      <c r="C376" s="6" t="n">
        <v>18</v>
      </c>
      <c r="D376" s="12" t="n">
        <f aca="false">C376/(B376+C376)*100</f>
        <v>64.2857142857143</v>
      </c>
      <c r="E376" s="6" t="n">
        <v>3</v>
      </c>
      <c r="F376" s="6" t="s">
        <v>2292</v>
      </c>
      <c r="G376" s="6" t="n">
        <v>14</v>
      </c>
      <c r="H376" s="6" t="s">
        <v>2293</v>
      </c>
      <c r="I376" s="6" t="n">
        <v>4</v>
      </c>
      <c r="J376" s="6" t="s">
        <v>2294</v>
      </c>
      <c r="K376" s="6" t="n">
        <v>0</v>
      </c>
    </row>
    <row r="377" customFormat="false" ht="12.8" hidden="false" customHeight="false" outlineLevel="0" collapsed="false">
      <c r="A377" s="6" t="s">
        <v>2295</v>
      </c>
      <c r="B377" s="6" t="n">
        <v>10</v>
      </c>
      <c r="C377" s="6" t="n">
        <v>11</v>
      </c>
      <c r="D377" s="12" t="n">
        <f aca="false">C377/(B377+C377)*100</f>
        <v>52.3809523809524</v>
      </c>
      <c r="E377" s="6" t="n">
        <v>5</v>
      </c>
      <c r="F377" s="6" t="s">
        <v>2296</v>
      </c>
      <c r="G377" s="6" t="n">
        <v>6</v>
      </c>
      <c r="H377" s="6" t="s">
        <v>2297</v>
      </c>
      <c r="I377" s="6" t="n">
        <v>2</v>
      </c>
      <c r="J377" s="6" t="s">
        <v>2298</v>
      </c>
      <c r="K377" s="6" t="n">
        <v>1</v>
      </c>
      <c r="L377" s="6" t="s">
        <v>2299</v>
      </c>
      <c r="M377" s="6" t="n">
        <v>1</v>
      </c>
      <c r="N377" s="6" t="s">
        <v>2300</v>
      </c>
      <c r="O377" s="6" t="n">
        <v>1</v>
      </c>
    </row>
    <row r="378" customFormat="false" ht="12.8" hidden="false" customHeight="false" outlineLevel="0" collapsed="false">
      <c r="A378" s="6" t="s">
        <v>2301</v>
      </c>
      <c r="B378" s="6" t="n">
        <v>10</v>
      </c>
      <c r="C378" s="6" t="n">
        <v>4</v>
      </c>
      <c r="D378" s="12" t="n">
        <f aca="false">C378/(B378+C378)*100</f>
        <v>28.5714285714286</v>
      </c>
      <c r="E378" s="6" t="n">
        <v>3</v>
      </c>
      <c r="F378" s="6" t="s">
        <v>2302</v>
      </c>
      <c r="G378" s="6" t="n">
        <v>2</v>
      </c>
      <c r="H378" s="6" t="s">
        <v>2303</v>
      </c>
      <c r="I378" s="6" t="n">
        <v>1</v>
      </c>
      <c r="J378" s="6" t="s">
        <v>2304</v>
      </c>
      <c r="K378" s="6" t="n">
        <v>1</v>
      </c>
    </row>
    <row r="379" customFormat="false" ht="12.8" hidden="false" customHeight="false" outlineLevel="0" collapsed="false">
      <c r="A379" s="6" t="s">
        <v>2305</v>
      </c>
      <c r="B379" s="6" t="n">
        <v>10</v>
      </c>
      <c r="C379" s="6" t="n">
        <v>4</v>
      </c>
      <c r="D379" s="12" t="n">
        <f aca="false">C379/(B379+C379)*100</f>
        <v>28.5714285714286</v>
      </c>
      <c r="E379" s="6" t="n">
        <v>3</v>
      </c>
      <c r="F379" s="6" t="s">
        <v>2306</v>
      </c>
      <c r="G379" s="6" t="n">
        <v>2</v>
      </c>
      <c r="H379" s="6" t="s">
        <v>2307</v>
      </c>
      <c r="I379" s="6" t="n">
        <v>1</v>
      </c>
      <c r="J379" s="6" t="s">
        <v>2308</v>
      </c>
      <c r="K379" s="6" t="n">
        <v>1</v>
      </c>
    </row>
    <row r="380" customFormat="false" ht="12.8" hidden="false" customHeight="false" outlineLevel="0" collapsed="false">
      <c r="A380" s="6" t="s">
        <v>2309</v>
      </c>
      <c r="B380" s="6" t="n">
        <v>10</v>
      </c>
      <c r="C380" s="6" t="n">
        <v>3</v>
      </c>
      <c r="D380" s="12" t="n">
        <f aca="false">C380/(B380+C380)*100</f>
        <v>23.0769230769231</v>
      </c>
      <c r="E380" s="6" t="n">
        <v>1</v>
      </c>
      <c r="F380" s="6" t="s">
        <v>2310</v>
      </c>
      <c r="G380" s="6" t="n">
        <v>3</v>
      </c>
    </row>
    <row r="381" customFormat="false" ht="12.8" hidden="false" customHeight="false" outlineLevel="0" collapsed="false">
      <c r="A381" s="6" t="s">
        <v>2311</v>
      </c>
      <c r="B381" s="6" t="n">
        <v>10</v>
      </c>
      <c r="C381" s="6" t="n">
        <v>2</v>
      </c>
      <c r="D381" s="12" t="n">
        <f aca="false">C381/(B381+C381)*100</f>
        <v>16.6666666666667</v>
      </c>
      <c r="E381" s="6" t="n">
        <v>2</v>
      </c>
      <c r="F381" s="6" t="s">
        <v>2312</v>
      </c>
      <c r="G381" s="6" t="n">
        <v>1</v>
      </c>
      <c r="H381" s="6" t="s">
        <v>2313</v>
      </c>
      <c r="I381" s="6" t="n">
        <v>1</v>
      </c>
    </row>
    <row r="382" customFormat="false" ht="12.8" hidden="false" customHeight="false" outlineLevel="0" collapsed="false">
      <c r="A382" s="6" t="s">
        <v>2314</v>
      </c>
      <c r="B382" s="6" t="n">
        <v>10</v>
      </c>
      <c r="C382" s="6" t="n">
        <v>2</v>
      </c>
      <c r="D382" s="12" t="n">
        <f aca="false">C382/(B382+C382)*100</f>
        <v>16.6666666666667</v>
      </c>
      <c r="E382" s="6" t="n">
        <v>2</v>
      </c>
      <c r="F382" s="6" t="s">
        <v>2315</v>
      </c>
      <c r="G382" s="6" t="n">
        <v>1</v>
      </c>
      <c r="H382" s="6" t="s">
        <v>2316</v>
      </c>
      <c r="I382" s="6" t="n">
        <v>1</v>
      </c>
    </row>
    <row r="383" customFormat="false" ht="12.8" hidden="false" customHeight="false" outlineLevel="0" collapsed="false">
      <c r="A383" s="6" t="s">
        <v>2317</v>
      </c>
      <c r="B383" s="6" t="n">
        <v>10</v>
      </c>
      <c r="C383" s="6" t="n">
        <v>1</v>
      </c>
      <c r="D383" s="12" t="n">
        <f aca="false">C383/(B383+C383)*100</f>
        <v>9.09090909090909</v>
      </c>
      <c r="E383" s="6" t="n">
        <v>1</v>
      </c>
      <c r="F383" s="6" t="s">
        <v>2318</v>
      </c>
      <c r="G383" s="6" t="n">
        <v>1</v>
      </c>
    </row>
    <row r="384" customFormat="false" ht="12.8" hidden="false" customHeight="false" outlineLevel="0" collapsed="false">
      <c r="A384" s="6" t="s">
        <v>2319</v>
      </c>
      <c r="B384" s="6" t="n">
        <v>10</v>
      </c>
      <c r="C384" s="6" t="n">
        <v>0</v>
      </c>
      <c r="D384" s="12" t="n">
        <f aca="false">C384/(B384+C384)*100</f>
        <v>0</v>
      </c>
      <c r="E384" s="6" t="n">
        <v>1</v>
      </c>
      <c r="F384" s="6" t="s">
        <v>2320</v>
      </c>
      <c r="G384" s="6" t="n">
        <v>0</v>
      </c>
    </row>
    <row r="385" customFormat="false" ht="12.8" hidden="false" customHeight="false" outlineLevel="0" collapsed="false">
      <c r="A385" s="6" t="s">
        <v>2321</v>
      </c>
      <c r="B385" s="6" t="n">
        <v>11</v>
      </c>
      <c r="C385" s="6" t="n">
        <v>46</v>
      </c>
      <c r="D385" s="12" t="n">
        <f aca="false">C385/(B385+C385)*100</f>
        <v>80.7017543859649</v>
      </c>
      <c r="E385" s="6" t="n">
        <v>8</v>
      </c>
      <c r="F385" s="6" t="s">
        <v>2322</v>
      </c>
      <c r="G385" s="6" t="n">
        <v>18</v>
      </c>
      <c r="H385" s="6" t="s">
        <v>2323</v>
      </c>
      <c r="I385" s="6" t="n">
        <v>12</v>
      </c>
      <c r="J385" s="6" t="s">
        <v>2324</v>
      </c>
      <c r="K385" s="6" t="n">
        <v>5</v>
      </c>
      <c r="L385" s="6" t="s">
        <v>2325</v>
      </c>
      <c r="M385" s="6" t="n">
        <v>4</v>
      </c>
      <c r="N385" s="6" t="s">
        <v>2326</v>
      </c>
      <c r="O385" s="6" t="n">
        <v>3</v>
      </c>
      <c r="P385" s="6" t="s">
        <v>2327</v>
      </c>
      <c r="Q385" s="6" t="n">
        <v>2</v>
      </c>
      <c r="R385" s="6" t="s">
        <v>2328</v>
      </c>
      <c r="S385" s="6" t="n">
        <v>1</v>
      </c>
      <c r="T385" s="6" t="s">
        <v>2329</v>
      </c>
      <c r="U385" s="6" t="n">
        <v>1</v>
      </c>
    </row>
    <row r="386" customFormat="false" ht="12.8" hidden="false" customHeight="false" outlineLevel="0" collapsed="false">
      <c r="A386" s="6" t="s">
        <v>2330</v>
      </c>
      <c r="B386" s="6" t="n">
        <v>11</v>
      </c>
      <c r="C386" s="6" t="n">
        <v>39</v>
      </c>
      <c r="D386" s="12" t="n">
        <f aca="false">C386/(B386+C386)*100</f>
        <v>78</v>
      </c>
      <c r="E386" s="6" t="n">
        <v>5</v>
      </c>
      <c r="F386" s="6" t="s">
        <v>2331</v>
      </c>
      <c r="G386" s="6" t="n">
        <v>34</v>
      </c>
      <c r="H386" s="6" t="s">
        <v>2332</v>
      </c>
      <c r="I386" s="6" t="n">
        <v>3</v>
      </c>
      <c r="J386" s="6" t="s">
        <v>2333</v>
      </c>
      <c r="K386" s="6" t="n">
        <v>2</v>
      </c>
      <c r="L386" s="6" t="s">
        <v>2334</v>
      </c>
      <c r="M386" s="6" t="n">
        <v>0</v>
      </c>
      <c r="N386" s="6" t="s">
        <v>2335</v>
      </c>
      <c r="O386" s="6" t="n">
        <v>0</v>
      </c>
    </row>
    <row r="387" customFormat="false" ht="12.8" hidden="false" customHeight="false" outlineLevel="0" collapsed="false">
      <c r="A387" s="6" t="s">
        <v>2336</v>
      </c>
      <c r="B387" s="6" t="n">
        <v>11</v>
      </c>
      <c r="C387" s="6" t="n">
        <v>5</v>
      </c>
      <c r="D387" s="12" t="n">
        <f aca="false">C387/(B387+C387)*100</f>
        <v>31.25</v>
      </c>
      <c r="E387" s="6" t="n">
        <v>7</v>
      </c>
      <c r="F387" s="6" t="s">
        <v>2337</v>
      </c>
      <c r="G387" s="6" t="n">
        <v>3</v>
      </c>
      <c r="H387" s="6" t="s">
        <v>2338</v>
      </c>
      <c r="I387" s="6" t="n">
        <v>1</v>
      </c>
      <c r="J387" s="6" t="s">
        <v>2339</v>
      </c>
      <c r="K387" s="6" t="n">
        <v>1</v>
      </c>
      <c r="L387" s="6" t="s">
        <v>2340</v>
      </c>
      <c r="M387" s="6" t="n">
        <v>0</v>
      </c>
      <c r="N387" s="6" t="s">
        <v>2341</v>
      </c>
      <c r="O387" s="6" t="n">
        <v>0</v>
      </c>
      <c r="P387" s="6" t="s">
        <v>2342</v>
      </c>
      <c r="Q387" s="6" t="n">
        <v>0</v>
      </c>
      <c r="R387" s="6" t="s">
        <v>2343</v>
      </c>
      <c r="S387" s="6" t="n">
        <v>0</v>
      </c>
    </row>
    <row r="388" customFormat="false" ht="12.8" hidden="false" customHeight="false" outlineLevel="0" collapsed="false">
      <c r="A388" s="6" t="s">
        <v>2344</v>
      </c>
      <c r="B388" s="6" t="n">
        <v>11</v>
      </c>
      <c r="C388" s="6" t="n">
        <v>5</v>
      </c>
      <c r="D388" s="12" t="n">
        <f aca="false">C388/(B388+C388)*100</f>
        <v>31.25</v>
      </c>
      <c r="E388" s="6" t="n">
        <v>2</v>
      </c>
      <c r="F388" s="6" t="s">
        <v>2345</v>
      </c>
      <c r="G388" s="6" t="n">
        <v>4</v>
      </c>
      <c r="H388" s="6" t="s">
        <v>2346</v>
      </c>
      <c r="I388" s="6" t="n">
        <v>1</v>
      </c>
    </row>
    <row r="389" customFormat="false" ht="12.8" hidden="false" customHeight="false" outlineLevel="0" collapsed="false">
      <c r="A389" s="6" t="s">
        <v>2347</v>
      </c>
      <c r="B389" s="6" t="n">
        <v>11</v>
      </c>
      <c r="C389" s="6" t="n">
        <v>4</v>
      </c>
      <c r="D389" s="12" t="n">
        <f aca="false">C389/(B389+C389)*100</f>
        <v>26.6666666666667</v>
      </c>
      <c r="E389" s="6" t="n">
        <v>5</v>
      </c>
      <c r="F389" s="6" t="s">
        <v>2348</v>
      </c>
      <c r="G389" s="6" t="n">
        <v>2</v>
      </c>
      <c r="H389" s="6" t="s">
        <v>2349</v>
      </c>
      <c r="I389" s="6" t="n">
        <v>1</v>
      </c>
      <c r="J389" s="6" t="s">
        <v>2350</v>
      </c>
      <c r="K389" s="6" t="n">
        <v>1</v>
      </c>
      <c r="L389" s="6" t="s">
        <v>2351</v>
      </c>
      <c r="M389" s="6" t="n">
        <v>0</v>
      </c>
      <c r="N389" s="6" t="s">
        <v>2352</v>
      </c>
      <c r="O389" s="6" t="n">
        <v>0</v>
      </c>
    </row>
    <row r="390" customFormat="false" ht="12.8" hidden="false" customHeight="false" outlineLevel="0" collapsed="false">
      <c r="A390" s="6" t="s">
        <v>2353</v>
      </c>
      <c r="B390" s="6" t="n">
        <v>11</v>
      </c>
      <c r="C390" s="6" t="n">
        <v>4</v>
      </c>
      <c r="D390" s="12" t="n">
        <f aca="false">C390/(B390+C390)*100</f>
        <v>26.6666666666667</v>
      </c>
      <c r="E390" s="6" t="n">
        <v>3</v>
      </c>
      <c r="F390" s="6" t="s">
        <v>2354</v>
      </c>
      <c r="G390" s="6" t="n">
        <v>2</v>
      </c>
      <c r="H390" s="6" t="s">
        <v>2355</v>
      </c>
      <c r="I390" s="6" t="n">
        <v>2</v>
      </c>
      <c r="J390" s="6" t="s">
        <v>2356</v>
      </c>
      <c r="K390" s="6" t="n">
        <v>0</v>
      </c>
    </row>
    <row r="391" customFormat="false" ht="12.8" hidden="false" customHeight="false" outlineLevel="0" collapsed="false">
      <c r="A391" s="6" t="s">
        <v>2357</v>
      </c>
      <c r="B391" s="6" t="n">
        <v>11</v>
      </c>
      <c r="C391" s="6" t="n">
        <v>4</v>
      </c>
      <c r="D391" s="12" t="n">
        <f aca="false">C391/(B391+C391)*100</f>
        <v>26.6666666666667</v>
      </c>
      <c r="E391" s="6" t="n">
        <v>2</v>
      </c>
      <c r="F391" s="6" t="s">
        <v>2358</v>
      </c>
      <c r="G391" s="6" t="n">
        <v>3</v>
      </c>
      <c r="H391" s="6" t="s">
        <v>2359</v>
      </c>
      <c r="I391" s="6" t="n">
        <v>1</v>
      </c>
    </row>
    <row r="392" customFormat="false" ht="12.8" hidden="false" customHeight="false" outlineLevel="0" collapsed="false">
      <c r="A392" s="6" t="s">
        <v>2360</v>
      </c>
      <c r="B392" s="6" t="n">
        <v>11</v>
      </c>
      <c r="C392" s="6" t="n">
        <v>3</v>
      </c>
      <c r="D392" s="12" t="n">
        <f aca="false">C392/(B392+C392)*100</f>
        <v>21.4285714285714</v>
      </c>
      <c r="E392" s="6" t="n">
        <v>2</v>
      </c>
      <c r="F392" s="6" t="s">
        <v>2361</v>
      </c>
      <c r="G392" s="6" t="n">
        <v>2</v>
      </c>
      <c r="H392" s="6" t="s">
        <v>2362</v>
      </c>
      <c r="I392" s="6" t="n">
        <v>1</v>
      </c>
    </row>
    <row r="393" customFormat="false" ht="12.8" hidden="false" customHeight="false" outlineLevel="0" collapsed="false">
      <c r="A393" s="6" t="s">
        <v>2363</v>
      </c>
      <c r="B393" s="6" t="n">
        <v>11</v>
      </c>
      <c r="C393" s="6" t="n">
        <v>2</v>
      </c>
      <c r="D393" s="12" t="n">
        <f aca="false">C393/(B393+C393)*100</f>
        <v>15.3846153846154</v>
      </c>
      <c r="E393" s="6" t="n">
        <v>1</v>
      </c>
      <c r="F393" s="6" t="s">
        <v>2364</v>
      </c>
      <c r="G393" s="6" t="n">
        <v>2</v>
      </c>
    </row>
    <row r="394" customFormat="false" ht="12.8" hidden="false" customHeight="false" outlineLevel="0" collapsed="false">
      <c r="A394" s="6" t="s">
        <v>2365</v>
      </c>
      <c r="B394" s="6" t="n">
        <v>11</v>
      </c>
      <c r="C394" s="6" t="n">
        <v>2</v>
      </c>
      <c r="D394" s="12" t="n">
        <f aca="false">C394/(B394+C394)*100</f>
        <v>15.3846153846154</v>
      </c>
      <c r="E394" s="6" t="n">
        <v>1</v>
      </c>
      <c r="F394" s="6" t="s">
        <v>2366</v>
      </c>
      <c r="G394" s="6" t="n">
        <v>2</v>
      </c>
    </row>
    <row r="395" customFormat="false" ht="12.8" hidden="false" customHeight="false" outlineLevel="0" collapsed="false">
      <c r="A395" s="6" t="s">
        <v>2367</v>
      </c>
      <c r="B395" s="6" t="n">
        <v>11</v>
      </c>
      <c r="C395" s="6" t="n">
        <v>2</v>
      </c>
      <c r="D395" s="12" t="n">
        <f aca="false">C395/(B395+C395)*100</f>
        <v>15.3846153846154</v>
      </c>
      <c r="E395" s="6" t="n">
        <v>1</v>
      </c>
      <c r="F395" s="6" t="s">
        <v>2368</v>
      </c>
      <c r="G395" s="6" t="n">
        <v>2</v>
      </c>
    </row>
    <row r="396" customFormat="false" ht="12.8" hidden="false" customHeight="false" outlineLevel="0" collapsed="false">
      <c r="A396" s="6" t="s">
        <v>2369</v>
      </c>
      <c r="B396" s="6" t="n">
        <v>11</v>
      </c>
      <c r="C396" s="6" t="n">
        <v>1</v>
      </c>
      <c r="D396" s="12" t="n">
        <f aca="false">C396/(B396+C396)*100</f>
        <v>8.33333333333333</v>
      </c>
      <c r="E396" s="6" t="n">
        <v>1</v>
      </c>
      <c r="F396" s="6" t="s">
        <v>2370</v>
      </c>
      <c r="G396" s="6" t="n">
        <v>1</v>
      </c>
    </row>
    <row r="397" customFormat="false" ht="12.8" hidden="false" customHeight="false" outlineLevel="0" collapsed="false">
      <c r="A397" s="6" t="s">
        <v>2371</v>
      </c>
      <c r="B397" s="6" t="n">
        <v>11</v>
      </c>
      <c r="C397" s="6" t="n">
        <v>1</v>
      </c>
      <c r="D397" s="12" t="n">
        <f aca="false">C397/(B397+C397)*100</f>
        <v>8.33333333333333</v>
      </c>
      <c r="E397" s="6" t="n">
        <v>1</v>
      </c>
      <c r="F397" s="6" t="s">
        <v>2372</v>
      </c>
      <c r="G397" s="6" t="n">
        <v>1</v>
      </c>
    </row>
    <row r="398" customFormat="false" ht="12.8" hidden="false" customHeight="false" outlineLevel="0" collapsed="false">
      <c r="A398" s="6" t="s">
        <v>2373</v>
      </c>
      <c r="B398" s="6" t="n">
        <v>11</v>
      </c>
      <c r="C398" s="6" t="n">
        <v>1</v>
      </c>
      <c r="D398" s="12" t="n">
        <f aca="false">C398/(B398+C398)*100</f>
        <v>8.33333333333333</v>
      </c>
      <c r="E398" s="6" t="n">
        <v>1</v>
      </c>
      <c r="F398" s="6" t="s">
        <v>2374</v>
      </c>
      <c r="G398" s="6" t="n">
        <v>1</v>
      </c>
    </row>
    <row r="399" customFormat="false" ht="12.8" hidden="false" customHeight="false" outlineLevel="0" collapsed="false">
      <c r="A399" s="6" t="s">
        <v>2375</v>
      </c>
      <c r="B399" s="6" t="n">
        <v>12</v>
      </c>
      <c r="C399" s="6" t="n">
        <v>82</v>
      </c>
      <c r="D399" s="12" t="n">
        <f aca="false">C399/(B399+C399)*100</f>
        <v>87.2340425531915</v>
      </c>
      <c r="E399" s="6" t="n">
        <v>7</v>
      </c>
      <c r="F399" s="6" t="s">
        <v>2376</v>
      </c>
      <c r="G399" s="6" t="n">
        <v>66</v>
      </c>
      <c r="H399" s="6" t="s">
        <v>2377</v>
      </c>
      <c r="I399" s="6" t="n">
        <v>7</v>
      </c>
      <c r="J399" s="6" t="s">
        <v>2378</v>
      </c>
      <c r="K399" s="6" t="n">
        <v>5</v>
      </c>
      <c r="L399" s="6" t="s">
        <v>2379</v>
      </c>
      <c r="M399" s="6" t="n">
        <v>2</v>
      </c>
      <c r="N399" s="6" t="s">
        <v>2380</v>
      </c>
      <c r="O399" s="6" t="n">
        <v>1</v>
      </c>
      <c r="P399" s="6" t="s">
        <v>2381</v>
      </c>
      <c r="Q399" s="6" t="n">
        <v>1</v>
      </c>
      <c r="R399" s="6" t="s">
        <v>2382</v>
      </c>
      <c r="S399" s="6" t="n">
        <v>0</v>
      </c>
    </row>
    <row r="400" customFormat="false" ht="12.8" hidden="false" customHeight="false" outlineLevel="0" collapsed="false">
      <c r="A400" s="6" t="s">
        <v>2383</v>
      </c>
      <c r="B400" s="6" t="n">
        <v>12</v>
      </c>
      <c r="C400" s="6" t="n">
        <v>24</v>
      </c>
      <c r="D400" s="12" t="n">
        <f aca="false">C400/(B400+C400)*100</f>
        <v>66.6666666666667</v>
      </c>
      <c r="E400" s="6" t="n">
        <v>6</v>
      </c>
      <c r="F400" s="6" t="s">
        <v>2384</v>
      </c>
      <c r="G400" s="6" t="n">
        <v>8</v>
      </c>
      <c r="H400" s="6" t="s">
        <v>2384</v>
      </c>
      <c r="I400" s="6" t="n">
        <v>8</v>
      </c>
      <c r="J400" s="6" t="s">
        <v>2385</v>
      </c>
      <c r="K400" s="6" t="n">
        <v>3</v>
      </c>
      <c r="L400" s="6" t="s">
        <v>2386</v>
      </c>
      <c r="M400" s="6" t="n">
        <v>3</v>
      </c>
      <c r="N400" s="6" t="s">
        <v>2387</v>
      </c>
      <c r="O400" s="6" t="n">
        <v>1</v>
      </c>
      <c r="P400" s="6" t="s">
        <v>2388</v>
      </c>
      <c r="Q400" s="6" t="n">
        <v>1</v>
      </c>
    </row>
    <row r="401" customFormat="false" ht="12.8" hidden="false" customHeight="false" outlineLevel="0" collapsed="false">
      <c r="A401" s="6" t="s">
        <v>2389</v>
      </c>
      <c r="B401" s="6" t="n">
        <v>12</v>
      </c>
      <c r="C401" s="6" t="n">
        <v>1</v>
      </c>
      <c r="D401" s="12" t="n">
        <f aca="false">C401/(B401+C401)*100</f>
        <v>7.69230769230769</v>
      </c>
      <c r="E401" s="6" t="n">
        <v>1</v>
      </c>
      <c r="F401" s="6" t="s">
        <v>2390</v>
      </c>
      <c r="G401" s="6" t="n">
        <v>1</v>
      </c>
    </row>
    <row r="402" customFormat="false" ht="12.8" hidden="false" customHeight="false" outlineLevel="0" collapsed="false">
      <c r="A402" s="6" t="s">
        <v>2391</v>
      </c>
      <c r="B402" s="6" t="n">
        <v>13</v>
      </c>
      <c r="C402" s="6" t="n">
        <v>931</v>
      </c>
      <c r="D402" s="12" t="n">
        <f aca="false">C402/(B402+C402)*100</f>
        <v>98.6228813559322</v>
      </c>
      <c r="E402" s="6" t="n">
        <v>20</v>
      </c>
      <c r="F402" s="6" t="s">
        <v>2392</v>
      </c>
      <c r="G402" s="6" t="n">
        <v>400</v>
      </c>
      <c r="H402" s="6" t="s">
        <v>2393</v>
      </c>
      <c r="I402" s="6" t="n">
        <v>244</v>
      </c>
      <c r="J402" s="6" t="s">
        <v>2394</v>
      </c>
      <c r="K402" s="6" t="n">
        <v>95</v>
      </c>
      <c r="L402" s="6" t="s">
        <v>2395</v>
      </c>
      <c r="M402" s="6" t="n">
        <v>55</v>
      </c>
      <c r="N402" s="6" t="s">
        <v>2396</v>
      </c>
      <c r="O402" s="6" t="n">
        <v>43</v>
      </c>
      <c r="P402" s="6" t="s">
        <v>2397</v>
      </c>
      <c r="Q402" s="6" t="n">
        <v>35</v>
      </c>
      <c r="R402" s="6" t="s">
        <v>2398</v>
      </c>
      <c r="S402" s="6" t="n">
        <v>20</v>
      </c>
      <c r="T402" s="6" t="s">
        <v>2399</v>
      </c>
      <c r="U402" s="6" t="n">
        <v>14</v>
      </c>
      <c r="V402" s="6" t="s">
        <v>2400</v>
      </c>
      <c r="W402" s="6" t="n">
        <v>7</v>
      </c>
      <c r="X402" s="6" t="s">
        <v>2401</v>
      </c>
      <c r="Y402" s="6" t="n">
        <v>5</v>
      </c>
      <c r="Z402" s="6" t="s">
        <v>2402</v>
      </c>
      <c r="AA402" s="6" t="n">
        <v>4</v>
      </c>
      <c r="AB402" s="6" t="s">
        <v>2403</v>
      </c>
      <c r="AC402" s="6" t="n">
        <v>3</v>
      </c>
      <c r="AD402" s="6" t="s">
        <v>2404</v>
      </c>
      <c r="AE402" s="6" t="n">
        <v>1</v>
      </c>
      <c r="AF402" s="6" t="s">
        <v>2405</v>
      </c>
      <c r="AG402" s="6" t="n">
        <v>1</v>
      </c>
      <c r="AH402" s="6" t="s">
        <v>2406</v>
      </c>
      <c r="AI402" s="6" t="n">
        <v>1</v>
      </c>
      <c r="AJ402" s="6" t="s">
        <v>2407</v>
      </c>
      <c r="AK402" s="6" t="n">
        <v>1</v>
      </c>
      <c r="AL402" s="6" t="s">
        <v>2408</v>
      </c>
      <c r="AM402" s="6" t="n">
        <v>1</v>
      </c>
      <c r="AN402" s="6" t="s">
        <v>2409</v>
      </c>
      <c r="AO402" s="6" t="n">
        <v>1</v>
      </c>
      <c r="AP402" s="6" t="s">
        <v>2410</v>
      </c>
      <c r="AQ402" s="6" t="n">
        <v>0</v>
      </c>
      <c r="AR402" s="6" t="s">
        <v>2411</v>
      </c>
      <c r="AS402" s="6" t="n">
        <v>0</v>
      </c>
    </row>
    <row r="403" customFormat="false" ht="12.8" hidden="false" customHeight="false" outlineLevel="0" collapsed="false">
      <c r="A403" s="6" t="s">
        <v>2412</v>
      </c>
      <c r="B403" s="6" t="n">
        <v>13</v>
      </c>
      <c r="C403" s="6" t="n">
        <v>464</v>
      </c>
      <c r="D403" s="12" t="n">
        <f aca="false">C403/(B403+C403)*100</f>
        <v>97.2746331236897</v>
      </c>
      <c r="E403" s="6" t="n">
        <v>10</v>
      </c>
      <c r="F403" s="6" t="s">
        <v>2413</v>
      </c>
      <c r="G403" s="6" t="n">
        <v>429</v>
      </c>
      <c r="H403" s="6" t="s">
        <v>2414</v>
      </c>
      <c r="I403" s="6" t="n">
        <v>11</v>
      </c>
      <c r="J403" s="6" t="s">
        <v>2415</v>
      </c>
      <c r="K403" s="6" t="n">
        <v>7</v>
      </c>
      <c r="L403" s="6" t="s">
        <v>2416</v>
      </c>
      <c r="M403" s="6" t="n">
        <v>4</v>
      </c>
      <c r="N403" s="6" t="s">
        <v>2417</v>
      </c>
      <c r="O403" s="6" t="n">
        <v>4</v>
      </c>
      <c r="P403" s="6" t="s">
        <v>2418</v>
      </c>
      <c r="Q403" s="6" t="n">
        <v>3</v>
      </c>
      <c r="R403" s="6" t="s">
        <v>2419</v>
      </c>
      <c r="S403" s="6" t="n">
        <v>3</v>
      </c>
      <c r="T403" s="6" t="s">
        <v>2420</v>
      </c>
      <c r="U403" s="6" t="n">
        <v>2</v>
      </c>
      <c r="V403" s="6" t="s">
        <v>2421</v>
      </c>
      <c r="W403" s="6" t="n">
        <v>1</v>
      </c>
      <c r="X403" s="6" t="s">
        <v>2422</v>
      </c>
      <c r="Y403" s="6" t="n">
        <v>0</v>
      </c>
    </row>
    <row r="404" customFormat="false" ht="12.8" hidden="false" customHeight="false" outlineLevel="0" collapsed="false">
      <c r="A404" s="6" t="s">
        <v>2423</v>
      </c>
      <c r="B404" s="6" t="n">
        <v>13</v>
      </c>
      <c r="C404" s="6" t="n">
        <v>81</v>
      </c>
      <c r="D404" s="12" t="n">
        <f aca="false">C404/(B404+C404)*100</f>
        <v>86.1702127659575</v>
      </c>
      <c r="E404" s="6" t="n">
        <v>9</v>
      </c>
      <c r="F404" s="6" t="s">
        <v>2424</v>
      </c>
      <c r="G404" s="6" t="n">
        <v>57</v>
      </c>
      <c r="H404" s="6" t="s">
        <v>2425</v>
      </c>
      <c r="I404" s="6" t="n">
        <v>7</v>
      </c>
      <c r="J404" s="6" t="s">
        <v>2426</v>
      </c>
      <c r="K404" s="6" t="n">
        <v>7</v>
      </c>
      <c r="L404" s="6" t="s">
        <v>2427</v>
      </c>
      <c r="M404" s="6" t="n">
        <v>4</v>
      </c>
      <c r="N404" s="6" t="s">
        <v>2428</v>
      </c>
      <c r="O404" s="6" t="n">
        <v>4</v>
      </c>
      <c r="P404" s="6" t="s">
        <v>2429</v>
      </c>
      <c r="Q404" s="6" t="n">
        <v>1</v>
      </c>
      <c r="R404" s="6" t="s">
        <v>2430</v>
      </c>
      <c r="S404" s="6" t="n">
        <v>1</v>
      </c>
      <c r="T404" s="6" t="s">
        <v>2431</v>
      </c>
      <c r="U404" s="6" t="n">
        <v>0</v>
      </c>
      <c r="V404" s="6" t="s">
        <v>2432</v>
      </c>
      <c r="W404" s="6" t="n">
        <v>0</v>
      </c>
    </row>
    <row r="405" customFormat="false" ht="12.8" hidden="false" customHeight="false" outlineLevel="0" collapsed="false">
      <c r="A405" s="6" t="s">
        <v>2433</v>
      </c>
      <c r="B405" s="6" t="n">
        <v>13</v>
      </c>
      <c r="C405" s="6" t="n">
        <v>14</v>
      </c>
      <c r="D405" s="12" t="n">
        <f aca="false">C405/(B405+C405)*100</f>
        <v>51.8518518518519</v>
      </c>
      <c r="E405" s="6" t="n">
        <v>3</v>
      </c>
      <c r="F405" s="6" t="s">
        <v>2434</v>
      </c>
      <c r="G405" s="6" t="n">
        <v>13</v>
      </c>
      <c r="H405" s="6" t="s">
        <v>2435</v>
      </c>
      <c r="I405" s="6" t="n">
        <v>1</v>
      </c>
      <c r="J405" s="6" t="s">
        <v>2436</v>
      </c>
      <c r="K405" s="6" t="n">
        <v>0</v>
      </c>
    </row>
    <row r="406" customFormat="false" ht="12.8" hidden="false" customHeight="false" outlineLevel="0" collapsed="false">
      <c r="A406" s="6" t="s">
        <v>2437</v>
      </c>
      <c r="B406" s="6" t="n">
        <v>13</v>
      </c>
      <c r="C406" s="6" t="n">
        <v>12</v>
      </c>
      <c r="D406" s="12" t="n">
        <f aca="false">C406/(B406+C406)*100</f>
        <v>48</v>
      </c>
      <c r="E406" s="6" t="n">
        <v>4</v>
      </c>
      <c r="F406" s="6" t="s">
        <v>2438</v>
      </c>
      <c r="G406" s="6" t="n">
        <v>11</v>
      </c>
      <c r="H406" s="6" t="s">
        <v>2439</v>
      </c>
      <c r="I406" s="6" t="n">
        <v>1</v>
      </c>
      <c r="J406" s="6" t="s">
        <v>2440</v>
      </c>
      <c r="K406" s="6" t="n">
        <v>0</v>
      </c>
      <c r="L406" s="6" t="s">
        <v>2441</v>
      </c>
      <c r="M406" s="6" t="n">
        <v>0</v>
      </c>
    </row>
    <row r="407" customFormat="false" ht="12.8" hidden="false" customHeight="false" outlineLevel="0" collapsed="false">
      <c r="A407" s="6" t="s">
        <v>2442</v>
      </c>
      <c r="B407" s="6" t="n">
        <v>13</v>
      </c>
      <c r="C407" s="6" t="n">
        <v>8</v>
      </c>
      <c r="D407" s="12" t="n">
        <f aca="false">C407/(B407+C407)*100</f>
        <v>38.0952380952381</v>
      </c>
      <c r="E407" s="6" t="n">
        <v>1</v>
      </c>
      <c r="F407" s="6" t="s">
        <v>2443</v>
      </c>
      <c r="G407" s="6" t="n">
        <v>8</v>
      </c>
    </row>
    <row r="408" customFormat="false" ht="12.8" hidden="false" customHeight="false" outlineLevel="0" collapsed="false">
      <c r="A408" s="6" t="s">
        <v>2444</v>
      </c>
      <c r="B408" s="6" t="n">
        <v>13</v>
      </c>
      <c r="C408" s="6" t="n">
        <v>7</v>
      </c>
      <c r="D408" s="12" t="n">
        <f aca="false">C408/(B408+C408)*100</f>
        <v>35</v>
      </c>
      <c r="E408" s="6" t="n">
        <v>1</v>
      </c>
      <c r="F408" s="6" t="s">
        <v>2445</v>
      </c>
      <c r="G408" s="6" t="n">
        <v>7</v>
      </c>
    </row>
    <row r="409" customFormat="false" ht="12.8" hidden="false" customHeight="false" outlineLevel="0" collapsed="false">
      <c r="A409" s="6" t="s">
        <v>2446</v>
      </c>
      <c r="B409" s="6" t="n">
        <v>13</v>
      </c>
      <c r="C409" s="6" t="n">
        <v>5</v>
      </c>
      <c r="D409" s="12" t="n">
        <f aca="false">C409/(B409+C409)*100</f>
        <v>27.7777777777778</v>
      </c>
      <c r="E409" s="6" t="n">
        <v>4</v>
      </c>
      <c r="F409" s="6" t="s">
        <v>2447</v>
      </c>
      <c r="G409" s="6" t="n">
        <v>2</v>
      </c>
      <c r="H409" s="6" t="s">
        <v>2448</v>
      </c>
      <c r="I409" s="6" t="n">
        <v>1</v>
      </c>
      <c r="J409" s="6" t="s">
        <v>2449</v>
      </c>
      <c r="K409" s="6" t="n">
        <v>1</v>
      </c>
      <c r="L409" s="6" t="s">
        <v>2450</v>
      </c>
      <c r="M409" s="6" t="n">
        <v>1</v>
      </c>
    </row>
    <row r="410" customFormat="false" ht="12.8" hidden="false" customHeight="false" outlineLevel="0" collapsed="false">
      <c r="A410" s="6" t="s">
        <v>2451</v>
      </c>
      <c r="B410" s="6" t="n">
        <v>13</v>
      </c>
      <c r="C410" s="6" t="n">
        <v>1</v>
      </c>
      <c r="D410" s="12" t="n">
        <f aca="false">C410/(B410+C410)*100</f>
        <v>7.14285714285714</v>
      </c>
      <c r="E410" s="6" t="n">
        <v>3</v>
      </c>
      <c r="F410" s="6" t="s">
        <v>2452</v>
      </c>
      <c r="G410" s="6" t="n">
        <v>1</v>
      </c>
      <c r="H410" s="6" t="s">
        <v>2453</v>
      </c>
      <c r="I410" s="6" t="n">
        <v>0</v>
      </c>
      <c r="J410" s="6" t="s">
        <v>2454</v>
      </c>
      <c r="K410" s="6" t="n">
        <v>0</v>
      </c>
    </row>
    <row r="411" customFormat="false" ht="12.8" hidden="false" customHeight="false" outlineLevel="0" collapsed="false">
      <c r="A411" s="6" t="s">
        <v>2455</v>
      </c>
      <c r="B411" s="6" t="n">
        <v>13</v>
      </c>
      <c r="C411" s="6" t="n">
        <v>0</v>
      </c>
      <c r="D411" s="12" t="n">
        <f aca="false">C411/(B411+C411)*100</f>
        <v>0</v>
      </c>
      <c r="E411" s="6" t="n">
        <v>3</v>
      </c>
      <c r="F411" s="6" t="s">
        <v>2456</v>
      </c>
      <c r="G411" s="6" t="n">
        <v>0</v>
      </c>
      <c r="H411" s="6" t="s">
        <v>2457</v>
      </c>
      <c r="I411" s="6" t="n">
        <v>0</v>
      </c>
      <c r="J411" s="6" t="s">
        <v>2458</v>
      </c>
      <c r="K411" s="6" t="n">
        <v>0</v>
      </c>
    </row>
    <row r="412" customFormat="false" ht="12.8" hidden="false" customHeight="false" outlineLevel="0" collapsed="false">
      <c r="A412" s="6" t="s">
        <v>2459</v>
      </c>
      <c r="B412" s="6" t="n">
        <v>13</v>
      </c>
      <c r="C412" s="6" t="n">
        <v>0</v>
      </c>
      <c r="D412" s="12" t="n">
        <f aca="false">C412/(B412+C412)*100</f>
        <v>0</v>
      </c>
      <c r="E412" s="6" t="n">
        <v>1</v>
      </c>
      <c r="F412" s="6" t="s">
        <v>2460</v>
      </c>
      <c r="G412" s="6" t="n">
        <v>0</v>
      </c>
    </row>
    <row r="413" customFormat="false" ht="12.8" hidden="false" customHeight="false" outlineLevel="0" collapsed="false">
      <c r="A413" s="6" t="s">
        <v>2461</v>
      </c>
      <c r="B413" s="6" t="n">
        <v>14</v>
      </c>
      <c r="C413" s="6" t="n">
        <v>48</v>
      </c>
      <c r="D413" s="12" t="n">
        <f aca="false">C413/(B413+C413)*100</f>
        <v>77.4193548387097</v>
      </c>
      <c r="E413" s="6" t="n">
        <v>10</v>
      </c>
      <c r="F413" s="6" t="s">
        <v>2462</v>
      </c>
      <c r="G413" s="6" t="n">
        <v>29</v>
      </c>
      <c r="H413" s="6" t="s">
        <v>2463</v>
      </c>
      <c r="I413" s="6" t="n">
        <v>8</v>
      </c>
      <c r="J413" s="6" t="s">
        <v>2464</v>
      </c>
      <c r="K413" s="6" t="n">
        <v>4</v>
      </c>
      <c r="L413" s="6" t="s">
        <v>2465</v>
      </c>
      <c r="M413" s="6" t="n">
        <v>1</v>
      </c>
      <c r="N413" s="6" t="s">
        <v>2466</v>
      </c>
      <c r="O413" s="6" t="n">
        <v>1</v>
      </c>
      <c r="P413" s="6" t="s">
        <v>2467</v>
      </c>
      <c r="Q413" s="6" t="n">
        <v>1</v>
      </c>
      <c r="R413" s="6" t="s">
        <v>2468</v>
      </c>
      <c r="S413" s="6" t="n">
        <v>1</v>
      </c>
      <c r="T413" s="6" t="s">
        <v>2469</v>
      </c>
      <c r="U413" s="6" t="n">
        <v>1</v>
      </c>
      <c r="V413" s="6" t="s">
        <v>2470</v>
      </c>
      <c r="W413" s="6" t="n">
        <v>1</v>
      </c>
      <c r="X413" s="6" t="s">
        <v>2471</v>
      </c>
      <c r="Y413" s="6" t="n">
        <v>1</v>
      </c>
    </row>
    <row r="414" customFormat="false" ht="12.8" hidden="false" customHeight="false" outlineLevel="0" collapsed="false">
      <c r="A414" s="6" t="s">
        <v>2472</v>
      </c>
      <c r="B414" s="6" t="n">
        <v>14</v>
      </c>
      <c r="C414" s="6" t="n">
        <v>28</v>
      </c>
      <c r="D414" s="12" t="n">
        <f aca="false">C414/(B414+C414)*100</f>
        <v>66.6666666666667</v>
      </c>
      <c r="E414" s="6" t="n">
        <v>2</v>
      </c>
      <c r="F414" s="6" t="s">
        <v>2473</v>
      </c>
      <c r="G414" s="6" t="n">
        <v>28</v>
      </c>
      <c r="H414" s="6" t="s">
        <v>2474</v>
      </c>
      <c r="I414" s="6" t="n">
        <v>0</v>
      </c>
    </row>
    <row r="415" customFormat="false" ht="12.8" hidden="false" customHeight="false" outlineLevel="0" collapsed="false">
      <c r="A415" s="6" t="s">
        <v>2475</v>
      </c>
      <c r="B415" s="6" t="n">
        <v>14</v>
      </c>
      <c r="C415" s="6" t="n">
        <v>11</v>
      </c>
      <c r="D415" s="12" t="n">
        <f aca="false">C415/(B415+C415)*100</f>
        <v>44</v>
      </c>
      <c r="E415" s="6" t="n">
        <v>2</v>
      </c>
      <c r="F415" s="6" t="s">
        <v>2476</v>
      </c>
      <c r="G415" s="6" t="n">
        <v>8</v>
      </c>
      <c r="H415" s="6" t="s">
        <v>2477</v>
      </c>
      <c r="I415" s="6" t="n">
        <v>3</v>
      </c>
    </row>
    <row r="416" customFormat="false" ht="12.8" hidden="false" customHeight="false" outlineLevel="0" collapsed="false">
      <c r="A416" s="6" t="s">
        <v>2478</v>
      </c>
      <c r="B416" s="6" t="n">
        <v>14</v>
      </c>
      <c r="C416" s="6" t="n">
        <v>4</v>
      </c>
      <c r="D416" s="12" t="n">
        <f aca="false">C416/(B416+C416)*100</f>
        <v>22.2222222222222</v>
      </c>
      <c r="E416" s="6" t="n">
        <v>3</v>
      </c>
      <c r="F416" s="6" t="s">
        <v>2479</v>
      </c>
      <c r="G416" s="6" t="n">
        <v>3</v>
      </c>
      <c r="H416" s="6" t="s">
        <v>2480</v>
      </c>
      <c r="I416" s="6" t="n">
        <v>1</v>
      </c>
      <c r="J416" s="6" t="s">
        <v>2481</v>
      </c>
      <c r="K416" s="6" t="n">
        <v>0</v>
      </c>
    </row>
    <row r="417" customFormat="false" ht="12.8" hidden="false" customHeight="false" outlineLevel="0" collapsed="false">
      <c r="A417" s="6" t="s">
        <v>2482</v>
      </c>
      <c r="B417" s="6" t="n">
        <v>14</v>
      </c>
      <c r="C417" s="6" t="n">
        <v>0</v>
      </c>
      <c r="D417" s="12" t="n">
        <f aca="false">C417/(B417+C417)*100</f>
        <v>0</v>
      </c>
      <c r="E417" s="6" t="n">
        <v>5</v>
      </c>
      <c r="F417" s="6" t="s">
        <v>2483</v>
      </c>
      <c r="G417" s="6" t="n">
        <v>0</v>
      </c>
      <c r="H417" s="6" t="s">
        <v>2484</v>
      </c>
      <c r="I417" s="6" t="n">
        <v>0</v>
      </c>
      <c r="J417" s="6" t="s">
        <v>2485</v>
      </c>
      <c r="K417" s="6" t="n">
        <v>0</v>
      </c>
      <c r="L417" s="6" t="s">
        <v>2486</v>
      </c>
      <c r="M417" s="6" t="n">
        <v>0</v>
      </c>
      <c r="N417" s="6" t="s">
        <v>2487</v>
      </c>
      <c r="O417" s="6" t="n">
        <v>0</v>
      </c>
    </row>
    <row r="418" customFormat="false" ht="12.8" hidden="false" customHeight="false" outlineLevel="0" collapsed="false">
      <c r="A418" s="6" t="s">
        <v>2488</v>
      </c>
      <c r="B418" s="6" t="n">
        <v>14</v>
      </c>
      <c r="C418" s="6" t="n">
        <v>0</v>
      </c>
      <c r="D418" s="12" t="n">
        <f aca="false">C418/(B418+C418)*100</f>
        <v>0</v>
      </c>
      <c r="E418" s="6" t="n">
        <v>2</v>
      </c>
      <c r="F418" s="6" t="s">
        <v>2489</v>
      </c>
      <c r="G418" s="6" t="n">
        <v>0</v>
      </c>
      <c r="H418" s="6" t="s">
        <v>2490</v>
      </c>
      <c r="I418" s="6" t="n">
        <v>0</v>
      </c>
    </row>
    <row r="419" customFormat="false" ht="12.8" hidden="false" customHeight="false" outlineLevel="0" collapsed="false">
      <c r="A419" s="6" t="s">
        <v>2491</v>
      </c>
      <c r="B419" s="6" t="n">
        <v>15</v>
      </c>
      <c r="C419" s="6" t="n">
        <v>366</v>
      </c>
      <c r="D419" s="12" t="n">
        <f aca="false">C419/(B419+C419)*100</f>
        <v>96.0629921259843</v>
      </c>
      <c r="E419" s="6" t="n">
        <v>9</v>
      </c>
      <c r="F419" s="6" t="s">
        <v>2492</v>
      </c>
      <c r="G419" s="6" t="n">
        <v>252</v>
      </c>
      <c r="H419" s="6" t="s">
        <v>2493</v>
      </c>
      <c r="I419" s="6" t="n">
        <v>68</v>
      </c>
      <c r="J419" s="6" t="s">
        <v>2494</v>
      </c>
      <c r="K419" s="6" t="n">
        <v>20</v>
      </c>
      <c r="L419" s="6" t="s">
        <v>2495</v>
      </c>
      <c r="M419" s="6" t="n">
        <v>17</v>
      </c>
      <c r="N419" s="6" t="s">
        <v>2496</v>
      </c>
      <c r="O419" s="6" t="n">
        <v>5</v>
      </c>
      <c r="P419" s="6" t="s">
        <v>2497</v>
      </c>
      <c r="Q419" s="6" t="n">
        <v>2</v>
      </c>
      <c r="R419" s="6" t="s">
        <v>2498</v>
      </c>
      <c r="S419" s="6" t="n">
        <v>1</v>
      </c>
      <c r="T419" s="6" t="s">
        <v>2499</v>
      </c>
      <c r="U419" s="6" t="n">
        <v>1</v>
      </c>
      <c r="V419" s="6" t="s">
        <v>2500</v>
      </c>
      <c r="W419" s="6" t="n">
        <v>0</v>
      </c>
    </row>
    <row r="420" customFormat="false" ht="12.8" hidden="false" customHeight="false" outlineLevel="0" collapsed="false">
      <c r="A420" s="6" t="s">
        <v>2501</v>
      </c>
      <c r="B420" s="6" t="n">
        <v>15</v>
      </c>
      <c r="C420" s="6" t="n">
        <v>24</v>
      </c>
      <c r="D420" s="12" t="n">
        <f aca="false">C420/(B420+C420)*100</f>
        <v>61.5384615384615</v>
      </c>
      <c r="E420" s="6" t="n">
        <v>3</v>
      </c>
      <c r="F420" s="6" t="s">
        <v>2502</v>
      </c>
      <c r="G420" s="6" t="n">
        <v>22</v>
      </c>
      <c r="H420" s="6" t="s">
        <v>2503</v>
      </c>
      <c r="I420" s="6" t="n">
        <v>1</v>
      </c>
      <c r="J420" s="6" t="s">
        <v>2504</v>
      </c>
      <c r="K420" s="6" t="n">
        <v>1</v>
      </c>
    </row>
    <row r="421" customFormat="false" ht="12.8" hidden="false" customHeight="false" outlineLevel="0" collapsed="false">
      <c r="A421" s="6" t="s">
        <v>2505</v>
      </c>
      <c r="B421" s="6" t="n">
        <v>15</v>
      </c>
      <c r="C421" s="6" t="n">
        <v>2</v>
      </c>
      <c r="D421" s="12" t="n">
        <f aca="false">C421/(B421+C421)*100</f>
        <v>11.7647058823529</v>
      </c>
      <c r="E421" s="6" t="n">
        <v>2</v>
      </c>
      <c r="F421" s="6" t="s">
        <v>2506</v>
      </c>
      <c r="G421" s="6" t="n">
        <v>2</v>
      </c>
      <c r="H421" s="6" t="s">
        <v>2507</v>
      </c>
      <c r="I421" s="6" t="n">
        <v>0</v>
      </c>
    </row>
    <row r="422" customFormat="false" ht="12.8" hidden="false" customHeight="false" outlineLevel="0" collapsed="false">
      <c r="A422" s="6" t="s">
        <v>2508</v>
      </c>
      <c r="B422" s="6" t="n">
        <v>15</v>
      </c>
      <c r="C422" s="6" t="n">
        <v>2</v>
      </c>
      <c r="D422" s="12" t="n">
        <f aca="false">C422/(B422+C422)*100</f>
        <v>11.7647058823529</v>
      </c>
      <c r="E422" s="6" t="n">
        <v>2</v>
      </c>
      <c r="F422" s="6" t="s">
        <v>2509</v>
      </c>
      <c r="G422" s="6" t="n">
        <v>1</v>
      </c>
      <c r="H422" s="6" t="s">
        <v>2510</v>
      </c>
      <c r="I422" s="6" t="n">
        <v>1</v>
      </c>
    </row>
    <row r="423" customFormat="false" ht="12.8" hidden="false" customHeight="false" outlineLevel="0" collapsed="false">
      <c r="A423" s="6" t="s">
        <v>2511</v>
      </c>
      <c r="B423" s="6" t="n">
        <v>15</v>
      </c>
      <c r="C423" s="6" t="n">
        <v>1</v>
      </c>
      <c r="D423" s="12" t="n">
        <f aca="false">C423/(B423+C423)*100</f>
        <v>6.25</v>
      </c>
      <c r="E423" s="6" t="n">
        <v>2</v>
      </c>
      <c r="F423" s="6" t="s">
        <v>2512</v>
      </c>
      <c r="G423" s="6" t="n">
        <v>1</v>
      </c>
      <c r="H423" s="6" t="s">
        <v>2513</v>
      </c>
      <c r="I423" s="6" t="n">
        <v>0</v>
      </c>
    </row>
    <row r="424" customFormat="false" ht="12.8" hidden="false" customHeight="false" outlineLevel="0" collapsed="false">
      <c r="A424" s="6" t="s">
        <v>2514</v>
      </c>
      <c r="B424" s="6" t="n">
        <v>15</v>
      </c>
      <c r="C424" s="6" t="n">
        <v>1</v>
      </c>
      <c r="D424" s="12" t="n">
        <f aca="false">C424/(B424+C424)*100</f>
        <v>6.25</v>
      </c>
      <c r="E424" s="6" t="n">
        <v>1</v>
      </c>
      <c r="F424" s="6" t="s">
        <v>2515</v>
      </c>
      <c r="G424" s="6" t="n">
        <v>1</v>
      </c>
    </row>
    <row r="425" customFormat="false" ht="12.8" hidden="false" customHeight="false" outlineLevel="0" collapsed="false">
      <c r="A425" s="6" t="s">
        <v>2516</v>
      </c>
      <c r="B425" s="6" t="n">
        <v>15</v>
      </c>
      <c r="C425" s="6" t="n">
        <v>1</v>
      </c>
      <c r="D425" s="12" t="n">
        <f aca="false">C425/(B425+C425)*100</f>
        <v>6.25</v>
      </c>
      <c r="E425" s="6" t="n">
        <v>1</v>
      </c>
      <c r="F425" s="6" t="s">
        <v>2517</v>
      </c>
      <c r="G425" s="6" t="n">
        <v>1</v>
      </c>
    </row>
    <row r="426" customFormat="false" ht="12.8" hidden="false" customHeight="false" outlineLevel="0" collapsed="false">
      <c r="A426" s="6" t="s">
        <v>2518</v>
      </c>
      <c r="B426" s="6" t="n">
        <v>15</v>
      </c>
      <c r="C426" s="6" t="n">
        <v>1</v>
      </c>
      <c r="D426" s="12" t="n">
        <f aca="false">C426/(B426+C426)*100</f>
        <v>6.25</v>
      </c>
      <c r="E426" s="6" t="n">
        <v>1</v>
      </c>
      <c r="F426" s="6" t="s">
        <v>2519</v>
      </c>
      <c r="G426" s="6" t="n">
        <v>1</v>
      </c>
    </row>
    <row r="427" customFormat="false" ht="12.8" hidden="false" customHeight="false" outlineLevel="0" collapsed="false">
      <c r="A427" s="6" t="s">
        <v>2520</v>
      </c>
      <c r="B427" s="6" t="n">
        <v>15</v>
      </c>
      <c r="C427" s="6" t="n">
        <v>1</v>
      </c>
      <c r="D427" s="12" t="n">
        <f aca="false">C427/(B427+C427)*100</f>
        <v>6.25</v>
      </c>
      <c r="E427" s="6" t="n">
        <v>1</v>
      </c>
      <c r="F427" s="6" t="s">
        <v>2521</v>
      </c>
      <c r="G427" s="6" t="n">
        <v>1</v>
      </c>
    </row>
    <row r="428" customFormat="false" ht="12.8" hidden="false" customHeight="false" outlineLevel="0" collapsed="false">
      <c r="A428" s="6" t="s">
        <v>2522</v>
      </c>
      <c r="B428" s="6" t="n">
        <v>15</v>
      </c>
      <c r="C428" s="6" t="n">
        <v>0</v>
      </c>
      <c r="D428" s="12" t="n">
        <f aca="false">C428/(B428+C428)*100</f>
        <v>0</v>
      </c>
      <c r="E428" s="6" t="n">
        <v>1</v>
      </c>
      <c r="F428" s="6" t="s">
        <v>2523</v>
      </c>
      <c r="G428" s="6" t="n">
        <v>0</v>
      </c>
    </row>
    <row r="429" customFormat="false" ht="12.8" hidden="false" customHeight="false" outlineLevel="0" collapsed="false">
      <c r="A429" s="6" t="s">
        <v>2524</v>
      </c>
      <c r="B429" s="6" t="n">
        <v>16</v>
      </c>
      <c r="C429" s="6" t="n">
        <v>1272</v>
      </c>
      <c r="D429" s="12" t="n">
        <f aca="false">C429/(B429+C429)*100</f>
        <v>98.7577639751553</v>
      </c>
      <c r="E429" s="6" t="n">
        <v>24</v>
      </c>
      <c r="F429" s="6" t="s">
        <v>2525</v>
      </c>
      <c r="G429" s="6" t="n">
        <v>472</v>
      </c>
      <c r="H429" s="6" t="s">
        <v>2526</v>
      </c>
      <c r="I429" s="6" t="n">
        <v>210</v>
      </c>
      <c r="J429" s="6" t="s">
        <v>2527</v>
      </c>
      <c r="K429" s="6" t="n">
        <v>166</v>
      </c>
      <c r="L429" s="6" t="s">
        <v>2528</v>
      </c>
      <c r="M429" s="6" t="n">
        <v>150</v>
      </c>
      <c r="N429" s="6" t="s">
        <v>2529</v>
      </c>
      <c r="O429" s="6" t="n">
        <v>84</v>
      </c>
      <c r="P429" s="6" t="s">
        <v>2530</v>
      </c>
      <c r="Q429" s="6" t="n">
        <v>61</v>
      </c>
      <c r="R429" s="6" t="s">
        <v>2531</v>
      </c>
      <c r="S429" s="6" t="n">
        <v>51</v>
      </c>
      <c r="T429" s="6" t="s">
        <v>2532</v>
      </c>
      <c r="U429" s="6" t="n">
        <v>28</v>
      </c>
      <c r="V429" s="6" t="s">
        <v>2533</v>
      </c>
      <c r="W429" s="6" t="n">
        <v>20</v>
      </c>
      <c r="X429" s="6" t="s">
        <v>2534</v>
      </c>
      <c r="Y429" s="6" t="n">
        <v>13</v>
      </c>
      <c r="Z429" s="6" t="s">
        <v>2535</v>
      </c>
      <c r="AA429" s="6" t="n">
        <v>4</v>
      </c>
      <c r="AB429" s="6" t="s">
        <v>2536</v>
      </c>
      <c r="AC429" s="6" t="n">
        <v>3</v>
      </c>
      <c r="AD429" s="6" t="s">
        <v>2537</v>
      </c>
      <c r="AE429" s="6" t="n">
        <v>3</v>
      </c>
      <c r="AF429" s="6" t="s">
        <v>2538</v>
      </c>
      <c r="AG429" s="6" t="n">
        <v>3</v>
      </c>
      <c r="AH429" s="6" t="s">
        <v>2539</v>
      </c>
      <c r="AI429" s="6" t="n">
        <v>1</v>
      </c>
      <c r="AJ429" s="6" t="s">
        <v>2540</v>
      </c>
      <c r="AK429" s="6" t="n">
        <v>1</v>
      </c>
      <c r="AL429" s="6" t="s">
        <v>2541</v>
      </c>
      <c r="AM429" s="6" t="n">
        <v>1</v>
      </c>
      <c r="AN429" s="6" t="s">
        <v>2542</v>
      </c>
      <c r="AO429" s="6" t="n">
        <v>1</v>
      </c>
      <c r="AP429" s="6" t="s">
        <v>2543</v>
      </c>
      <c r="AQ429" s="6" t="n">
        <v>0</v>
      </c>
      <c r="AR429" s="6" t="s">
        <v>2544</v>
      </c>
      <c r="AS429" s="6" t="n">
        <v>0</v>
      </c>
      <c r="AT429" s="6" t="s">
        <v>2545</v>
      </c>
      <c r="AU429" s="6" t="n">
        <v>0</v>
      </c>
      <c r="AV429" s="6" t="s">
        <v>2546</v>
      </c>
      <c r="AW429" s="6" t="n">
        <v>0</v>
      </c>
      <c r="AX429" s="6" t="s">
        <v>2547</v>
      </c>
      <c r="AY429" s="6" t="n">
        <v>0</v>
      </c>
      <c r="AZ429" s="6" t="s">
        <v>2548</v>
      </c>
      <c r="BA429" s="6" t="n">
        <v>0</v>
      </c>
    </row>
    <row r="430" customFormat="false" ht="12.8" hidden="false" customHeight="false" outlineLevel="0" collapsed="false">
      <c r="A430" s="6" t="s">
        <v>2549</v>
      </c>
      <c r="B430" s="6" t="n">
        <v>16</v>
      </c>
      <c r="C430" s="6" t="n">
        <v>19</v>
      </c>
      <c r="D430" s="12" t="n">
        <f aca="false">C430/(B430+C430)*100</f>
        <v>54.2857142857143</v>
      </c>
      <c r="E430" s="6" t="n">
        <v>4</v>
      </c>
      <c r="F430" s="6" t="s">
        <v>2550</v>
      </c>
      <c r="G430" s="6" t="n">
        <v>11</v>
      </c>
      <c r="H430" s="6" t="s">
        <v>2551</v>
      </c>
      <c r="I430" s="6" t="n">
        <v>6</v>
      </c>
      <c r="J430" s="6" t="s">
        <v>2552</v>
      </c>
      <c r="K430" s="6" t="n">
        <v>1</v>
      </c>
      <c r="L430" s="6" t="s">
        <v>2553</v>
      </c>
      <c r="M430" s="6" t="n">
        <v>1</v>
      </c>
    </row>
    <row r="431" customFormat="false" ht="12.8" hidden="false" customHeight="false" outlineLevel="0" collapsed="false">
      <c r="A431" s="6" t="s">
        <v>2554</v>
      </c>
      <c r="B431" s="6" t="n">
        <v>16</v>
      </c>
      <c r="C431" s="6" t="n">
        <v>7</v>
      </c>
      <c r="D431" s="12" t="n">
        <f aca="false">C431/(B431+C431)*100</f>
        <v>30.4347826086957</v>
      </c>
      <c r="E431" s="6" t="n">
        <v>8</v>
      </c>
      <c r="F431" s="6" t="s">
        <v>2555</v>
      </c>
      <c r="G431" s="6" t="n">
        <v>2</v>
      </c>
      <c r="H431" s="6" t="s">
        <v>2556</v>
      </c>
      <c r="I431" s="6" t="n">
        <v>2</v>
      </c>
      <c r="J431" s="6" t="s">
        <v>2557</v>
      </c>
      <c r="K431" s="6" t="n">
        <v>2</v>
      </c>
      <c r="L431" s="6" t="s">
        <v>2558</v>
      </c>
      <c r="M431" s="6" t="n">
        <v>1</v>
      </c>
      <c r="N431" s="6" t="s">
        <v>2559</v>
      </c>
      <c r="O431" s="6" t="n">
        <v>0</v>
      </c>
      <c r="P431" s="6" t="s">
        <v>2560</v>
      </c>
      <c r="Q431" s="6" t="n">
        <v>0</v>
      </c>
      <c r="R431" s="6" t="s">
        <v>2561</v>
      </c>
      <c r="S431" s="6" t="n">
        <v>0</v>
      </c>
      <c r="T431" s="6" t="s">
        <v>2562</v>
      </c>
      <c r="U431" s="6" t="n">
        <v>0</v>
      </c>
    </row>
    <row r="432" customFormat="false" ht="12.8" hidden="false" customHeight="false" outlineLevel="0" collapsed="false">
      <c r="A432" s="6" t="s">
        <v>2563</v>
      </c>
      <c r="B432" s="6" t="n">
        <v>16</v>
      </c>
      <c r="C432" s="6" t="n">
        <v>6</v>
      </c>
      <c r="D432" s="12" t="n">
        <f aca="false">C432/(B432+C432)*100</f>
        <v>27.2727272727273</v>
      </c>
      <c r="E432" s="6" t="n">
        <v>6</v>
      </c>
      <c r="F432" s="6" t="s">
        <v>2564</v>
      </c>
      <c r="G432" s="6" t="n">
        <v>3</v>
      </c>
      <c r="H432" s="6" t="s">
        <v>2565</v>
      </c>
      <c r="I432" s="6" t="n">
        <v>2</v>
      </c>
      <c r="J432" s="6" t="s">
        <v>2566</v>
      </c>
      <c r="K432" s="6" t="n">
        <v>1</v>
      </c>
      <c r="L432" s="6" t="s">
        <v>2567</v>
      </c>
      <c r="M432" s="6" t="n">
        <v>0</v>
      </c>
      <c r="N432" s="6" t="s">
        <v>2568</v>
      </c>
      <c r="O432" s="6" t="n">
        <v>0</v>
      </c>
      <c r="P432" s="6" t="s">
        <v>2569</v>
      </c>
      <c r="Q432" s="6" t="n">
        <v>0</v>
      </c>
    </row>
    <row r="433" customFormat="false" ht="12.8" hidden="false" customHeight="false" outlineLevel="0" collapsed="false">
      <c r="A433" s="6" t="s">
        <v>2570</v>
      </c>
      <c r="B433" s="6" t="n">
        <v>16</v>
      </c>
      <c r="C433" s="6" t="n">
        <v>5</v>
      </c>
      <c r="D433" s="12" t="n">
        <f aca="false">C433/(B433+C433)*100</f>
        <v>23.8095238095238</v>
      </c>
      <c r="E433" s="6" t="n">
        <v>2</v>
      </c>
      <c r="F433" s="6" t="s">
        <v>2571</v>
      </c>
      <c r="G433" s="6" t="n">
        <v>5</v>
      </c>
      <c r="H433" s="6" t="s">
        <v>2572</v>
      </c>
      <c r="I433" s="6" t="n">
        <v>0</v>
      </c>
    </row>
    <row r="434" customFormat="false" ht="12.8" hidden="false" customHeight="false" outlineLevel="0" collapsed="false">
      <c r="A434" s="6" t="s">
        <v>2573</v>
      </c>
      <c r="B434" s="6" t="n">
        <v>16</v>
      </c>
      <c r="C434" s="6" t="n">
        <v>1</v>
      </c>
      <c r="D434" s="12" t="n">
        <f aca="false">C434/(B434+C434)*100</f>
        <v>5.88235294117647</v>
      </c>
      <c r="E434" s="6" t="n">
        <v>1</v>
      </c>
      <c r="F434" s="6" t="s">
        <v>2574</v>
      </c>
      <c r="G434" s="6" t="n">
        <v>1</v>
      </c>
    </row>
    <row r="435" customFormat="false" ht="12.8" hidden="false" customHeight="false" outlineLevel="0" collapsed="false">
      <c r="A435" s="6" t="s">
        <v>2575</v>
      </c>
      <c r="B435" s="6" t="n">
        <v>17</v>
      </c>
      <c r="C435" s="6" t="n">
        <v>33</v>
      </c>
      <c r="D435" s="12" t="n">
        <f aca="false">C435/(B435+C435)*100</f>
        <v>66</v>
      </c>
      <c r="E435" s="6" t="n">
        <v>8</v>
      </c>
      <c r="F435" s="6" t="s">
        <v>2576</v>
      </c>
      <c r="G435" s="6" t="n">
        <v>24</v>
      </c>
      <c r="H435" s="6" t="s">
        <v>2577</v>
      </c>
      <c r="I435" s="6" t="n">
        <v>5</v>
      </c>
      <c r="J435" s="6" t="s">
        <v>2578</v>
      </c>
      <c r="K435" s="6" t="n">
        <v>2</v>
      </c>
      <c r="L435" s="6" t="s">
        <v>2579</v>
      </c>
      <c r="M435" s="6" t="n">
        <v>1</v>
      </c>
      <c r="N435" s="6" t="s">
        <v>2580</v>
      </c>
      <c r="O435" s="6" t="n">
        <v>1</v>
      </c>
      <c r="P435" s="6" t="s">
        <v>2581</v>
      </c>
      <c r="Q435" s="6" t="n">
        <v>0</v>
      </c>
      <c r="R435" s="6" t="s">
        <v>2582</v>
      </c>
      <c r="S435" s="6" t="n">
        <v>0</v>
      </c>
      <c r="T435" s="6" t="s">
        <v>2583</v>
      </c>
      <c r="U435" s="6" t="n">
        <v>0</v>
      </c>
    </row>
    <row r="436" customFormat="false" ht="12.8" hidden="false" customHeight="false" outlineLevel="0" collapsed="false">
      <c r="A436" s="6" t="s">
        <v>2584</v>
      </c>
      <c r="B436" s="6" t="n">
        <v>17</v>
      </c>
      <c r="C436" s="6" t="n">
        <v>8</v>
      </c>
      <c r="D436" s="12" t="n">
        <f aca="false">C436/(B436+C436)*100</f>
        <v>32</v>
      </c>
      <c r="E436" s="6" t="n">
        <v>2</v>
      </c>
      <c r="F436" s="6" t="s">
        <v>2585</v>
      </c>
      <c r="G436" s="6" t="n">
        <v>7</v>
      </c>
      <c r="H436" s="6" t="s">
        <v>2586</v>
      </c>
      <c r="I436" s="6" t="n">
        <v>1</v>
      </c>
    </row>
    <row r="437" customFormat="false" ht="12.8" hidden="false" customHeight="false" outlineLevel="0" collapsed="false">
      <c r="A437" s="6" t="s">
        <v>2587</v>
      </c>
      <c r="B437" s="6" t="n">
        <v>17</v>
      </c>
      <c r="C437" s="6" t="n">
        <v>2</v>
      </c>
      <c r="D437" s="12" t="n">
        <f aca="false">C437/(B437+C437)*100</f>
        <v>10.5263157894737</v>
      </c>
      <c r="E437" s="6" t="n">
        <v>1</v>
      </c>
      <c r="F437" s="6" t="s">
        <v>2588</v>
      </c>
      <c r="G437" s="6" t="n">
        <v>2</v>
      </c>
    </row>
    <row r="438" customFormat="false" ht="12.8" hidden="false" customHeight="false" outlineLevel="0" collapsed="false">
      <c r="A438" s="6" t="s">
        <v>2589</v>
      </c>
      <c r="B438" s="6" t="n">
        <v>17</v>
      </c>
      <c r="C438" s="6" t="n">
        <v>1</v>
      </c>
      <c r="D438" s="12" t="n">
        <f aca="false">C438/(B438+C438)*100</f>
        <v>5.55555555555556</v>
      </c>
      <c r="E438" s="6" t="n">
        <v>2</v>
      </c>
      <c r="F438" s="6" t="s">
        <v>2590</v>
      </c>
      <c r="G438" s="6" t="n">
        <v>1</v>
      </c>
      <c r="H438" s="6" t="s">
        <v>2591</v>
      </c>
      <c r="I438" s="6" t="n">
        <v>0</v>
      </c>
    </row>
    <row r="439" customFormat="false" ht="12.8" hidden="false" customHeight="false" outlineLevel="0" collapsed="false">
      <c r="A439" s="6" t="s">
        <v>2592</v>
      </c>
      <c r="B439" s="6" t="n">
        <v>18</v>
      </c>
      <c r="C439" s="6" t="n">
        <v>31</v>
      </c>
      <c r="D439" s="12" t="n">
        <f aca="false">C439/(B439+C439)*100</f>
        <v>63.265306122449</v>
      </c>
      <c r="E439" s="6" t="n">
        <v>9</v>
      </c>
      <c r="F439" s="6" t="s">
        <v>2593</v>
      </c>
      <c r="G439" s="6" t="n">
        <v>26</v>
      </c>
      <c r="H439" s="6" t="s">
        <v>2594</v>
      </c>
      <c r="I439" s="6" t="n">
        <v>3</v>
      </c>
      <c r="J439" s="6" t="s">
        <v>2595</v>
      </c>
      <c r="K439" s="6" t="n">
        <v>1</v>
      </c>
      <c r="L439" s="6" t="s">
        <v>2596</v>
      </c>
      <c r="M439" s="6" t="n">
        <v>1</v>
      </c>
      <c r="N439" s="6" t="s">
        <v>2597</v>
      </c>
      <c r="O439" s="6" t="n">
        <v>0</v>
      </c>
      <c r="P439" s="6" t="s">
        <v>2598</v>
      </c>
      <c r="Q439" s="6" t="n">
        <v>0</v>
      </c>
      <c r="R439" s="6" t="s">
        <v>2599</v>
      </c>
      <c r="S439" s="6" t="n">
        <v>0</v>
      </c>
      <c r="T439" s="6" t="s">
        <v>2600</v>
      </c>
      <c r="U439" s="6" t="n">
        <v>0</v>
      </c>
      <c r="V439" s="6" t="s">
        <v>2601</v>
      </c>
      <c r="W439" s="6" t="n">
        <v>0</v>
      </c>
    </row>
    <row r="440" customFormat="false" ht="12.8" hidden="false" customHeight="false" outlineLevel="0" collapsed="false">
      <c r="A440" s="6" t="s">
        <v>2602</v>
      </c>
      <c r="B440" s="6" t="n">
        <v>18</v>
      </c>
      <c r="C440" s="6" t="n">
        <v>16</v>
      </c>
      <c r="D440" s="12" t="n">
        <f aca="false">C440/(B440+C440)*100</f>
        <v>47.0588235294118</v>
      </c>
      <c r="E440" s="6" t="n">
        <v>7</v>
      </c>
      <c r="F440" s="6" t="s">
        <v>2603</v>
      </c>
      <c r="G440" s="6" t="n">
        <v>8</v>
      </c>
      <c r="H440" s="6" t="s">
        <v>2604</v>
      </c>
      <c r="I440" s="6" t="n">
        <v>5</v>
      </c>
      <c r="J440" s="6" t="s">
        <v>2605</v>
      </c>
      <c r="K440" s="6" t="n">
        <v>2</v>
      </c>
      <c r="L440" s="6" t="s">
        <v>2606</v>
      </c>
      <c r="M440" s="6" t="n">
        <v>1</v>
      </c>
      <c r="N440" s="6" t="s">
        <v>2607</v>
      </c>
      <c r="O440" s="6" t="n">
        <v>0</v>
      </c>
      <c r="P440" s="6" t="s">
        <v>2608</v>
      </c>
      <c r="Q440" s="6" t="n">
        <v>0</v>
      </c>
      <c r="R440" s="6" t="s">
        <v>2609</v>
      </c>
      <c r="S440" s="6" t="n">
        <v>0</v>
      </c>
    </row>
    <row r="441" customFormat="false" ht="12.8" hidden="false" customHeight="false" outlineLevel="0" collapsed="false">
      <c r="A441" s="6" t="s">
        <v>2610</v>
      </c>
      <c r="B441" s="6" t="n">
        <v>18</v>
      </c>
      <c r="C441" s="6" t="n">
        <v>7</v>
      </c>
      <c r="D441" s="12" t="n">
        <f aca="false">C441/(B441+C441)*100</f>
        <v>28</v>
      </c>
      <c r="E441" s="6" t="n">
        <v>10</v>
      </c>
      <c r="F441" s="6" t="s">
        <v>2611</v>
      </c>
      <c r="G441" s="6" t="n">
        <v>2</v>
      </c>
      <c r="H441" s="6" t="s">
        <v>2612</v>
      </c>
      <c r="I441" s="6" t="n">
        <v>2</v>
      </c>
      <c r="J441" s="6" t="s">
        <v>2613</v>
      </c>
      <c r="K441" s="6" t="n">
        <v>1</v>
      </c>
      <c r="L441" s="6" t="s">
        <v>2614</v>
      </c>
      <c r="M441" s="6" t="n">
        <v>1</v>
      </c>
      <c r="N441" s="6" t="s">
        <v>2615</v>
      </c>
      <c r="O441" s="6" t="n">
        <v>1</v>
      </c>
      <c r="P441" s="6" t="s">
        <v>2616</v>
      </c>
      <c r="Q441" s="6" t="n">
        <v>0</v>
      </c>
      <c r="R441" s="6" t="s">
        <v>2617</v>
      </c>
      <c r="S441" s="6" t="n">
        <v>0</v>
      </c>
      <c r="T441" s="6" t="s">
        <v>2618</v>
      </c>
      <c r="U441" s="6" t="n">
        <v>0</v>
      </c>
      <c r="V441" s="6" t="s">
        <v>2619</v>
      </c>
      <c r="W441" s="6" t="n">
        <v>0</v>
      </c>
      <c r="X441" s="6" t="s">
        <v>2620</v>
      </c>
      <c r="Y441" s="6" t="n">
        <v>0</v>
      </c>
    </row>
    <row r="442" customFormat="false" ht="12.8" hidden="false" customHeight="false" outlineLevel="0" collapsed="false">
      <c r="A442" s="6" t="s">
        <v>2621</v>
      </c>
      <c r="B442" s="6" t="n">
        <v>18</v>
      </c>
      <c r="C442" s="6" t="n">
        <v>7</v>
      </c>
      <c r="D442" s="12" t="n">
        <f aca="false">C442/(B442+C442)*100</f>
        <v>28</v>
      </c>
      <c r="E442" s="6" t="n">
        <v>5</v>
      </c>
      <c r="F442" s="6" t="s">
        <v>2622</v>
      </c>
      <c r="G442" s="6" t="n">
        <v>4</v>
      </c>
      <c r="H442" s="6" t="s">
        <v>2623</v>
      </c>
      <c r="I442" s="6" t="n">
        <v>2</v>
      </c>
      <c r="J442" s="6" t="s">
        <v>2624</v>
      </c>
      <c r="K442" s="6" t="n">
        <v>1</v>
      </c>
      <c r="L442" s="6" t="s">
        <v>2625</v>
      </c>
      <c r="M442" s="6" t="n">
        <v>0</v>
      </c>
      <c r="N442" s="6" t="s">
        <v>2626</v>
      </c>
      <c r="O442" s="6" t="n">
        <v>0</v>
      </c>
    </row>
    <row r="443" customFormat="false" ht="12.8" hidden="false" customHeight="false" outlineLevel="0" collapsed="false">
      <c r="A443" s="6" t="s">
        <v>2627</v>
      </c>
      <c r="B443" s="6" t="n">
        <v>18</v>
      </c>
      <c r="C443" s="6" t="n">
        <v>5</v>
      </c>
      <c r="D443" s="12" t="n">
        <f aca="false">C443/(B443+C443)*100</f>
        <v>21.7391304347826</v>
      </c>
      <c r="E443" s="6" t="n">
        <v>4</v>
      </c>
      <c r="F443" s="6" t="s">
        <v>2628</v>
      </c>
      <c r="G443" s="6" t="n">
        <v>3</v>
      </c>
      <c r="H443" s="6" t="s">
        <v>2629</v>
      </c>
      <c r="I443" s="6" t="n">
        <v>1</v>
      </c>
      <c r="J443" s="6" t="s">
        <v>2630</v>
      </c>
      <c r="K443" s="6" t="n">
        <v>1</v>
      </c>
      <c r="L443" s="6" t="s">
        <v>2631</v>
      </c>
      <c r="M443" s="6" t="n">
        <v>0</v>
      </c>
    </row>
    <row r="444" customFormat="false" ht="12.8" hidden="false" customHeight="false" outlineLevel="0" collapsed="false">
      <c r="A444" s="6" t="s">
        <v>2632</v>
      </c>
      <c r="B444" s="6" t="n">
        <v>18</v>
      </c>
      <c r="C444" s="6" t="n">
        <v>4</v>
      </c>
      <c r="D444" s="12" t="n">
        <f aca="false">C444/(B444+C444)*100</f>
        <v>18.1818181818182</v>
      </c>
      <c r="E444" s="6" t="n">
        <v>5</v>
      </c>
      <c r="F444" s="6" t="s">
        <v>2633</v>
      </c>
      <c r="G444" s="6" t="n">
        <v>2</v>
      </c>
      <c r="H444" s="6" t="s">
        <v>2634</v>
      </c>
      <c r="I444" s="6" t="n">
        <v>1</v>
      </c>
      <c r="J444" s="6" t="s">
        <v>2635</v>
      </c>
      <c r="K444" s="6" t="n">
        <v>1</v>
      </c>
      <c r="L444" s="6" t="s">
        <v>2636</v>
      </c>
      <c r="M444" s="6" t="n">
        <v>0</v>
      </c>
      <c r="N444" s="6" t="s">
        <v>2637</v>
      </c>
      <c r="O444" s="6" t="n">
        <v>0</v>
      </c>
    </row>
    <row r="445" customFormat="false" ht="12.8" hidden="false" customHeight="false" outlineLevel="0" collapsed="false">
      <c r="A445" s="6" t="s">
        <v>2638</v>
      </c>
      <c r="B445" s="6" t="n">
        <v>18</v>
      </c>
      <c r="C445" s="6" t="n">
        <v>3</v>
      </c>
      <c r="D445" s="12" t="n">
        <f aca="false">C445/(B445+C445)*100</f>
        <v>14.2857142857143</v>
      </c>
      <c r="E445" s="6" t="n">
        <v>3</v>
      </c>
      <c r="F445" s="6" t="s">
        <v>2639</v>
      </c>
      <c r="G445" s="6" t="n">
        <v>1</v>
      </c>
      <c r="H445" s="6" t="s">
        <v>2640</v>
      </c>
      <c r="I445" s="6" t="n">
        <v>1</v>
      </c>
      <c r="J445" s="6" t="s">
        <v>2641</v>
      </c>
      <c r="K445" s="6" t="n">
        <v>1</v>
      </c>
    </row>
    <row r="446" customFormat="false" ht="12.8" hidden="false" customHeight="false" outlineLevel="0" collapsed="false">
      <c r="A446" s="6" t="s">
        <v>2642</v>
      </c>
      <c r="B446" s="6" t="n">
        <v>18</v>
      </c>
      <c r="C446" s="6" t="n">
        <v>2</v>
      </c>
      <c r="D446" s="12" t="n">
        <f aca="false">C446/(B446+C446)*100</f>
        <v>10</v>
      </c>
      <c r="E446" s="6" t="n">
        <v>3</v>
      </c>
      <c r="F446" s="6" t="s">
        <v>2643</v>
      </c>
      <c r="G446" s="6" t="n">
        <v>1</v>
      </c>
      <c r="H446" s="6" t="s">
        <v>2644</v>
      </c>
      <c r="I446" s="6" t="n">
        <v>1</v>
      </c>
      <c r="J446" s="6" t="s">
        <v>2645</v>
      </c>
      <c r="K446" s="6" t="n">
        <v>0</v>
      </c>
    </row>
    <row r="447" customFormat="false" ht="12.8" hidden="false" customHeight="false" outlineLevel="0" collapsed="false">
      <c r="A447" s="6" t="s">
        <v>2646</v>
      </c>
      <c r="B447" s="6" t="n">
        <v>18</v>
      </c>
      <c r="C447" s="6" t="n">
        <v>2</v>
      </c>
      <c r="D447" s="12" t="n">
        <f aca="false">C447/(B447+C447)*100</f>
        <v>10</v>
      </c>
      <c r="E447" s="6" t="n">
        <v>2</v>
      </c>
      <c r="F447" s="6" t="s">
        <v>2647</v>
      </c>
      <c r="G447" s="6" t="n">
        <v>1</v>
      </c>
      <c r="H447" s="6" t="s">
        <v>2648</v>
      </c>
      <c r="I447" s="6" t="n">
        <v>1</v>
      </c>
    </row>
    <row r="448" customFormat="false" ht="12.8" hidden="false" customHeight="false" outlineLevel="0" collapsed="false">
      <c r="A448" s="6" t="s">
        <v>2649</v>
      </c>
      <c r="B448" s="6" t="n">
        <v>18</v>
      </c>
      <c r="C448" s="6" t="n">
        <v>2</v>
      </c>
      <c r="D448" s="12" t="n">
        <f aca="false">C448/(B448+C448)*100</f>
        <v>10</v>
      </c>
      <c r="E448" s="6" t="n">
        <v>2</v>
      </c>
      <c r="F448" s="6" t="s">
        <v>2650</v>
      </c>
      <c r="G448" s="6" t="n">
        <v>1</v>
      </c>
      <c r="H448" s="6" t="s">
        <v>2651</v>
      </c>
      <c r="I448" s="6" t="n">
        <v>1</v>
      </c>
    </row>
    <row r="449" customFormat="false" ht="12.8" hidden="false" customHeight="false" outlineLevel="0" collapsed="false">
      <c r="A449" s="6" t="s">
        <v>2652</v>
      </c>
      <c r="B449" s="6" t="n">
        <v>18</v>
      </c>
      <c r="C449" s="6" t="n">
        <v>1</v>
      </c>
      <c r="D449" s="12" t="n">
        <f aca="false">C449/(B449+C449)*100</f>
        <v>5.26315789473684</v>
      </c>
      <c r="E449" s="6" t="n">
        <v>1</v>
      </c>
      <c r="F449" s="6" t="s">
        <v>2653</v>
      </c>
      <c r="G449" s="6" t="n">
        <v>1</v>
      </c>
    </row>
    <row r="450" customFormat="false" ht="12.8" hidden="false" customHeight="false" outlineLevel="0" collapsed="false">
      <c r="A450" s="6" t="s">
        <v>2654</v>
      </c>
      <c r="B450" s="6" t="n">
        <v>18</v>
      </c>
      <c r="C450" s="6" t="n">
        <v>0</v>
      </c>
      <c r="D450" s="12" t="n">
        <f aca="false">C450/(B450+C450)*100</f>
        <v>0</v>
      </c>
      <c r="E450" s="6" t="n">
        <v>3</v>
      </c>
      <c r="F450" s="6" t="s">
        <v>2655</v>
      </c>
      <c r="G450" s="6" t="n">
        <v>0</v>
      </c>
      <c r="H450" s="6" t="s">
        <v>2656</v>
      </c>
      <c r="I450" s="6" t="n">
        <v>0</v>
      </c>
      <c r="J450" s="6" t="s">
        <v>2657</v>
      </c>
      <c r="K450" s="6" t="n">
        <v>0</v>
      </c>
    </row>
    <row r="451" customFormat="false" ht="12.8" hidden="false" customHeight="false" outlineLevel="0" collapsed="false">
      <c r="A451" s="6" t="s">
        <v>2658</v>
      </c>
      <c r="B451" s="6" t="n">
        <v>18</v>
      </c>
      <c r="C451" s="6" t="n">
        <v>0</v>
      </c>
      <c r="D451" s="12" t="n">
        <f aca="false">C451/(B451+C451)*100</f>
        <v>0</v>
      </c>
      <c r="E451" s="6" t="n">
        <v>2</v>
      </c>
      <c r="F451" s="6" t="s">
        <v>2659</v>
      </c>
      <c r="G451" s="6" t="n">
        <v>0</v>
      </c>
      <c r="H451" s="6" t="s">
        <v>2660</v>
      </c>
      <c r="I451" s="6" t="n">
        <v>0</v>
      </c>
    </row>
    <row r="452" customFormat="false" ht="12.8" hidden="false" customHeight="false" outlineLevel="0" collapsed="false">
      <c r="A452" s="6" t="s">
        <v>2661</v>
      </c>
      <c r="B452" s="6" t="n">
        <v>18</v>
      </c>
      <c r="C452" s="6" t="n">
        <v>0</v>
      </c>
      <c r="D452" s="12" t="n">
        <f aca="false">C452/(B452+C452)*100</f>
        <v>0</v>
      </c>
      <c r="E452" s="6" t="n">
        <v>1</v>
      </c>
      <c r="F452" s="6" t="s">
        <v>2662</v>
      </c>
      <c r="G452" s="6" t="n">
        <v>0</v>
      </c>
    </row>
    <row r="453" customFormat="false" ht="12.8" hidden="false" customHeight="false" outlineLevel="0" collapsed="false">
      <c r="A453" s="6" t="s">
        <v>2663</v>
      </c>
      <c r="B453" s="6" t="n">
        <v>19</v>
      </c>
      <c r="C453" s="6" t="n">
        <v>9</v>
      </c>
      <c r="D453" s="12" t="n">
        <f aca="false">C453/(B453+C453)*100</f>
        <v>32.1428571428571</v>
      </c>
      <c r="E453" s="6" t="n">
        <v>5</v>
      </c>
      <c r="F453" s="6" t="s">
        <v>2664</v>
      </c>
      <c r="G453" s="6" t="n">
        <v>4</v>
      </c>
      <c r="H453" s="6" t="s">
        <v>2665</v>
      </c>
      <c r="I453" s="6" t="n">
        <v>3</v>
      </c>
      <c r="J453" s="6" t="s">
        <v>2666</v>
      </c>
      <c r="K453" s="6" t="n">
        <v>1</v>
      </c>
      <c r="L453" s="6" t="s">
        <v>2667</v>
      </c>
      <c r="M453" s="6" t="n">
        <v>1</v>
      </c>
      <c r="N453" s="6" t="s">
        <v>2668</v>
      </c>
      <c r="O453" s="6" t="n">
        <v>0</v>
      </c>
    </row>
    <row r="454" customFormat="false" ht="12.8" hidden="false" customHeight="false" outlineLevel="0" collapsed="false">
      <c r="A454" s="6" t="s">
        <v>2669</v>
      </c>
      <c r="B454" s="6" t="n">
        <v>19</v>
      </c>
      <c r="C454" s="6" t="n">
        <v>3</v>
      </c>
      <c r="D454" s="12" t="n">
        <f aca="false">C454/(B454+C454)*100</f>
        <v>13.6363636363636</v>
      </c>
      <c r="E454" s="6" t="n">
        <v>3</v>
      </c>
      <c r="F454" s="6" t="s">
        <v>2670</v>
      </c>
      <c r="G454" s="6" t="n">
        <v>2</v>
      </c>
      <c r="H454" s="6" t="s">
        <v>2671</v>
      </c>
      <c r="I454" s="6" t="n">
        <v>1</v>
      </c>
      <c r="J454" s="6" t="s">
        <v>2672</v>
      </c>
      <c r="K454" s="6" t="n">
        <v>0</v>
      </c>
    </row>
    <row r="455" customFormat="false" ht="12.8" hidden="false" customHeight="false" outlineLevel="0" collapsed="false">
      <c r="A455" s="6" t="s">
        <v>2673</v>
      </c>
      <c r="B455" s="6" t="n">
        <v>19</v>
      </c>
      <c r="C455" s="6" t="n">
        <v>2</v>
      </c>
      <c r="D455" s="12" t="n">
        <f aca="false">C455/(B455+C455)*100</f>
        <v>9.52380952380952</v>
      </c>
      <c r="E455" s="6" t="n">
        <v>7</v>
      </c>
      <c r="F455" s="6" t="s">
        <v>2674</v>
      </c>
      <c r="G455" s="6" t="n">
        <v>1</v>
      </c>
      <c r="H455" s="6" t="s">
        <v>2675</v>
      </c>
      <c r="I455" s="6" t="n">
        <v>1</v>
      </c>
      <c r="J455" s="6" t="s">
        <v>2676</v>
      </c>
      <c r="K455" s="6" t="n">
        <v>0</v>
      </c>
      <c r="L455" s="6" t="s">
        <v>2677</v>
      </c>
      <c r="M455" s="6" t="n">
        <v>0</v>
      </c>
      <c r="N455" s="6" t="s">
        <v>2678</v>
      </c>
      <c r="O455" s="6" t="n">
        <v>0</v>
      </c>
      <c r="P455" s="6" t="s">
        <v>2679</v>
      </c>
      <c r="Q455" s="6" t="n">
        <v>0</v>
      </c>
      <c r="R455" s="6" t="s">
        <v>2680</v>
      </c>
      <c r="S455" s="6" t="n">
        <v>0</v>
      </c>
    </row>
    <row r="456" customFormat="false" ht="12.8" hidden="false" customHeight="false" outlineLevel="0" collapsed="false">
      <c r="A456" s="6" t="s">
        <v>2681</v>
      </c>
      <c r="B456" s="6" t="n">
        <v>19</v>
      </c>
      <c r="C456" s="6" t="n">
        <v>2</v>
      </c>
      <c r="D456" s="12" t="n">
        <f aca="false">C456/(B456+C456)*100</f>
        <v>9.52380952380952</v>
      </c>
      <c r="E456" s="6" t="n">
        <v>2</v>
      </c>
      <c r="F456" s="6" t="s">
        <v>2682</v>
      </c>
      <c r="G456" s="6" t="n">
        <v>1</v>
      </c>
      <c r="H456" s="6" t="s">
        <v>2683</v>
      </c>
      <c r="I456" s="6" t="n">
        <v>1</v>
      </c>
    </row>
    <row r="457" customFormat="false" ht="12.8" hidden="false" customHeight="false" outlineLevel="0" collapsed="false">
      <c r="A457" s="6" t="s">
        <v>2684</v>
      </c>
      <c r="B457" s="6" t="n">
        <v>19</v>
      </c>
      <c r="C457" s="6" t="n">
        <v>1</v>
      </c>
      <c r="D457" s="12" t="n">
        <f aca="false">C457/(B457+C457)*100</f>
        <v>5</v>
      </c>
      <c r="E457" s="6" t="n">
        <v>1</v>
      </c>
      <c r="F457" s="6" t="s">
        <v>2685</v>
      </c>
      <c r="G457" s="6" t="n">
        <v>1</v>
      </c>
    </row>
    <row r="458" customFormat="false" ht="12.8" hidden="false" customHeight="false" outlineLevel="0" collapsed="false">
      <c r="A458" s="6" t="s">
        <v>2686</v>
      </c>
      <c r="B458" s="6" t="n">
        <v>19</v>
      </c>
      <c r="C458" s="6" t="n">
        <v>1</v>
      </c>
      <c r="D458" s="12" t="n">
        <f aca="false">C458/(B458+C458)*100</f>
        <v>5</v>
      </c>
      <c r="E458" s="6" t="n">
        <v>1</v>
      </c>
      <c r="F458" s="6" t="s">
        <v>2687</v>
      </c>
      <c r="G458" s="6" t="n">
        <v>1</v>
      </c>
    </row>
    <row r="459" customFormat="false" ht="12.8" hidden="false" customHeight="false" outlineLevel="0" collapsed="false">
      <c r="A459" s="6" t="s">
        <v>2688</v>
      </c>
      <c r="B459" s="6" t="n">
        <v>19</v>
      </c>
      <c r="C459" s="6" t="n">
        <v>1</v>
      </c>
      <c r="D459" s="12" t="n">
        <f aca="false">C459/(B459+C459)*100</f>
        <v>5</v>
      </c>
      <c r="E459" s="6" t="n">
        <v>1</v>
      </c>
      <c r="F459" s="6" t="s">
        <v>2689</v>
      </c>
      <c r="G459" s="6" t="n">
        <v>1</v>
      </c>
    </row>
    <row r="460" customFormat="false" ht="12.8" hidden="false" customHeight="false" outlineLevel="0" collapsed="false">
      <c r="A460" s="6" t="s">
        <v>2690</v>
      </c>
      <c r="B460" s="6" t="n">
        <v>19</v>
      </c>
      <c r="C460" s="6" t="n">
        <v>1</v>
      </c>
      <c r="D460" s="12" t="n">
        <f aca="false">C460/(B460+C460)*100</f>
        <v>5</v>
      </c>
      <c r="E460" s="6" t="n">
        <v>1</v>
      </c>
      <c r="F460" s="6" t="s">
        <v>2691</v>
      </c>
      <c r="G460" s="6" t="n">
        <v>1</v>
      </c>
    </row>
    <row r="461" customFormat="false" ht="12.8" hidden="false" customHeight="false" outlineLevel="0" collapsed="false">
      <c r="A461" s="6" t="s">
        <v>2692</v>
      </c>
      <c r="B461" s="6" t="n">
        <v>20</v>
      </c>
      <c r="C461" s="6" t="n">
        <v>57</v>
      </c>
      <c r="D461" s="12" t="n">
        <f aca="false">C461/(B461+C461)*100</f>
        <v>74.025974025974</v>
      </c>
      <c r="E461" s="6" t="n">
        <v>8</v>
      </c>
      <c r="F461" s="6" t="s">
        <v>2693</v>
      </c>
      <c r="G461" s="6" t="n">
        <v>44</v>
      </c>
      <c r="H461" s="6" t="s">
        <v>2694</v>
      </c>
      <c r="I461" s="6" t="n">
        <v>9</v>
      </c>
      <c r="J461" s="6" t="s">
        <v>2695</v>
      </c>
      <c r="K461" s="6" t="n">
        <v>3</v>
      </c>
      <c r="L461" s="6" t="s">
        <v>2696</v>
      </c>
      <c r="M461" s="6" t="n">
        <v>1</v>
      </c>
      <c r="N461" s="6" t="s">
        <v>2697</v>
      </c>
      <c r="O461" s="6" t="n">
        <v>0</v>
      </c>
      <c r="P461" s="6" t="s">
        <v>2698</v>
      </c>
      <c r="Q461" s="6" t="n">
        <v>0</v>
      </c>
      <c r="R461" s="6" t="s">
        <v>2699</v>
      </c>
      <c r="S461" s="6" t="n">
        <v>0</v>
      </c>
      <c r="T461" s="6" t="s">
        <v>2700</v>
      </c>
      <c r="U461" s="6" t="n">
        <v>0</v>
      </c>
    </row>
    <row r="462" customFormat="false" ht="12.8" hidden="false" customHeight="false" outlineLevel="0" collapsed="false">
      <c r="A462" s="6" t="s">
        <v>2701</v>
      </c>
      <c r="B462" s="6" t="n">
        <v>20</v>
      </c>
      <c r="C462" s="6" t="n">
        <v>14</v>
      </c>
      <c r="D462" s="12" t="n">
        <f aca="false">C462/(B462+C462)*100</f>
        <v>41.1764705882353</v>
      </c>
      <c r="E462" s="6" t="n">
        <v>6</v>
      </c>
      <c r="F462" s="6" t="s">
        <v>2702</v>
      </c>
      <c r="G462" s="6" t="n">
        <v>4</v>
      </c>
      <c r="H462" s="6" t="s">
        <v>2703</v>
      </c>
      <c r="I462" s="6" t="n">
        <v>4</v>
      </c>
      <c r="J462" s="6" t="s">
        <v>2704</v>
      </c>
      <c r="K462" s="6" t="n">
        <v>3</v>
      </c>
      <c r="L462" s="6" t="s">
        <v>2705</v>
      </c>
      <c r="M462" s="6" t="n">
        <v>1</v>
      </c>
      <c r="N462" s="6" t="s">
        <v>2706</v>
      </c>
      <c r="O462" s="6" t="n">
        <v>1</v>
      </c>
      <c r="P462" s="6" t="s">
        <v>2707</v>
      </c>
      <c r="Q462" s="6" t="n">
        <v>1</v>
      </c>
    </row>
    <row r="463" customFormat="false" ht="12.8" hidden="false" customHeight="false" outlineLevel="0" collapsed="false">
      <c r="A463" s="6" t="s">
        <v>2708</v>
      </c>
      <c r="B463" s="6" t="n">
        <v>20</v>
      </c>
      <c r="C463" s="6" t="n">
        <v>14</v>
      </c>
      <c r="D463" s="12" t="n">
        <f aca="false">C463/(B463+C463)*100</f>
        <v>41.1764705882353</v>
      </c>
      <c r="E463" s="6" t="n">
        <v>3</v>
      </c>
      <c r="F463" s="6" t="s">
        <v>2709</v>
      </c>
      <c r="G463" s="6" t="n">
        <v>11</v>
      </c>
      <c r="H463" s="6" t="s">
        <v>2710</v>
      </c>
      <c r="I463" s="6" t="n">
        <v>2</v>
      </c>
      <c r="J463" s="6" t="s">
        <v>2711</v>
      </c>
      <c r="K463" s="6" t="n">
        <v>1</v>
      </c>
    </row>
    <row r="464" customFormat="false" ht="12.8" hidden="false" customHeight="false" outlineLevel="0" collapsed="false">
      <c r="A464" s="6" t="s">
        <v>2712</v>
      </c>
      <c r="B464" s="6" t="n">
        <v>20</v>
      </c>
      <c r="C464" s="6" t="n">
        <v>13</v>
      </c>
      <c r="D464" s="12" t="n">
        <f aca="false">C464/(B464+C464)*100</f>
        <v>39.3939393939394</v>
      </c>
      <c r="E464" s="6" t="n">
        <v>1</v>
      </c>
      <c r="F464" s="6" t="s">
        <v>2713</v>
      </c>
      <c r="G464" s="6" t="n">
        <v>13</v>
      </c>
    </row>
    <row r="465" customFormat="false" ht="12.8" hidden="false" customHeight="false" outlineLevel="0" collapsed="false">
      <c r="A465" s="6" t="s">
        <v>2714</v>
      </c>
      <c r="B465" s="6" t="n">
        <v>20</v>
      </c>
      <c r="C465" s="6" t="n">
        <v>4</v>
      </c>
      <c r="D465" s="12" t="n">
        <f aca="false">C465/(B465+C465)*100</f>
        <v>16.6666666666667</v>
      </c>
      <c r="E465" s="6" t="n">
        <v>2</v>
      </c>
      <c r="F465" s="6" t="s">
        <v>2715</v>
      </c>
      <c r="G465" s="6" t="n">
        <v>3</v>
      </c>
      <c r="H465" s="6" t="s">
        <v>2716</v>
      </c>
      <c r="I465" s="6" t="n">
        <v>1</v>
      </c>
    </row>
    <row r="466" customFormat="false" ht="12.8" hidden="false" customHeight="false" outlineLevel="0" collapsed="false">
      <c r="A466" s="6" t="s">
        <v>2717</v>
      </c>
      <c r="B466" s="6" t="n">
        <v>20</v>
      </c>
      <c r="C466" s="6" t="n">
        <v>3</v>
      </c>
      <c r="D466" s="12" t="n">
        <f aca="false">C466/(B466+C466)*100</f>
        <v>13.0434782608696</v>
      </c>
      <c r="E466" s="6" t="n">
        <v>1</v>
      </c>
      <c r="F466" s="6" t="s">
        <v>2718</v>
      </c>
      <c r="G466" s="6" t="n">
        <v>3</v>
      </c>
    </row>
    <row r="467" customFormat="false" ht="12.8" hidden="false" customHeight="false" outlineLevel="0" collapsed="false">
      <c r="A467" s="6" t="s">
        <v>2719</v>
      </c>
      <c r="B467" s="6" t="n">
        <v>21</v>
      </c>
      <c r="C467" s="6" t="n">
        <v>39</v>
      </c>
      <c r="D467" s="12" t="n">
        <f aca="false">C467/(B467+C467)*100</f>
        <v>65</v>
      </c>
      <c r="E467" s="6" t="n">
        <v>2</v>
      </c>
      <c r="F467" s="6" t="s">
        <v>2720</v>
      </c>
      <c r="G467" s="6" t="n">
        <v>38</v>
      </c>
      <c r="H467" s="6" t="s">
        <v>2721</v>
      </c>
      <c r="I467" s="6" t="n">
        <v>1</v>
      </c>
    </row>
    <row r="468" customFormat="false" ht="12.8" hidden="false" customHeight="false" outlineLevel="0" collapsed="false">
      <c r="A468" s="6" t="s">
        <v>2722</v>
      </c>
      <c r="B468" s="6" t="n">
        <v>21</v>
      </c>
      <c r="C468" s="6" t="n">
        <v>12</v>
      </c>
      <c r="D468" s="12" t="n">
        <f aca="false">C468/(B468+C468)*100</f>
        <v>36.3636363636364</v>
      </c>
      <c r="E468" s="6" t="n">
        <v>6</v>
      </c>
      <c r="F468" s="6" t="s">
        <v>2723</v>
      </c>
      <c r="G468" s="6" t="n">
        <v>11</v>
      </c>
      <c r="H468" s="6" t="s">
        <v>2724</v>
      </c>
      <c r="I468" s="6" t="n">
        <v>1</v>
      </c>
      <c r="J468" s="6" t="s">
        <v>2725</v>
      </c>
      <c r="K468" s="6" t="n">
        <v>0</v>
      </c>
      <c r="L468" s="6" t="s">
        <v>2726</v>
      </c>
      <c r="M468" s="6" t="n">
        <v>0</v>
      </c>
      <c r="N468" s="6" t="s">
        <v>2727</v>
      </c>
      <c r="O468" s="6" t="n">
        <v>0</v>
      </c>
      <c r="P468" s="6" t="s">
        <v>2728</v>
      </c>
      <c r="Q468" s="6" t="n">
        <v>0</v>
      </c>
    </row>
    <row r="469" customFormat="false" ht="12.8" hidden="false" customHeight="false" outlineLevel="0" collapsed="false">
      <c r="A469" s="6" t="s">
        <v>2729</v>
      </c>
      <c r="B469" s="6" t="n">
        <v>21</v>
      </c>
      <c r="C469" s="6" t="n">
        <v>7</v>
      </c>
      <c r="D469" s="12" t="n">
        <f aca="false">C469/(B469+C469)*100</f>
        <v>25</v>
      </c>
      <c r="E469" s="6" t="n">
        <v>6</v>
      </c>
      <c r="F469" s="6" t="s">
        <v>2730</v>
      </c>
      <c r="G469" s="6" t="n">
        <v>5</v>
      </c>
      <c r="H469" s="6" t="s">
        <v>2731</v>
      </c>
      <c r="I469" s="6" t="n">
        <v>1</v>
      </c>
      <c r="J469" s="6" t="s">
        <v>2732</v>
      </c>
      <c r="K469" s="6" t="n">
        <v>1</v>
      </c>
      <c r="L469" s="6" t="s">
        <v>2733</v>
      </c>
      <c r="M469" s="6" t="n">
        <v>0</v>
      </c>
      <c r="N469" s="6" t="s">
        <v>2734</v>
      </c>
      <c r="O469" s="6" t="n">
        <v>0</v>
      </c>
      <c r="P469" s="6" t="s">
        <v>2735</v>
      </c>
      <c r="Q469" s="6" t="n">
        <v>0</v>
      </c>
    </row>
    <row r="470" customFormat="false" ht="12.8" hidden="false" customHeight="false" outlineLevel="0" collapsed="false">
      <c r="A470" s="6" t="s">
        <v>2736</v>
      </c>
      <c r="B470" s="6" t="n">
        <v>21</v>
      </c>
      <c r="C470" s="6" t="n">
        <v>6</v>
      </c>
      <c r="D470" s="12" t="n">
        <f aca="false">C470/(B470+C470)*100</f>
        <v>22.2222222222222</v>
      </c>
      <c r="E470" s="6" t="n">
        <v>1</v>
      </c>
      <c r="F470" s="6" t="s">
        <v>2737</v>
      </c>
      <c r="G470" s="6" t="n">
        <v>6</v>
      </c>
    </row>
    <row r="471" customFormat="false" ht="12.8" hidden="false" customHeight="false" outlineLevel="0" collapsed="false">
      <c r="A471" s="6" t="s">
        <v>2738</v>
      </c>
      <c r="B471" s="6" t="n">
        <v>21</v>
      </c>
      <c r="C471" s="6" t="n">
        <v>1</v>
      </c>
      <c r="D471" s="12" t="n">
        <f aca="false">C471/(B471+C471)*100</f>
        <v>4.54545454545455</v>
      </c>
      <c r="E471" s="6" t="n">
        <v>1</v>
      </c>
      <c r="F471" s="6" t="s">
        <v>2739</v>
      </c>
      <c r="G471" s="6" t="n">
        <v>1</v>
      </c>
    </row>
    <row r="472" customFormat="false" ht="12.8" hidden="false" customHeight="false" outlineLevel="0" collapsed="false">
      <c r="A472" s="6" t="s">
        <v>2740</v>
      </c>
      <c r="B472" s="6" t="n">
        <v>21</v>
      </c>
      <c r="C472" s="6" t="n">
        <v>1</v>
      </c>
      <c r="D472" s="12" t="n">
        <f aca="false">C472/(B472+C472)*100</f>
        <v>4.54545454545455</v>
      </c>
      <c r="E472" s="6" t="n">
        <v>1</v>
      </c>
      <c r="F472" s="6" t="s">
        <v>2741</v>
      </c>
      <c r="G472" s="6" t="n">
        <v>1</v>
      </c>
    </row>
    <row r="473" customFormat="false" ht="12.8" hidden="false" customHeight="false" outlineLevel="0" collapsed="false">
      <c r="A473" s="6" t="s">
        <v>2742</v>
      </c>
      <c r="B473" s="6" t="n">
        <v>22</v>
      </c>
      <c r="C473" s="6" t="n">
        <v>216</v>
      </c>
      <c r="D473" s="12" t="n">
        <f aca="false">C473/(B473+C473)*100</f>
        <v>90.7563025210084</v>
      </c>
      <c r="E473" s="6" t="n">
        <v>14</v>
      </c>
      <c r="F473" s="6" t="s">
        <v>2743</v>
      </c>
      <c r="G473" s="6" t="n">
        <v>138</v>
      </c>
      <c r="H473" s="6" t="s">
        <v>2744</v>
      </c>
      <c r="I473" s="6" t="n">
        <v>33</v>
      </c>
      <c r="J473" s="6" t="s">
        <v>2745</v>
      </c>
      <c r="K473" s="6" t="n">
        <v>13</v>
      </c>
      <c r="L473" s="6" t="s">
        <v>2746</v>
      </c>
      <c r="M473" s="6" t="n">
        <v>11</v>
      </c>
      <c r="N473" s="6" t="s">
        <v>2747</v>
      </c>
      <c r="O473" s="6" t="n">
        <v>5</v>
      </c>
      <c r="P473" s="6" t="s">
        <v>2748</v>
      </c>
      <c r="Q473" s="6" t="n">
        <v>4</v>
      </c>
      <c r="R473" s="6" t="s">
        <v>2749</v>
      </c>
      <c r="S473" s="6" t="n">
        <v>3</v>
      </c>
      <c r="T473" s="6" t="s">
        <v>2750</v>
      </c>
      <c r="U473" s="6" t="n">
        <v>3</v>
      </c>
      <c r="V473" s="6" t="s">
        <v>2751</v>
      </c>
      <c r="W473" s="6" t="n">
        <v>1</v>
      </c>
      <c r="X473" s="6" t="s">
        <v>2752</v>
      </c>
      <c r="Y473" s="6" t="n">
        <v>1</v>
      </c>
      <c r="Z473" s="6" t="s">
        <v>2753</v>
      </c>
      <c r="AA473" s="6" t="n">
        <v>1</v>
      </c>
      <c r="AB473" s="6" t="s">
        <v>2754</v>
      </c>
      <c r="AC473" s="6" t="n">
        <v>1</v>
      </c>
      <c r="AD473" s="6" t="s">
        <v>2755</v>
      </c>
      <c r="AE473" s="6" t="n">
        <v>1</v>
      </c>
      <c r="AF473" s="6" t="s">
        <v>2756</v>
      </c>
      <c r="AG473" s="6" t="n">
        <v>1</v>
      </c>
    </row>
    <row r="474" customFormat="false" ht="12.8" hidden="false" customHeight="false" outlineLevel="0" collapsed="false">
      <c r="A474" s="6" t="s">
        <v>2757</v>
      </c>
      <c r="B474" s="6" t="n">
        <v>22</v>
      </c>
      <c r="C474" s="6" t="n">
        <v>6</v>
      </c>
      <c r="D474" s="12" t="n">
        <f aca="false">C474/(B474+C474)*100</f>
        <v>21.4285714285714</v>
      </c>
      <c r="E474" s="6" t="n">
        <v>4</v>
      </c>
      <c r="F474" s="6" t="s">
        <v>2758</v>
      </c>
      <c r="G474" s="6" t="n">
        <v>4</v>
      </c>
      <c r="H474" s="6" t="s">
        <v>2759</v>
      </c>
      <c r="I474" s="6" t="n">
        <v>1</v>
      </c>
      <c r="J474" s="6" t="s">
        <v>2760</v>
      </c>
      <c r="K474" s="6" t="n">
        <v>1</v>
      </c>
      <c r="L474" s="6" t="s">
        <v>2761</v>
      </c>
      <c r="M474" s="6" t="n">
        <v>0</v>
      </c>
    </row>
    <row r="475" customFormat="false" ht="12.8" hidden="false" customHeight="false" outlineLevel="0" collapsed="false">
      <c r="A475" s="6" t="s">
        <v>2762</v>
      </c>
      <c r="B475" s="6" t="n">
        <v>22</v>
      </c>
      <c r="C475" s="6" t="n">
        <v>1</v>
      </c>
      <c r="D475" s="12" t="n">
        <f aca="false">C475/(B475+C475)*100</f>
        <v>4.34782608695652</v>
      </c>
      <c r="E475" s="6" t="n">
        <v>1</v>
      </c>
      <c r="F475" s="6" t="s">
        <v>2763</v>
      </c>
      <c r="G475" s="6" t="n">
        <v>1</v>
      </c>
    </row>
    <row r="476" customFormat="false" ht="12.8" hidden="false" customHeight="false" outlineLevel="0" collapsed="false">
      <c r="A476" s="6" t="s">
        <v>2764</v>
      </c>
      <c r="B476" s="6" t="n">
        <v>23</v>
      </c>
      <c r="C476" s="6" t="n">
        <v>3</v>
      </c>
      <c r="D476" s="12" t="n">
        <f aca="false">C476/(B476+C476)*100</f>
        <v>11.5384615384615</v>
      </c>
      <c r="E476" s="6" t="n">
        <v>2</v>
      </c>
      <c r="F476" s="6" t="s">
        <v>2765</v>
      </c>
      <c r="G476" s="6" t="n">
        <v>2</v>
      </c>
      <c r="H476" s="6" t="s">
        <v>2766</v>
      </c>
      <c r="I476" s="6" t="n">
        <v>1</v>
      </c>
    </row>
    <row r="477" customFormat="false" ht="12.8" hidden="false" customHeight="false" outlineLevel="0" collapsed="false">
      <c r="A477" s="6" t="s">
        <v>2767</v>
      </c>
      <c r="B477" s="6" t="n">
        <v>23</v>
      </c>
      <c r="C477" s="6" t="n">
        <v>3</v>
      </c>
      <c r="D477" s="12" t="n">
        <f aca="false">C477/(B477+C477)*100</f>
        <v>11.5384615384615</v>
      </c>
      <c r="E477" s="6" t="n">
        <v>2</v>
      </c>
      <c r="F477" s="6" t="s">
        <v>2768</v>
      </c>
      <c r="G477" s="6" t="n">
        <v>2</v>
      </c>
      <c r="H477" s="6" t="s">
        <v>2769</v>
      </c>
      <c r="I477" s="6" t="n">
        <v>1</v>
      </c>
    </row>
    <row r="478" customFormat="false" ht="12.8" hidden="false" customHeight="false" outlineLevel="0" collapsed="false">
      <c r="A478" s="6" t="s">
        <v>2770</v>
      </c>
      <c r="B478" s="6" t="n">
        <v>23</v>
      </c>
      <c r="C478" s="6" t="n">
        <v>1</v>
      </c>
      <c r="D478" s="12" t="n">
        <f aca="false">C478/(B478+C478)*100</f>
        <v>4.16666666666667</v>
      </c>
      <c r="E478" s="6" t="n">
        <v>1</v>
      </c>
      <c r="F478" s="6" t="s">
        <v>2771</v>
      </c>
      <c r="G478" s="6" t="n">
        <v>1</v>
      </c>
    </row>
    <row r="479" customFormat="false" ht="12.8" hidden="false" customHeight="false" outlineLevel="0" collapsed="false">
      <c r="A479" s="6" t="s">
        <v>2772</v>
      </c>
      <c r="B479" s="6" t="n">
        <v>23</v>
      </c>
      <c r="C479" s="6" t="n">
        <v>0</v>
      </c>
      <c r="D479" s="12" t="n">
        <f aca="false">C479/(B479+C479)*100</f>
        <v>0</v>
      </c>
      <c r="E479" s="6" t="n">
        <v>2</v>
      </c>
      <c r="F479" s="6" t="s">
        <v>2773</v>
      </c>
      <c r="G479" s="6" t="n">
        <v>0</v>
      </c>
      <c r="H479" s="6" t="s">
        <v>2774</v>
      </c>
      <c r="I479" s="6" t="n">
        <v>0</v>
      </c>
    </row>
    <row r="480" customFormat="false" ht="12.8" hidden="false" customHeight="false" outlineLevel="0" collapsed="false">
      <c r="A480" s="6" t="s">
        <v>2775</v>
      </c>
      <c r="B480" s="6" t="n">
        <v>24</v>
      </c>
      <c r="C480" s="6" t="n">
        <v>1418</v>
      </c>
      <c r="D480" s="12" t="n">
        <f aca="false">C480/(B480+C480)*100</f>
        <v>98.3356449375867</v>
      </c>
      <c r="E480" s="6" t="n">
        <v>32</v>
      </c>
      <c r="F480" s="6" t="s">
        <v>2776</v>
      </c>
      <c r="G480" s="6" t="n">
        <v>381</v>
      </c>
      <c r="H480" s="6" t="s">
        <v>2777</v>
      </c>
      <c r="I480" s="6" t="n">
        <v>221</v>
      </c>
      <c r="J480" s="6" t="s">
        <v>2778</v>
      </c>
      <c r="K480" s="6" t="n">
        <v>144</v>
      </c>
      <c r="L480" s="6" t="s">
        <v>2779</v>
      </c>
      <c r="M480" s="6" t="n">
        <v>114</v>
      </c>
      <c r="N480" s="6" t="s">
        <v>2780</v>
      </c>
      <c r="O480" s="6" t="n">
        <v>91</v>
      </c>
      <c r="P480" s="6" t="s">
        <v>2780</v>
      </c>
      <c r="Q480" s="6" t="n">
        <v>91</v>
      </c>
      <c r="R480" s="6" t="s">
        <v>2781</v>
      </c>
      <c r="S480" s="6" t="n">
        <v>89</v>
      </c>
      <c r="T480" s="6" t="s">
        <v>2782</v>
      </c>
      <c r="U480" s="6" t="n">
        <v>47</v>
      </c>
      <c r="V480" s="6" t="s">
        <v>2783</v>
      </c>
      <c r="W480" s="6" t="n">
        <v>45</v>
      </c>
      <c r="X480" s="6" t="s">
        <v>2783</v>
      </c>
      <c r="Y480" s="6" t="n">
        <v>45</v>
      </c>
      <c r="Z480" s="6" t="s">
        <v>2784</v>
      </c>
      <c r="AA480" s="6" t="n">
        <v>21</v>
      </c>
      <c r="AB480" s="6" t="s">
        <v>2784</v>
      </c>
      <c r="AC480" s="6" t="n">
        <v>21</v>
      </c>
      <c r="AD480" s="6" t="s">
        <v>2785</v>
      </c>
      <c r="AE480" s="6" t="n">
        <v>20</v>
      </c>
      <c r="AF480" s="6" t="s">
        <v>2786</v>
      </c>
      <c r="AG480" s="6" t="n">
        <v>15</v>
      </c>
      <c r="AH480" s="6" t="s">
        <v>2786</v>
      </c>
      <c r="AI480" s="6" t="n">
        <v>15</v>
      </c>
      <c r="AJ480" s="6" t="s">
        <v>2787</v>
      </c>
      <c r="AK480" s="6" t="n">
        <v>12</v>
      </c>
      <c r="AL480" s="6" t="s">
        <v>2787</v>
      </c>
      <c r="AM480" s="6" t="n">
        <v>12</v>
      </c>
      <c r="AN480" s="6" t="s">
        <v>2788</v>
      </c>
      <c r="AO480" s="6" t="n">
        <v>9</v>
      </c>
      <c r="AP480" s="6" t="s">
        <v>2789</v>
      </c>
      <c r="AQ480" s="6" t="n">
        <v>7</v>
      </c>
      <c r="AR480" s="6" t="s">
        <v>2790</v>
      </c>
      <c r="AS480" s="6" t="n">
        <v>4</v>
      </c>
      <c r="AT480" s="6" t="s">
        <v>2791</v>
      </c>
      <c r="AU480" s="6" t="n">
        <v>4</v>
      </c>
      <c r="AV480" s="6" t="s">
        <v>2792</v>
      </c>
      <c r="AW480" s="6" t="n">
        <v>2</v>
      </c>
      <c r="AX480" s="6" t="s">
        <v>2793</v>
      </c>
      <c r="AY480" s="6" t="n">
        <v>2</v>
      </c>
      <c r="AZ480" s="6" t="s">
        <v>2794</v>
      </c>
      <c r="BA480" s="6" t="n">
        <v>1</v>
      </c>
      <c r="BB480" s="6" t="s">
        <v>2795</v>
      </c>
      <c r="BC480" s="6" t="n">
        <v>1</v>
      </c>
      <c r="BD480" s="6" t="s">
        <v>2796</v>
      </c>
      <c r="BE480" s="6" t="n">
        <v>1</v>
      </c>
      <c r="BF480" s="6" t="s">
        <v>2797</v>
      </c>
      <c r="BG480" s="6" t="n">
        <v>1</v>
      </c>
      <c r="BH480" s="6" t="s">
        <v>2798</v>
      </c>
      <c r="BI480" s="6" t="n">
        <v>1</v>
      </c>
      <c r="BJ480" s="6" t="s">
        <v>2794</v>
      </c>
      <c r="BK480" s="6" t="n">
        <v>1</v>
      </c>
      <c r="BL480" s="6" t="s">
        <v>2799</v>
      </c>
      <c r="BM480" s="6" t="n">
        <v>0</v>
      </c>
      <c r="BN480" s="6" t="s">
        <v>2800</v>
      </c>
      <c r="BO480" s="6" t="n">
        <v>0</v>
      </c>
      <c r="BP480" s="6" t="s">
        <v>2801</v>
      </c>
      <c r="BQ480" s="6" t="n">
        <v>0</v>
      </c>
    </row>
    <row r="481" customFormat="false" ht="12.8" hidden="false" customHeight="false" outlineLevel="0" collapsed="false">
      <c r="A481" s="6" t="s">
        <v>2802</v>
      </c>
      <c r="B481" s="6" t="n">
        <v>24</v>
      </c>
      <c r="C481" s="6" t="n">
        <v>380</v>
      </c>
      <c r="D481" s="12" t="n">
        <f aca="false">C481/(B481+C481)*100</f>
        <v>94.0594059405941</v>
      </c>
      <c r="E481" s="6" t="n">
        <v>10</v>
      </c>
      <c r="F481" s="6" t="s">
        <v>2803</v>
      </c>
      <c r="G481" s="6" t="n">
        <v>299</v>
      </c>
      <c r="H481" s="6" t="s">
        <v>2804</v>
      </c>
      <c r="I481" s="6" t="n">
        <v>36</v>
      </c>
      <c r="J481" s="6" t="s">
        <v>2805</v>
      </c>
      <c r="K481" s="6" t="n">
        <v>16</v>
      </c>
      <c r="L481" s="6" t="s">
        <v>2806</v>
      </c>
      <c r="M481" s="6" t="n">
        <v>12</v>
      </c>
      <c r="N481" s="6" t="s">
        <v>2807</v>
      </c>
      <c r="O481" s="6" t="n">
        <v>7</v>
      </c>
      <c r="P481" s="6" t="s">
        <v>2808</v>
      </c>
      <c r="Q481" s="6" t="n">
        <v>7</v>
      </c>
      <c r="R481" s="6" t="s">
        <v>2809</v>
      </c>
      <c r="S481" s="6" t="n">
        <v>1</v>
      </c>
      <c r="T481" s="6" t="s">
        <v>2810</v>
      </c>
      <c r="U481" s="6" t="n">
        <v>1</v>
      </c>
      <c r="V481" s="6" t="s">
        <v>2811</v>
      </c>
      <c r="W481" s="6" t="n">
        <v>1</v>
      </c>
      <c r="X481" s="6" t="s">
        <v>2812</v>
      </c>
      <c r="Y481" s="6" t="n">
        <v>0</v>
      </c>
    </row>
    <row r="482" customFormat="false" ht="12.8" hidden="false" customHeight="false" outlineLevel="0" collapsed="false">
      <c r="A482" s="6" t="s">
        <v>2813</v>
      </c>
      <c r="B482" s="6" t="n">
        <v>24</v>
      </c>
      <c r="C482" s="6" t="n">
        <v>18</v>
      </c>
      <c r="D482" s="12" t="n">
        <f aca="false">C482/(B482+C482)*100</f>
        <v>42.8571428571429</v>
      </c>
      <c r="E482" s="6" t="n">
        <v>2</v>
      </c>
      <c r="F482" s="6" t="s">
        <v>2814</v>
      </c>
      <c r="G482" s="6" t="n">
        <v>17</v>
      </c>
      <c r="H482" s="6" t="s">
        <v>2815</v>
      </c>
      <c r="I482" s="6" t="n">
        <v>1</v>
      </c>
    </row>
    <row r="483" customFormat="false" ht="12.8" hidden="false" customHeight="false" outlineLevel="0" collapsed="false">
      <c r="A483" s="6" t="s">
        <v>2816</v>
      </c>
      <c r="B483" s="6" t="n">
        <v>24</v>
      </c>
      <c r="C483" s="6" t="n">
        <v>12</v>
      </c>
      <c r="D483" s="12" t="n">
        <f aca="false">C483/(B483+C483)*100</f>
        <v>33.3333333333333</v>
      </c>
      <c r="E483" s="6" t="n">
        <v>12</v>
      </c>
      <c r="F483" s="6" t="s">
        <v>2817</v>
      </c>
      <c r="G483" s="6" t="n">
        <v>4</v>
      </c>
      <c r="H483" s="6" t="s">
        <v>2818</v>
      </c>
      <c r="I483" s="6" t="n">
        <v>3</v>
      </c>
      <c r="J483" s="6" t="s">
        <v>2819</v>
      </c>
      <c r="K483" s="6" t="n">
        <v>2</v>
      </c>
      <c r="L483" s="6" t="s">
        <v>2820</v>
      </c>
      <c r="M483" s="6" t="n">
        <v>2</v>
      </c>
      <c r="N483" s="6" t="s">
        <v>2821</v>
      </c>
      <c r="O483" s="6" t="n">
        <v>1</v>
      </c>
      <c r="P483" s="6" t="s">
        <v>2822</v>
      </c>
      <c r="Q483" s="6" t="n">
        <v>0</v>
      </c>
      <c r="R483" s="6" t="s">
        <v>2823</v>
      </c>
      <c r="S483" s="6" t="n">
        <v>0</v>
      </c>
      <c r="T483" s="6" t="s">
        <v>2824</v>
      </c>
      <c r="U483" s="6" t="n">
        <v>0</v>
      </c>
      <c r="V483" s="6" t="s">
        <v>2825</v>
      </c>
      <c r="W483" s="6" t="n">
        <v>0</v>
      </c>
      <c r="X483" s="6" t="s">
        <v>2826</v>
      </c>
      <c r="Y483" s="6" t="n">
        <v>0</v>
      </c>
      <c r="Z483" s="6" t="s">
        <v>2827</v>
      </c>
      <c r="AA483" s="6" t="n">
        <v>0</v>
      </c>
      <c r="AB483" s="6" t="s">
        <v>2828</v>
      </c>
      <c r="AC483" s="6" t="n">
        <v>0</v>
      </c>
    </row>
    <row r="484" customFormat="false" ht="12.8" hidden="false" customHeight="false" outlineLevel="0" collapsed="false">
      <c r="A484" s="6" t="s">
        <v>2829</v>
      </c>
      <c r="B484" s="6" t="n">
        <v>24</v>
      </c>
      <c r="C484" s="6" t="n">
        <v>5</v>
      </c>
      <c r="D484" s="12" t="n">
        <f aca="false">C484/(B484+C484)*100</f>
        <v>17.2413793103448</v>
      </c>
      <c r="E484" s="6" t="n">
        <v>4</v>
      </c>
      <c r="F484" s="6" t="s">
        <v>2830</v>
      </c>
      <c r="G484" s="6" t="n">
        <v>4</v>
      </c>
      <c r="H484" s="6" t="s">
        <v>2831</v>
      </c>
      <c r="I484" s="6" t="n">
        <v>1</v>
      </c>
      <c r="J484" s="6" t="s">
        <v>2832</v>
      </c>
      <c r="K484" s="6" t="n">
        <v>0</v>
      </c>
      <c r="L484" s="6" t="s">
        <v>2833</v>
      </c>
      <c r="M484" s="6" t="n">
        <v>0</v>
      </c>
    </row>
    <row r="485" customFormat="false" ht="12.8" hidden="false" customHeight="false" outlineLevel="0" collapsed="false">
      <c r="A485" s="6" t="s">
        <v>2834</v>
      </c>
      <c r="B485" s="6" t="n">
        <v>24</v>
      </c>
      <c r="C485" s="6" t="n">
        <v>5</v>
      </c>
      <c r="D485" s="12" t="n">
        <f aca="false">C485/(B485+C485)*100</f>
        <v>17.2413793103448</v>
      </c>
      <c r="E485" s="6" t="n">
        <v>2</v>
      </c>
      <c r="F485" s="6" t="s">
        <v>2835</v>
      </c>
      <c r="G485" s="6" t="n">
        <v>4</v>
      </c>
      <c r="H485" s="6" t="s">
        <v>2836</v>
      </c>
      <c r="I485" s="6" t="n">
        <v>1</v>
      </c>
    </row>
    <row r="486" customFormat="false" ht="12.8" hidden="false" customHeight="false" outlineLevel="0" collapsed="false">
      <c r="A486" s="6" t="s">
        <v>2837</v>
      </c>
      <c r="B486" s="6" t="n">
        <v>24</v>
      </c>
      <c r="C486" s="6" t="n">
        <v>2</v>
      </c>
      <c r="D486" s="12" t="n">
        <f aca="false">C486/(B486+C486)*100</f>
        <v>7.69230769230769</v>
      </c>
      <c r="E486" s="6" t="n">
        <v>1</v>
      </c>
      <c r="F486" s="6" t="s">
        <v>2838</v>
      </c>
      <c r="G486" s="6" t="n">
        <v>2</v>
      </c>
    </row>
    <row r="487" customFormat="false" ht="12.8" hidden="false" customHeight="false" outlineLevel="0" collapsed="false">
      <c r="A487" s="6" t="s">
        <v>2839</v>
      </c>
      <c r="B487" s="6" t="n">
        <v>24</v>
      </c>
      <c r="C487" s="6" t="n">
        <v>1</v>
      </c>
      <c r="D487" s="12" t="n">
        <f aca="false">C487/(B487+C487)*100</f>
        <v>4</v>
      </c>
      <c r="E487" s="6" t="n">
        <v>1</v>
      </c>
      <c r="F487" s="6" t="s">
        <v>2840</v>
      </c>
      <c r="G487" s="6" t="n">
        <v>1</v>
      </c>
    </row>
    <row r="488" customFormat="false" ht="12.8" hidden="false" customHeight="false" outlineLevel="0" collapsed="false">
      <c r="A488" s="6" t="s">
        <v>2841</v>
      </c>
      <c r="B488" s="6" t="n">
        <v>25</v>
      </c>
      <c r="C488" s="6" t="n">
        <v>386</v>
      </c>
      <c r="D488" s="12" t="n">
        <f aca="false">C488/(B488+C488)*100</f>
        <v>93.9172749391727</v>
      </c>
      <c r="E488" s="6" t="n">
        <v>21</v>
      </c>
      <c r="F488" s="6" t="s">
        <v>2842</v>
      </c>
      <c r="G488" s="6" t="n">
        <v>149</v>
      </c>
      <c r="H488" s="6" t="s">
        <v>2843</v>
      </c>
      <c r="I488" s="6" t="n">
        <v>97</v>
      </c>
      <c r="J488" s="6" t="s">
        <v>2844</v>
      </c>
      <c r="K488" s="6" t="n">
        <v>67</v>
      </c>
      <c r="L488" s="6" t="s">
        <v>2845</v>
      </c>
      <c r="M488" s="6" t="n">
        <v>28</v>
      </c>
      <c r="N488" s="6" t="s">
        <v>2846</v>
      </c>
      <c r="O488" s="6" t="n">
        <v>17</v>
      </c>
      <c r="P488" s="6" t="s">
        <v>2847</v>
      </c>
      <c r="Q488" s="6" t="n">
        <v>5</v>
      </c>
      <c r="R488" s="6" t="s">
        <v>2848</v>
      </c>
      <c r="S488" s="6" t="n">
        <v>5</v>
      </c>
      <c r="T488" s="6" t="s">
        <v>2849</v>
      </c>
      <c r="U488" s="6" t="n">
        <v>4</v>
      </c>
      <c r="V488" s="6" t="s">
        <v>2850</v>
      </c>
      <c r="W488" s="6" t="n">
        <v>3</v>
      </c>
      <c r="X488" s="6" t="s">
        <v>2851</v>
      </c>
      <c r="Y488" s="6" t="n">
        <v>2</v>
      </c>
      <c r="Z488" s="6" t="s">
        <v>2852</v>
      </c>
      <c r="AA488" s="6" t="n">
        <v>2</v>
      </c>
      <c r="AB488" s="6" t="s">
        <v>2853</v>
      </c>
      <c r="AC488" s="6" t="n">
        <v>2</v>
      </c>
      <c r="AD488" s="6" t="s">
        <v>2854</v>
      </c>
      <c r="AE488" s="6" t="n">
        <v>2</v>
      </c>
      <c r="AF488" s="6" t="s">
        <v>2855</v>
      </c>
      <c r="AG488" s="6" t="n">
        <v>2</v>
      </c>
      <c r="AH488" s="6" t="s">
        <v>2856</v>
      </c>
      <c r="AI488" s="6" t="n">
        <v>1</v>
      </c>
      <c r="AJ488" s="6" t="s">
        <v>2857</v>
      </c>
      <c r="AK488" s="6" t="n">
        <v>0</v>
      </c>
      <c r="AL488" s="6" t="s">
        <v>2858</v>
      </c>
      <c r="AM488" s="6" t="n">
        <v>0</v>
      </c>
      <c r="AN488" s="6" t="s">
        <v>2859</v>
      </c>
      <c r="AO488" s="6" t="n">
        <v>0</v>
      </c>
      <c r="AP488" s="6" t="s">
        <v>2860</v>
      </c>
      <c r="AQ488" s="6" t="n">
        <v>0</v>
      </c>
      <c r="AR488" s="6" t="s">
        <v>2861</v>
      </c>
      <c r="AS488" s="6" t="n">
        <v>0</v>
      </c>
      <c r="AT488" s="6" t="s">
        <v>2862</v>
      </c>
      <c r="AU488" s="6" t="n">
        <v>0</v>
      </c>
    </row>
    <row r="489" customFormat="false" ht="12.8" hidden="false" customHeight="false" outlineLevel="0" collapsed="false">
      <c r="A489" s="6" t="s">
        <v>2863</v>
      </c>
      <c r="B489" s="6" t="n">
        <v>25</v>
      </c>
      <c r="C489" s="6" t="n">
        <v>12</v>
      </c>
      <c r="D489" s="12" t="n">
        <f aca="false">C489/(B489+C489)*100</f>
        <v>32.4324324324324</v>
      </c>
      <c r="E489" s="6" t="n">
        <v>2</v>
      </c>
      <c r="F489" s="6" t="s">
        <v>2864</v>
      </c>
      <c r="G489" s="6" t="n">
        <v>11</v>
      </c>
      <c r="H489" s="6" t="s">
        <v>2865</v>
      </c>
      <c r="I489" s="6" t="n">
        <v>1</v>
      </c>
    </row>
    <row r="490" customFormat="false" ht="12.8" hidden="false" customHeight="false" outlineLevel="0" collapsed="false">
      <c r="A490" s="6" t="s">
        <v>2866</v>
      </c>
      <c r="B490" s="6" t="n">
        <v>25</v>
      </c>
      <c r="C490" s="6" t="n">
        <v>7</v>
      </c>
      <c r="D490" s="12" t="n">
        <f aca="false">C490/(B490+C490)*100</f>
        <v>21.875</v>
      </c>
      <c r="E490" s="6" t="n">
        <v>1</v>
      </c>
      <c r="F490" s="6" t="s">
        <v>2867</v>
      </c>
      <c r="G490" s="6" t="n">
        <v>7</v>
      </c>
    </row>
    <row r="491" customFormat="false" ht="12.8" hidden="false" customHeight="false" outlineLevel="0" collapsed="false">
      <c r="A491" s="6" t="s">
        <v>2868</v>
      </c>
      <c r="B491" s="6" t="n">
        <v>25</v>
      </c>
      <c r="C491" s="6" t="n">
        <v>1</v>
      </c>
      <c r="D491" s="12" t="n">
        <f aca="false">C491/(B491+C491)*100</f>
        <v>3.84615384615385</v>
      </c>
      <c r="E491" s="6" t="n">
        <v>2</v>
      </c>
      <c r="F491" s="6" t="s">
        <v>2869</v>
      </c>
      <c r="G491" s="6" t="n">
        <v>1</v>
      </c>
      <c r="H491" s="6" t="s">
        <v>2870</v>
      </c>
      <c r="I491" s="6" t="n">
        <v>0</v>
      </c>
    </row>
    <row r="492" customFormat="false" ht="12.8" hidden="false" customHeight="false" outlineLevel="0" collapsed="false">
      <c r="A492" s="6" t="s">
        <v>2871</v>
      </c>
      <c r="B492" s="6" t="n">
        <v>25</v>
      </c>
      <c r="C492" s="6" t="n">
        <v>1</v>
      </c>
      <c r="D492" s="12" t="n">
        <f aca="false">C492/(B492+C492)*100</f>
        <v>3.84615384615385</v>
      </c>
      <c r="E492" s="6" t="n">
        <v>2</v>
      </c>
      <c r="F492" s="6" t="s">
        <v>2872</v>
      </c>
      <c r="G492" s="6" t="n">
        <v>1</v>
      </c>
      <c r="H492" s="6" t="s">
        <v>2873</v>
      </c>
      <c r="I492" s="6" t="n">
        <v>0</v>
      </c>
    </row>
    <row r="493" customFormat="false" ht="12.8" hidden="false" customHeight="false" outlineLevel="0" collapsed="false">
      <c r="A493" s="6" t="s">
        <v>2874</v>
      </c>
      <c r="B493" s="6" t="n">
        <v>25</v>
      </c>
      <c r="C493" s="6" t="n">
        <v>0</v>
      </c>
      <c r="D493" s="12" t="n">
        <f aca="false">C493/(B493+C493)*100</f>
        <v>0</v>
      </c>
      <c r="E493" s="6" t="n">
        <v>3</v>
      </c>
      <c r="F493" s="6" t="s">
        <v>2875</v>
      </c>
      <c r="G493" s="6" t="n">
        <v>0</v>
      </c>
      <c r="H493" s="6" t="s">
        <v>2876</v>
      </c>
      <c r="I493" s="6" t="n">
        <v>0</v>
      </c>
      <c r="J493" s="6" t="s">
        <v>2877</v>
      </c>
      <c r="K493" s="6" t="n">
        <v>0</v>
      </c>
    </row>
    <row r="494" customFormat="false" ht="12.8" hidden="false" customHeight="false" outlineLevel="0" collapsed="false">
      <c r="A494" s="6" t="s">
        <v>2878</v>
      </c>
      <c r="B494" s="6" t="n">
        <v>26</v>
      </c>
      <c r="C494" s="6" t="n">
        <v>2</v>
      </c>
      <c r="D494" s="12" t="n">
        <f aca="false">C494/(B494+C494)*100</f>
        <v>7.14285714285714</v>
      </c>
      <c r="E494" s="6" t="n">
        <v>4</v>
      </c>
      <c r="F494" s="6" t="s">
        <v>2879</v>
      </c>
      <c r="G494" s="6" t="n">
        <v>1</v>
      </c>
      <c r="H494" s="6" t="s">
        <v>2880</v>
      </c>
      <c r="I494" s="6" t="n">
        <v>1</v>
      </c>
      <c r="J494" s="6" t="s">
        <v>2881</v>
      </c>
      <c r="K494" s="6" t="n">
        <v>0</v>
      </c>
      <c r="L494" s="6" t="s">
        <v>2882</v>
      </c>
      <c r="M494" s="6" t="n">
        <v>0</v>
      </c>
    </row>
    <row r="495" customFormat="false" ht="12.8" hidden="false" customHeight="false" outlineLevel="0" collapsed="false">
      <c r="A495" s="6" t="s">
        <v>2883</v>
      </c>
      <c r="B495" s="6" t="n">
        <v>26</v>
      </c>
      <c r="C495" s="6" t="n">
        <v>1</v>
      </c>
      <c r="D495" s="12" t="n">
        <f aca="false">C495/(B495+C495)*100</f>
        <v>3.7037037037037</v>
      </c>
      <c r="E495" s="6" t="n">
        <v>1</v>
      </c>
      <c r="F495" s="6" t="s">
        <v>2884</v>
      </c>
      <c r="G495" s="6" t="n">
        <v>1</v>
      </c>
    </row>
    <row r="496" customFormat="false" ht="12.8" hidden="false" customHeight="false" outlineLevel="0" collapsed="false">
      <c r="A496" s="6" t="s">
        <v>2885</v>
      </c>
      <c r="B496" s="6" t="n">
        <v>26</v>
      </c>
      <c r="C496" s="6" t="n">
        <v>0</v>
      </c>
      <c r="D496" s="12" t="n">
        <f aca="false">C496/(B496+C496)*100</f>
        <v>0</v>
      </c>
      <c r="E496" s="6" t="n">
        <v>1</v>
      </c>
      <c r="F496" s="6" t="s">
        <v>2886</v>
      </c>
      <c r="G496" s="6" t="n">
        <v>0</v>
      </c>
    </row>
    <row r="497" customFormat="false" ht="12.8" hidden="false" customHeight="false" outlineLevel="0" collapsed="false">
      <c r="A497" s="6" t="s">
        <v>2887</v>
      </c>
      <c r="B497" s="6" t="n">
        <v>27</v>
      </c>
      <c r="C497" s="6" t="n">
        <v>92</v>
      </c>
      <c r="D497" s="12" t="n">
        <f aca="false">C497/(B497+C497)*100</f>
        <v>77.3109243697479</v>
      </c>
      <c r="E497" s="6" t="n">
        <v>15</v>
      </c>
      <c r="F497" s="6" t="s">
        <v>2888</v>
      </c>
      <c r="G497" s="6" t="n">
        <v>42</v>
      </c>
      <c r="H497" s="6" t="s">
        <v>2889</v>
      </c>
      <c r="I497" s="6" t="n">
        <v>19</v>
      </c>
      <c r="J497" s="6" t="s">
        <v>2890</v>
      </c>
      <c r="K497" s="6" t="n">
        <v>11</v>
      </c>
      <c r="L497" s="6" t="s">
        <v>2891</v>
      </c>
      <c r="M497" s="6" t="n">
        <v>4</v>
      </c>
      <c r="N497" s="6" t="s">
        <v>2892</v>
      </c>
      <c r="O497" s="6" t="n">
        <v>3</v>
      </c>
      <c r="P497" s="6" t="s">
        <v>2893</v>
      </c>
      <c r="Q497" s="6" t="n">
        <v>3</v>
      </c>
      <c r="R497" s="6" t="s">
        <v>2894</v>
      </c>
      <c r="S497" s="6" t="n">
        <v>2</v>
      </c>
      <c r="T497" s="6" t="s">
        <v>2895</v>
      </c>
      <c r="U497" s="6" t="n">
        <v>2</v>
      </c>
      <c r="V497" s="6" t="s">
        <v>2896</v>
      </c>
      <c r="W497" s="6" t="n">
        <v>1</v>
      </c>
      <c r="X497" s="6" t="s">
        <v>2897</v>
      </c>
      <c r="Y497" s="6" t="n">
        <v>1</v>
      </c>
      <c r="Z497" s="6" t="s">
        <v>2898</v>
      </c>
      <c r="AA497" s="6" t="n">
        <v>1</v>
      </c>
      <c r="AB497" s="6" t="s">
        <v>2899</v>
      </c>
      <c r="AC497" s="6" t="n">
        <v>1</v>
      </c>
      <c r="AD497" s="6" t="s">
        <v>2900</v>
      </c>
      <c r="AE497" s="6" t="n">
        <v>1</v>
      </c>
      <c r="AF497" s="6" t="s">
        <v>2901</v>
      </c>
      <c r="AG497" s="6" t="n">
        <v>1</v>
      </c>
      <c r="AH497" s="6" t="s">
        <v>2902</v>
      </c>
      <c r="AI497" s="6" t="n">
        <v>0</v>
      </c>
    </row>
    <row r="498" customFormat="false" ht="12.8" hidden="false" customHeight="false" outlineLevel="0" collapsed="false">
      <c r="A498" s="6" t="s">
        <v>2903</v>
      </c>
      <c r="B498" s="6" t="n">
        <v>27</v>
      </c>
      <c r="C498" s="6" t="n">
        <v>39</v>
      </c>
      <c r="D498" s="12" t="n">
        <f aca="false">C498/(B498+C498)*100</f>
        <v>59.0909090909091</v>
      </c>
      <c r="E498" s="6" t="n">
        <v>1</v>
      </c>
      <c r="F498" s="6" t="s">
        <v>2904</v>
      </c>
      <c r="G498" s="6" t="n">
        <v>39</v>
      </c>
    </row>
    <row r="499" customFormat="false" ht="12.8" hidden="false" customHeight="false" outlineLevel="0" collapsed="false">
      <c r="A499" s="6" t="s">
        <v>2905</v>
      </c>
      <c r="B499" s="6" t="n">
        <v>27</v>
      </c>
      <c r="C499" s="6" t="n">
        <v>27</v>
      </c>
      <c r="D499" s="12" t="n">
        <f aca="false">C499/(B499+C499)*100</f>
        <v>50</v>
      </c>
      <c r="E499" s="6" t="n">
        <v>4</v>
      </c>
      <c r="F499" s="6" t="s">
        <v>2906</v>
      </c>
      <c r="G499" s="6" t="n">
        <v>25</v>
      </c>
      <c r="H499" s="6" t="s">
        <v>2907</v>
      </c>
      <c r="I499" s="6" t="n">
        <v>1</v>
      </c>
      <c r="J499" s="6" t="s">
        <v>2908</v>
      </c>
      <c r="K499" s="6" t="n">
        <v>1</v>
      </c>
      <c r="L499" s="6" t="s">
        <v>2909</v>
      </c>
      <c r="M499" s="6" t="n">
        <v>0</v>
      </c>
    </row>
    <row r="500" customFormat="false" ht="12.8" hidden="false" customHeight="false" outlineLevel="0" collapsed="false">
      <c r="A500" s="6" t="s">
        <v>2910</v>
      </c>
      <c r="B500" s="6" t="n">
        <v>27</v>
      </c>
      <c r="C500" s="6" t="n">
        <v>6</v>
      </c>
      <c r="D500" s="12" t="n">
        <f aca="false">C500/(B500+C500)*100</f>
        <v>18.1818181818182</v>
      </c>
      <c r="E500" s="6" t="n">
        <v>4</v>
      </c>
      <c r="F500" s="6" t="s">
        <v>2911</v>
      </c>
      <c r="G500" s="6" t="n">
        <v>2</v>
      </c>
      <c r="H500" s="6" t="s">
        <v>2912</v>
      </c>
      <c r="I500" s="6" t="n">
        <v>2</v>
      </c>
      <c r="J500" s="6" t="s">
        <v>2913</v>
      </c>
      <c r="K500" s="6" t="n">
        <v>1</v>
      </c>
      <c r="L500" s="6" t="s">
        <v>2914</v>
      </c>
      <c r="M500" s="6" t="n">
        <v>1</v>
      </c>
    </row>
    <row r="501" customFormat="false" ht="12.8" hidden="false" customHeight="false" outlineLevel="0" collapsed="false">
      <c r="A501" s="6" t="s">
        <v>2915</v>
      </c>
      <c r="B501" s="6" t="n">
        <v>27</v>
      </c>
      <c r="C501" s="6" t="n">
        <v>2</v>
      </c>
      <c r="D501" s="12" t="n">
        <f aca="false">C501/(B501+C501)*100</f>
        <v>6.89655172413793</v>
      </c>
      <c r="E501" s="6" t="n">
        <v>2</v>
      </c>
      <c r="F501" s="6" t="s">
        <v>2916</v>
      </c>
      <c r="G501" s="6" t="n">
        <v>2</v>
      </c>
      <c r="H501" s="6" t="s">
        <v>2917</v>
      </c>
      <c r="I501" s="6" t="n">
        <v>0</v>
      </c>
    </row>
    <row r="502" customFormat="false" ht="12.8" hidden="false" customHeight="false" outlineLevel="0" collapsed="false">
      <c r="A502" s="6" t="s">
        <v>2918</v>
      </c>
      <c r="B502" s="6" t="n">
        <v>27</v>
      </c>
      <c r="C502" s="6" t="n">
        <v>1</v>
      </c>
      <c r="D502" s="12" t="n">
        <f aca="false">C502/(B502+C502)*100</f>
        <v>3.57142857142857</v>
      </c>
      <c r="E502" s="6" t="n">
        <v>1</v>
      </c>
      <c r="F502" s="6" t="s">
        <v>2919</v>
      </c>
      <c r="G502" s="6" t="n">
        <v>1</v>
      </c>
    </row>
    <row r="503" customFormat="false" ht="12.8" hidden="false" customHeight="false" outlineLevel="0" collapsed="false">
      <c r="A503" s="6" t="s">
        <v>2920</v>
      </c>
      <c r="B503" s="6" t="n">
        <v>28</v>
      </c>
      <c r="C503" s="6" t="n">
        <v>144</v>
      </c>
      <c r="D503" s="12" t="n">
        <f aca="false">C503/(B503+C503)*100</f>
        <v>83.7209302325581</v>
      </c>
      <c r="E503" s="6" t="n">
        <v>13</v>
      </c>
      <c r="F503" s="6" t="s">
        <v>2921</v>
      </c>
      <c r="G503" s="6" t="n">
        <v>105</v>
      </c>
      <c r="H503" s="6" t="s">
        <v>2922</v>
      </c>
      <c r="I503" s="6" t="n">
        <v>21</v>
      </c>
      <c r="J503" s="6" t="s">
        <v>2923</v>
      </c>
      <c r="K503" s="6" t="n">
        <v>6</v>
      </c>
      <c r="L503" s="6" t="s">
        <v>2924</v>
      </c>
      <c r="M503" s="6" t="n">
        <v>4</v>
      </c>
      <c r="N503" s="6" t="s">
        <v>2925</v>
      </c>
      <c r="O503" s="6" t="n">
        <v>2</v>
      </c>
      <c r="P503" s="6" t="s">
        <v>2926</v>
      </c>
      <c r="Q503" s="6" t="n">
        <v>2</v>
      </c>
      <c r="R503" s="6" t="s">
        <v>2927</v>
      </c>
      <c r="S503" s="6" t="n">
        <v>1</v>
      </c>
      <c r="T503" s="6" t="s">
        <v>2928</v>
      </c>
      <c r="U503" s="6" t="n">
        <v>1</v>
      </c>
      <c r="V503" s="6" t="s">
        <v>2929</v>
      </c>
      <c r="W503" s="6" t="n">
        <v>1</v>
      </c>
      <c r="X503" s="6" t="s">
        <v>2930</v>
      </c>
      <c r="Y503" s="6" t="n">
        <v>1</v>
      </c>
      <c r="Z503" s="6" t="s">
        <v>2931</v>
      </c>
      <c r="AA503" s="6" t="n">
        <v>0</v>
      </c>
      <c r="AB503" s="6" t="s">
        <v>2932</v>
      </c>
      <c r="AC503" s="6" t="n">
        <v>0</v>
      </c>
      <c r="AD503" s="6" t="s">
        <v>2933</v>
      </c>
      <c r="AE503" s="6" t="n">
        <v>0</v>
      </c>
    </row>
    <row r="504" customFormat="false" ht="12.8" hidden="false" customHeight="false" outlineLevel="0" collapsed="false">
      <c r="A504" s="6" t="s">
        <v>2934</v>
      </c>
      <c r="B504" s="6" t="n">
        <v>28</v>
      </c>
      <c r="C504" s="6" t="n">
        <v>103</v>
      </c>
      <c r="D504" s="12" t="n">
        <f aca="false">C504/(B504+C504)*100</f>
        <v>78.6259541984733</v>
      </c>
      <c r="E504" s="6" t="n">
        <v>6</v>
      </c>
      <c r="F504" s="6" t="s">
        <v>2935</v>
      </c>
      <c r="G504" s="6" t="n">
        <v>85</v>
      </c>
      <c r="H504" s="6" t="s">
        <v>2936</v>
      </c>
      <c r="I504" s="6" t="n">
        <v>12</v>
      </c>
      <c r="J504" s="6" t="s">
        <v>2937</v>
      </c>
      <c r="K504" s="6" t="n">
        <v>3</v>
      </c>
      <c r="L504" s="6" t="s">
        <v>2938</v>
      </c>
      <c r="M504" s="6" t="n">
        <v>1</v>
      </c>
      <c r="N504" s="6" t="s">
        <v>2939</v>
      </c>
      <c r="O504" s="6" t="n">
        <v>1</v>
      </c>
      <c r="P504" s="6" t="s">
        <v>2940</v>
      </c>
      <c r="Q504" s="6" t="n">
        <v>1</v>
      </c>
    </row>
    <row r="505" customFormat="false" ht="12.8" hidden="false" customHeight="false" outlineLevel="0" collapsed="false">
      <c r="A505" s="6" t="s">
        <v>2941</v>
      </c>
      <c r="B505" s="6" t="n">
        <v>28</v>
      </c>
      <c r="C505" s="6" t="n">
        <v>11</v>
      </c>
      <c r="D505" s="12" t="n">
        <f aca="false">C505/(B505+C505)*100</f>
        <v>28.2051282051282</v>
      </c>
      <c r="E505" s="6" t="n">
        <v>3</v>
      </c>
      <c r="F505" s="6" t="s">
        <v>2942</v>
      </c>
      <c r="G505" s="6" t="n">
        <v>5</v>
      </c>
      <c r="H505" s="6" t="s">
        <v>2943</v>
      </c>
      <c r="I505" s="6" t="n">
        <v>5</v>
      </c>
      <c r="J505" s="6" t="s">
        <v>2944</v>
      </c>
      <c r="K505" s="6" t="n">
        <v>1</v>
      </c>
    </row>
    <row r="506" customFormat="false" ht="12.8" hidden="false" customHeight="false" outlineLevel="0" collapsed="false">
      <c r="A506" s="6" t="s">
        <v>2945</v>
      </c>
      <c r="B506" s="6" t="n">
        <v>28</v>
      </c>
      <c r="C506" s="6" t="n">
        <v>3</v>
      </c>
      <c r="D506" s="12" t="n">
        <f aca="false">C506/(B506+C506)*100</f>
        <v>9.67741935483871</v>
      </c>
      <c r="E506" s="6" t="n">
        <v>2</v>
      </c>
      <c r="F506" s="6" t="s">
        <v>2946</v>
      </c>
      <c r="G506" s="6" t="n">
        <v>2</v>
      </c>
      <c r="H506" s="6" t="s">
        <v>2947</v>
      </c>
      <c r="I506" s="6" t="n">
        <v>1</v>
      </c>
    </row>
    <row r="507" customFormat="false" ht="12.8" hidden="false" customHeight="false" outlineLevel="0" collapsed="false">
      <c r="A507" s="6" t="s">
        <v>2948</v>
      </c>
      <c r="B507" s="6" t="n">
        <v>28</v>
      </c>
      <c r="C507" s="6" t="n">
        <v>2</v>
      </c>
      <c r="D507" s="12" t="n">
        <f aca="false">C507/(B507+C507)*100</f>
        <v>6.66666666666667</v>
      </c>
      <c r="E507" s="6" t="n">
        <v>1</v>
      </c>
      <c r="F507" s="6" t="s">
        <v>2949</v>
      </c>
      <c r="G507" s="6" t="n">
        <v>2</v>
      </c>
    </row>
    <row r="508" customFormat="false" ht="12.8" hidden="false" customHeight="false" outlineLevel="0" collapsed="false">
      <c r="A508" s="6" t="s">
        <v>2950</v>
      </c>
      <c r="B508" s="6" t="n">
        <v>29</v>
      </c>
      <c r="C508" s="6" t="n">
        <v>136</v>
      </c>
      <c r="D508" s="12" t="n">
        <f aca="false">C508/(B508+C508)*100</f>
        <v>82.4242424242424</v>
      </c>
      <c r="E508" s="6" t="n">
        <v>9</v>
      </c>
      <c r="F508" s="6" t="s">
        <v>2951</v>
      </c>
      <c r="G508" s="6" t="n">
        <v>86</v>
      </c>
      <c r="H508" s="6" t="s">
        <v>2952</v>
      </c>
      <c r="I508" s="6" t="n">
        <v>24</v>
      </c>
      <c r="J508" s="6" t="s">
        <v>2953</v>
      </c>
      <c r="K508" s="6" t="n">
        <v>11</v>
      </c>
      <c r="L508" s="6" t="s">
        <v>2954</v>
      </c>
      <c r="M508" s="6" t="n">
        <v>10</v>
      </c>
      <c r="N508" s="6" t="s">
        <v>2955</v>
      </c>
      <c r="O508" s="6" t="n">
        <v>2</v>
      </c>
      <c r="P508" s="6" t="s">
        <v>2956</v>
      </c>
      <c r="Q508" s="6" t="n">
        <v>1</v>
      </c>
      <c r="R508" s="6" t="s">
        <v>2957</v>
      </c>
      <c r="S508" s="6" t="n">
        <v>1</v>
      </c>
      <c r="T508" s="6" t="s">
        <v>2958</v>
      </c>
      <c r="U508" s="6" t="n">
        <v>1</v>
      </c>
      <c r="V508" s="6" t="s">
        <v>2959</v>
      </c>
      <c r="W508" s="6" t="n">
        <v>0</v>
      </c>
    </row>
    <row r="509" customFormat="false" ht="12.8" hidden="false" customHeight="false" outlineLevel="0" collapsed="false">
      <c r="A509" s="6" t="s">
        <v>2960</v>
      </c>
      <c r="B509" s="6" t="n">
        <v>29</v>
      </c>
      <c r="C509" s="6" t="n">
        <v>23</v>
      </c>
      <c r="D509" s="12" t="n">
        <f aca="false">C509/(B509+C509)*100</f>
        <v>44.2307692307692</v>
      </c>
      <c r="E509" s="6" t="n">
        <v>3</v>
      </c>
      <c r="F509" s="6" t="s">
        <v>2961</v>
      </c>
      <c r="G509" s="6" t="n">
        <v>18</v>
      </c>
      <c r="H509" s="6" t="s">
        <v>2962</v>
      </c>
      <c r="I509" s="6" t="n">
        <v>4</v>
      </c>
      <c r="J509" s="6" t="s">
        <v>2963</v>
      </c>
      <c r="K509" s="6" t="n">
        <v>1</v>
      </c>
    </row>
    <row r="510" customFormat="false" ht="12.8" hidden="false" customHeight="false" outlineLevel="0" collapsed="false">
      <c r="A510" s="6" t="s">
        <v>2964</v>
      </c>
      <c r="B510" s="6" t="n">
        <v>29</v>
      </c>
      <c r="C510" s="6" t="n">
        <v>5</v>
      </c>
      <c r="D510" s="12" t="n">
        <f aca="false">C510/(B510+C510)*100</f>
        <v>14.7058823529412</v>
      </c>
      <c r="E510" s="6" t="n">
        <v>2</v>
      </c>
      <c r="F510" s="6" t="s">
        <v>2965</v>
      </c>
      <c r="G510" s="6" t="n">
        <v>4</v>
      </c>
      <c r="H510" s="6" t="s">
        <v>2966</v>
      </c>
      <c r="I510" s="6" t="n">
        <v>1</v>
      </c>
    </row>
    <row r="511" customFormat="false" ht="12.8" hidden="false" customHeight="false" outlineLevel="0" collapsed="false">
      <c r="A511" s="6" t="s">
        <v>2967</v>
      </c>
      <c r="B511" s="6" t="n">
        <v>29</v>
      </c>
      <c r="C511" s="6" t="n">
        <v>3</v>
      </c>
      <c r="D511" s="12" t="n">
        <f aca="false">C511/(B511+C511)*100</f>
        <v>9.375</v>
      </c>
      <c r="E511" s="6" t="n">
        <v>2</v>
      </c>
      <c r="F511" s="6" t="s">
        <v>2968</v>
      </c>
      <c r="G511" s="6" t="n">
        <v>2</v>
      </c>
      <c r="H511" s="6" t="s">
        <v>2969</v>
      </c>
      <c r="I511" s="6" t="n">
        <v>1</v>
      </c>
    </row>
    <row r="512" customFormat="false" ht="12.8" hidden="false" customHeight="false" outlineLevel="0" collapsed="false">
      <c r="A512" s="6" t="s">
        <v>2970</v>
      </c>
      <c r="B512" s="6" t="n">
        <v>29</v>
      </c>
      <c r="C512" s="6" t="n">
        <v>1</v>
      </c>
      <c r="D512" s="12" t="n">
        <f aca="false">C512/(B512+C512)*100</f>
        <v>3.33333333333333</v>
      </c>
      <c r="E512" s="6" t="n">
        <v>1</v>
      </c>
      <c r="F512" s="6" t="s">
        <v>2971</v>
      </c>
      <c r="G512" s="6" t="n">
        <v>1</v>
      </c>
    </row>
    <row r="513" customFormat="false" ht="12.8" hidden="false" customHeight="false" outlineLevel="0" collapsed="false">
      <c r="A513" s="6" t="s">
        <v>2972</v>
      </c>
      <c r="B513" s="6" t="n">
        <v>30</v>
      </c>
      <c r="C513" s="6" t="n">
        <v>161</v>
      </c>
      <c r="D513" s="12" t="n">
        <f aca="false">C513/(B513+C513)*100</f>
        <v>84.2931937172775</v>
      </c>
      <c r="E513" s="6" t="n">
        <v>6</v>
      </c>
      <c r="F513" s="6" t="s">
        <v>2973</v>
      </c>
      <c r="G513" s="6" t="n">
        <v>81</v>
      </c>
      <c r="H513" s="6" t="s">
        <v>2974</v>
      </c>
      <c r="I513" s="6" t="n">
        <v>59</v>
      </c>
      <c r="J513" s="6" t="s">
        <v>2975</v>
      </c>
      <c r="K513" s="6" t="n">
        <v>11</v>
      </c>
      <c r="L513" s="6" t="s">
        <v>2976</v>
      </c>
      <c r="M513" s="6" t="n">
        <v>7</v>
      </c>
      <c r="N513" s="6" t="s">
        <v>2977</v>
      </c>
      <c r="O513" s="6" t="n">
        <v>2</v>
      </c>
      <c r="P513" s="6" t="s">
        <v>2978</v>
      </c>
      <c r="Q513" s="6" t="n">
        <v>1</v>
      </c>
    </row>
    <row r="514" customFormat="false" ht="12.8" hidden="false" customHeight="false" outlineLevel="0" collapsed="false">
      <c r="A514" s="6" t="s">
        <v>2979</v>
      </c>
      <c r="B514" s="6" t="n">
        <v>30</v>
      </c>
      <c r="C514" s="6" t="n">
        <v>22</v>
      </c>
      <c r="D514" s="12" t="n">
        <f aca="false">C514/(B514+C514)*100</f>
        <v>42.3076923076923</v>
      </c>
      <c r="E514" s="6" t="n">
        <v>6</v>
      </c>
      <c r="F514" s="6" t="s">
        <v>2980</v>
      </c>
      <c r="G514" s="6" t="n">
        <v>20</v>
      </c>
      <c r="H514" s="6" t="s">
        <v>2981</v>
      </c>
      <c r="I514" s="6" t="n">
        <v>1</v>
      </c>
      <c r="J514" s="6" t="s">
        <v>2982</v>
      </c>
      <c r="K514" s="6" t="n">
        <v>1</v>
      </c>
      <c r="L514" s="6" t="s">
        <v>2983</v>
      </c>
      <c r="M514" s="6" t="n">
        <v>0</v>
      </c>
      <c r="N514" s="6" t="s">
        <v>2984</v>
      </c>
      <c r="O514" s="6" t="n">
        <v>0</v>
      </c>
      <c r="P514" s="6" t="s">
        <v>2985</v>
      </c>
      <c r="Q514" s="6" t="n">
        <v>0</v>
      </c>
    </row>
    <row r="515" customFormat="false" ht="12.8" hidden="false" customHeight="false" outlineLevel="0" collapsed="false">
      <c r="A515" s="6" t="s">
        <v>2986</v>
      </c>
      <c r="B515" s="6" t="n">
        <v>30</v>
      </c>
      <c r="C515" s="6" t="n">
        <v>6</v>
      </c>
      <c r="D515" s="12" t="n">
        <f aca="false">C515/(B515+C515)*100</f>
        <v>16.6666666666667</v>
      </c>
      <c r="E515" s="6" t="n">
        <v>3</v>
      </c>
      <c r="F515" s="6" t="s">
        <v>2987</v>
      </c>
      <c r="G515" s="6" t="n">
        <v>5</v>
      </c>
      <c r="H515" s="6" t="s">
        <v>2988</v>
      </c>
      <c r="I515" s="6" t="n">
        <v>1</v>
      </c>
      <c r="J515" s="6" t="s">
        <v>2989</v>
      </c>
      <c r="K515" s="6" t="n">
        <v>0</v>
      </c>
    </row>
    <row r="516" customFormat="false" ht="12.8" hidden="false" customHeight="false" outlineLevel="0" collapsed="false">
      <c r="A516" s="6" t="s">
        <v>2990</v>
      </c>
      <c r="B516" s="6" t="n">
        <v>31</v>
      </c>
      <c r="C516" s="6" t="n">
        <v>25</v>
      </c>
      <c r="D516" s="12" t="n">
        <f aca="false">C516/(B516+C516)*100</f>
        <v>44.6428571428571</v>
      </c>
      <c r="E516" s="6" t="n">
        <v>3</v>
      </c>
      <c r="F516" s="6" t="s">
        <v>2991</v>
      </c>
      <c r="G516" s="6" t="n">
        <v>14</v>
      </c>
      <c r="H516" s="6" t="s">
        <v>2992</v>
      </c>
      <c r="I516" s="6" t="n">
        <v>6</v>
      </c>
      <c r="J516" s="6" t="s">
        <v>2993</v>
      </c>
      <c r="K516" s="6" t="n">
        <v>5</v>
      </c>
    </row>
    <row r="517" customFormat="false" ht="12.8" hidden="false" customHeight="false" outlineLevel="0" collapsed="false">
      <c r="A517" s="6" t="s">
        <v>2994</v>
      </c>
      <c r="B517" s="6" t="n">
        <v>31</v>
      </c>
      <c r="C517" s="6" t="n">
        <v>21</v>
      </c>
      <c r="D517" s="12" t="n">
        <f aca="false">C517/(B517+C517)*100</f>
        <v>40.3846153846154</v>
      </c>
      <c r="E517" s="6" t="n">
        <v>6</v>
      </c>
      <c r="F517" s="6" t="s">
        <v>2995</v>
      </c>
      <c r="G517" s="6" t="n">
        <v>16</v>
      </c>
      <c r="H517" s="6" t="s">
        <v>2996</v>
      </c>
      <c r="I517" s="6" t="n">
        <v>2</v>
      </c>
      <c r="J517" s="6" t="s">
        <v>2997</v>
      </c>
      <c r="K517" s="6" t="n">
        <v>1</v>
      </c>
      <c r="L517" s="6" t="s">
        <v>2998</v>
      </c>
      <c r="M517" s="6" t="n">
        <v>1</v>
      </c>
      <c r="N517" s="6" t="s">
        <v>2999</v>
      </c>
      <c r="O517" s="6" t="n">
        <v>1</v>
      </c>
      <c r="P517" s="6" t="s">
        <v>3000</v>
      </c>
      <c r="Q517" s="6" t="n">
        <v>0</v>
      </c>
    </row>
    <row r="518" customFormat="false" ht="12.8" hidden="false" customHeight="false" outlineLevel="0" collapsed="false">
      <c r="A518" s="6" t="s">
        <v>3001</v>
      </c>
      <c r="B518" s="6" t="n">
        <v>31</v>
      </c>
      <c r="C518" s="6" t="n">
        <v>7</v>
      </c>
      <c r="D518" s="12" t="n">
        <f aca="false">C518/(B518+C518)*100</f>
        <v>18.4210526315789</v>
      </c>
      <c r="E518" s="6" t="n">
        <v>3</v>
      </c>
      <c r="F518" s="6" t="s">
        <v>3002</v>
      </c>
      <c r="G518" s="6" t="n">
        <v>3</v>
      </c>
      <c r="H518" s="6" t="s">
        <v>3003</v>
      </c>
      <c r="I518" s="6" t="n">
        <v>2</v>
      </c>
      <c r="J518" s="6" t="s">
        <v>3004</v>
      </c>
      <c r="K518" s="6" t="n">
        <v>2</v>
      </c>
    </row>
    <row r="519" customFormat="false" ht="12.8" hidden="false" customHeight="false" outlineLevel="0" collapsed="false">
      <c r="A519" s="6" t="s">
        <v>3005</v>
      </c>
      <c r="B519" s="6" t="n">
        <v>31</v>
      </c>
      <c r="C519" s="6" t="n">
        <v>3</v>
      </c>
      <c r="D519" s="12" t="n">
        <f aca="false">C519/(B519+C519)*100</f>
        <v>8.82352941176471</v>
      </c>
      <c r="E519" s="6" t="n">
        <v>2</v>
      </c>
      <c r="F519" s="6" t="s">
        <v>3006</v>
      </c>
      <c r="G519" s="6" t="n">
        <v>2</v>
      </c>
      <c r="H519" s="6" t="s">
        <v>3007</v>
      </c>
      <c r="I519" s="6" t="n">
        <v>1</v>
      </c>
    </row>
    <row r="520" customFormat="false" ht="12.8" hidden="false" customHeight="false" outlineLevel="0" collapsed="false">
      <c r="A520" s="6" t="s">
        <v>3008</v>
      </c>
      <c r="B520" s="6" t="n">
        <v>32</v>
      </c>
      <c r="C520" s="6" t="n">
        <v>11</v>
      </c>
      <c r="D520" s="12" t="n">
        <f aca="false">C520/(B520+C520)*100</f>
        <v>25.5813953488372</v>
      </c>
      <c r="E520" s="6" t="n">
        <v>6</v>
      </c>
      <c r="F520" s="6" t="s">
        <v>3009</v>
      </c>
      <c r="G520" s="6" t="n">
        <v>9</v>
      </c>
      <c r="H520" s="6" t="s">
        <v>3010</v>
      </c>
      <c r="I520" s="6" t="n">
        <v>1</v>
      </c>
      <c r="J520" s="6" t="s">
        <v>3011</v>
      </c>
      <c r="K520" s="6" t="n">
        <v>1</v>
      </c>
      <c r="L520" s="6" t="s">
        <v>3012</v>
      </c>
      <c r="M520" s="6" t="n">
        <v>0</v>
      </c>
      <c r="N520" s="6" t="s">
        <v>3013</v>
      </c>
      <c r="O520" s="6" t="n">
        <v>0</v>
      </c>
      <c r="P520" s="6" t="s">
        <v>3014</v>
      </c>
      <c r="Q520" s="6" t="n">
        <v>0</v>
      </c>
    </row>
    <row r="521" customFormat="false" ht="12.8" hidden="false" customHeight="false" outlineLevel="0" collapsed="false">
      <c r="A521" s="6" t="s">
        <v>3015</v>
      </c>
      <c r="B521" s="6" t="n">
        <v>32</v>
      </c>
      <c r="C521" s="6" t="n">
        <v>4</v>
      </c>
      <c r="D521" s="12" t="n">
        <f aca="false">C521/(B521+C521)*100</f>
        <v>11.1111111111111</v>
      </c>
      <c r="E521" s="6" t="n">
        <v>2</v>
      </c>
      <c r="F521" s="6" t="s">
        <v>3016</v>
      </c>
      <c r="G521" s="6" t="n">
        <v>4</v>
      </c>
      <c r="H521" s="6" t="s">
        <v>3017</v>
      </c>
      <c r="I521" s="6" t="n">
        <v>0</v>
      </c>
    </row>
    <row r="522" customFormat="false" ht="12.8" hidden="false" customHeight="false" outlineLevel="0" collapsed="false">
      <c r="A522" s="6" t="s">
        <v>3018</v>
      </c>
      <c r="B522" s="6" t="n">
        <v>32</v>
      </c>
      <c r="C522" s="6" t="n">
        <v>1</v>
      </c>
      <c r="D522" s="12" t="n">
        <f aca="false">C522/(B522+C522)*100</f>
        <v>3.03030303030303</v>
      </c>
      <c r="E522" s="6" t="n">
        <v>1</v>
      </c>
      <c r="F522" s="6" t="s">
        <v>3019</v>
      </c>
      <c r="G522" s="6" t="n">
        <v>1</v>
      </c>
    </row>
    <row r="523" customFormat="false" ht="12.8" hidden="false" customHeight="false" outlineLevel="0" collapsed="false">
      <c r="A523" s="6" t="s">
        <v>3020</v>
      </c>
      <c r="B523" s="6" t="n">
        <v>33</v>
      </c>
      <c r="C523" s="6" t="n">
        <v>61</v>
      </c>
      <c r="D523" s="12" t="n">
        <f aca="false">C523/(B523+C523)*100</f>
        <v>64.8936170212766</v>
      </c>
      <c r="E523" s="6" t="n">
        <v>12</v>
      </c>
      <c r="F523" s="6" t="s">
        <v>3021</v>
      </c>
      <c r="G523" s="6" t="n">
        <v>31</v>
      </c>
      <c r="H523" s="6" t="s">
        <v>3022</v>
      </c>
      <c r="I523" s="6" t="n">
        <v>20</v>
      </c>
      <c r="J523" s="6" t="s">
        <v>3023</v>
      </c>
      <c r="K523" s="6" t="n">
        <v>3</v>
      </c>
      <c r="L523" s="6" t="s">
        <v>3024</v>
      </c>
      <c r="M523" s="6" t="n">
        <v>2</v>
      </c>
      <c r="N523" s="6" t="s">
        <v>3025</v>
      </c>
      <c r="O523" s="6" t="n">
        <v>2</v>
      </c>
      <c r="P523" s="6" t="s">
        <v>3026</v>
      </c>
      <c r="Q523" s="6" t="n">
        <v>1</v>
      </c>
      <c r="R523" s="6" t="s">
        <v>3027</v>
      </c>
      <c r="S523" s="6" t="n">
        <v>1</v>
      </c>
      <c r="T523" s="6" t="s">
        <v>3028</v>
      </c>
      <c r="U523" s="6" t="n">
        <v>1</v>
      </c>
      <c r="V523" s="6" t="s">
        <v>3029</v>
      </c>
      <c r="W523" s="6" t="n">
        <v>0</v>
      </c>
      <c r="X523" s="6" t="s">
        <v>3030</v>
      </c>
      <c r="Y523" s="6" t="n">
        <v>0</v>
      </c>
      <c r="Z523" s="6" t="s">
        <v>3031</v>
      </c>
      <c r="AA523" s="6" t="n">
        <v>0</v>
      </c>
      <c r="AB523" s="6" t="s">
        <v>3032</v>
      </c>
      <c r="AC523" s="6" t="n">
        <v>0</v>
      </c>
    </row>
    <row r="524" customFormat="false" ht="12.8" hidden="false" customHeight="false" outlineLevel="0" collapsed="false">
      <c r="A524" s="6" t="s">
        <v>3033</v>
      </c>
      <c r="B524" s="6" t="n">
        <v>33</v>
      </c>
      <c r="C524" s="6" t="n">
        <v>48</v>
      </c>
      <c r="D524" s="12" t="n">
        <f aca="false">C524/(B524+C524)*100</f>
        <v>59.2592592592593</v>
      </c>
      <c r="E524" s="6" t="n">
        <v>5</v>
      </c>
      <c r="F524" s="6" t="s">
        <v>3034</v>
      </c>
      <c r="G524" s="6" t="n">
        <v>44</v>
      </c>
      <c r="H524" s="6" t="s">
        <v>3035</v>
      </c>
      <c r="I524" s="6" t="n">
        <v>1</v>
      </c>
      <c r="J524" s="6" t="s">
        <v>3036</v>
      </c>
      <c r="K524" s="6" t="n">
        <v>1</v>
      </c>
      <c r="L524" s="6" t="s">
        <v>3037</v>
      </c>
      <c r="M524" s="6" t="n">
        <v>1</v>
      </c>
      <c r="N524" s="6" t="s">
        <v>3038</v>
      </c>
      <c r="O524" s="6" t="n">
        <v>1</v>
      </c>
    </row>
    <row r="525" customFormat="false" ht="12.8" hidden="false" customHeight="false" outlineLevel="0" collapsed="false">
      <c r="A525" s="6" t="s">
        <v>3039</v>
      </c>
      <c r="B525" s="6" t="n">
        <v>33</v>
      </c>
      <c r="C525" s="6" t="n">
        <v>38</v>
      </c>
      <c r="D525" s="12" t="n">
        <f aca="false">C525/(B525+C525)*100</f>
        <v>53.5211267605634</v>
      </c>
      <c r="E525" s="6" t="n">
        <v>4</v>
      </c>
      <c r="F525" s="6" t="s">
        <v>3040</v>
      </c>
      <c r="G525" s="6" t="n">
        <v>32</v>
      </c>
      <c r="H525" s="6" t="s">
        <v>3041</v>
      </c>
      <c r="I525" s="6" t="n">
        <v>2</v>
      </c>
      <c r="J525" s="6" t="s">
        <v>3042</v>
      </c>
      <c r="K525" s="6" t="n">
        <v>2</v>
      </c>
      <c r="L525" s="6" t="s">
        <v>3043</v>
      </c>
      <c r="M525" s="6" t="n">
        <v>2</v>
      </c>
    </row>
    <row r="526" customFormat="false" ht="12.8" hidden="false" customHeight="false" outlineLevel="0" collapsed="false">
      <c r="A526" s="6" t="s">
        <v>3044</v>
      </c>
      <c r="B526" s="6" t="n">
        <v>33</v>
      </c>
      <c r="C526" s="6" t="n">
        <v>15</v>
      </c>
      <c r="D526" s="12" t="n">
        <f aca="false">C526/(B526+C526)*100</f>
        <v>31.25</v>
      </c>
      <c r="E526" s="6" t="n">
        <v>7</v>
      </c>
      <c r="F526" s="6" t="s">
        <v>3045</v>
      </c>
      <c r="G526" s="6" t="n">
        <v>4</v>
      </c>
      <c r="H526" s="6" t="s">
        <v>3046</v>
      </c>
      <c r="I526" s="6" t="n">
        <v>4</v>
      </c>
      <c r="J526" s="6" t="s">
        <v>3047</v>
      </c>
      <c r="K526" s="6" t="n">
        <v>2</v>
      </c>
      <c r="L526" s="6" t="s">
        <v>3048</v>
      </c>
      <c r="M526" s="6" t="n">
        <v>2</v>
      </c>
      <c r="N526" s="6" t="s">
        <v>3049</v>
      </c>
      <c r="O526" s="6" t="n">
        <v>2</v>
      </c>
      <c r="P526" s="6" t="s">
        <v>3050</v>
      </c>
      <c r="Q526" s="6" t="n">
        <v>1</v>
      </c>
      <c r="R526" s="6" t="s">
        <v>3051</v>
      </c>
      <c r="S526" s="6" t="n">
        <v>0</v>
      </c>
    </row>
    <row r="527" customFormat="false" ht="12.8" hidden="false" customHeight="false" outlineLevel="0" collapsed="false">
      <c r="A527" s="6" t="s">
        <v>3052</v>
      </c>
      <c r="B527" s="6" t="n">
        <v>33</v>
      </c>
      <c r="C527" s="6" t="n">
        <v>15</v>
      </c>
      <c r="D527" s="12" t="n">
        <f aca="false">C527/(B527+C527)*100</f>
        <v>31.25</v>
      </c>
      <c r="E527" s="6" t="n">
        <v>7</v>
      </c>
      <c r="F527" s="6" t="s">
        <v>3053</v>
      </c>
      <c r="G527" s="6" t="n">
        <v>9</v>
      </c>
      <c r="H527" s="6" t="s">
        <v>3054</v>
      </c>
      <c r="I527" s="6" t="n">
        <v>3</v>
      </c>
      <c r="J527" s="6" t="s">
        <v>3055</v>
      </c>
      <c r="K527" s="6" t="n">
        <v>2</v>
      </c>
      <c r="L527" s="6" t="s">
        <v>3056</v>
      </c>
      <c r="M527" s="6" t="n">
        <v>1</v>
      </c>
      <c r="N527" s="6" t="s">
        <v>3057</v>
      </c>
      <c r="O527" s="6" t="n">
        <v>0</v>
      </c>
      <c r="P527" s="6" t="s">
        <v>3058</v>
      </c>
      <c r="Q527" s="6" t="n">
        <v>0</v>
      </c>
      <c r="R527" s="6" t="s">
        <v>3059</v>
      </c>
      <c r="S527" s="6" t="n">
        <v>0</v>
      </c>
    </row>
    <row r="528" customFormat="false" ht="12.8" hidden="false" customHeight="false" outlineLevel="0" collapsed="false">
      <c r="A528" s="6" t="s">
        <v>68</v>
      </c>
      <c r="B528" s="6" t="n">
        <v>33</v>
      </c>
      <c r="C528" s="6" t="n">
        <v>11</v>
      </c>
      <c r="D528" s="12" t="n">
        <f aca="false">C528/(B528+C528)*100</f>
        <v>25</v>
      </c>
      <c r="E528" s="6" t="n">
        <v>1</v>
      </c>
      <c r="F528" s="6" t="s">
        <v>3060</v>
      </c>
      <c r="G528" s="6" t="n">
        <v>11</v>
      </c>
    </row>
    <row r="529" customFormat="false" ht="12.8" hidden="false" customHeight="false" outlineLevel="0" collapsed="false">
      <c r="A529" s="6" t="s">
        <v>3061</v>
      </c>
      <c r="B529" s="6" t="n">
        <v>33</v>
      </c>
      <c r="C529" s="6" t="n">
        <v>7</v>
      </c>
      <c r="D529" s="12" t="n">
        <f aca="false">C529/(B529+C529)*100</f>
        <v>17.5</v>
      </c>
      <c r="E529" s="6" t="n">
        <v>4</v>
      </c>
      <c r="F529" s="6" t="s">
        <v>3062</v>
      </c>
      <c r="G529" s="6" t="n">
        <v>3</v>
      </c>
      <c r="H529" s="6" t="s">
        <v>3063</v>
      </c>
      <c r="I529" s="6" t="n">
        <v>2</v>
      </c>
      <c r="J529" s="6" t="s">
        <v>3064</v>
      </c>
      <c r="K529" s="6" t="n">
        <v>1</v>
      </c>
      <c r="L529" s="6" t="s">
        <v>3065</v>
      </c>
      <c r="M529" s="6" t="n">
        <v>1</v>
      </c>
    </row>
    <row r="530" customFormat="false" ht="12.8" hidden="false" customHeight="false" outlineLevel="0" collapsed="false">
      <c r="A530" s="6" t="s">
        <v>3066</v>
      </c>
      <c r="B530" s="6" t="n">
        <v>33</v>
      </c>
      <c r="C530" s="6" t="n">
        <v>4</v>
      </c>
      <c r="D530" s="12" t="n">
        <f aca="false">C530/(B530+C530)*100</f>
        <v>10.8108108108108</v>
      </c>
      <c r="E530" s="6" t="n">
        <v>2</v>
      </c>
      <c r="F530" s="6" t="s">
        <v>3067</v>
      </c>
      <c r="G530" s="6" t="n">
        <v>3</v>
      </c>
      <c r="H530" s="6" t="s">
        <v>3068</v>
      </c>
      <c r="I530" s="6" t="n">
        <v>1</v>
      </c>
    </row>
    <row r="531" customFormat="false" ht="12.8" hidden="false" customHeight="false" outlineLevel="0" collapsed="false">
      <c r="A531" s="6" t="s">
        <v>3069</v>
      </c>
      <c r="B531" s="6" t="n">
        <v>33</v>
      </c>
      <c r="C531" s="6" t="n">
        <v>2</v>
      </c>
      <c r="D531" s="12" t="n">
        <f aca="false">C531/(B531+C531)*100</f>
        <v>5.71428571428571</v>
      </c>
      <c r="E531" s="6" t="n">
        <v>4</v>
      </c>
      <c r="F531" s="6" t="s">
        <v>3070</v>
      </c>
      <c r="G531" s="6" t="n">
        <v>1</v>
      </c>
      <c r="H531" s="6" t="s">
        <v>3071</v>
      </c>
      <c r="I531" s="6" t="n">
        <v>1</v>
      </c>
      <c r="J531" s="6" t="s">
        <v>3072</v>
      </c>
      <c r="K531" s="6" t="n">
        <v>0</v>
      </c>
      <c r="L531" s="6" t="s">
        <v>3073</v>
      </c>
      <c r="M531" s="6" t="n">
        <v>0</v>
      </c>
    </row>
    <row r="532" customFormat="false" ht="12.8" hidden="false" customHeight="false" outlineLevel="0" collapsed="false">
      <c r="A532" s="6" t="s">
        <v>3074</v>
      </c>
      <c r="B532" s="6" t="n">
        <v>33</v>
      </c>
      <c r="C532" s="6" t="n">
        <v>2</v>
      </c>
      <c r="D532" s="12" t="n">
        <f aca="false">C532/(B532+C532)*100</f>
        <v>5.71428571428571</v>
      </c>
      <c r="E532" s="6" t="n">
        <v>2</v>
      </c>
      <c r="F532" s="6" t="s">
        <v>3075</v>
      </c>
      <c r="G532" s="6" t="n">
        <v>1</v>
      </c>
      <c r="H532" s="6" t="s">
        <v>3076</v>
      </c>
      <c r="I532" s="6" t="n">
        <v>1</v>
      </c>
    </row>
    <row r="533" customFormat="false" ht="12.8" hidden="false" customHeight="false" outlineLevel="0" collapsed="false">
      <c r="A533" s="6" t="s">
        <v>3077</v>
      </c>
      <c r="B533" s="6" t="n">
        <v>34</v>
      </c>
      <c r="C533" s="6" t="n">
        <v>1673</v>
      </c>
      <c r="D533" s="12" t="n">
        <f aca="false">C533/(B533+C533)*100</f>
        <v>98.00820152314</v>
      </c>
      <c r="E533" s="6" t="n">
        <v>44</v>
      </c>
      <c r="F533" s="6" t="s">
        <v>3078</v>
      </c>
      <c r="G533" s="6" t="n">
        <v>531</v>
      </c>
      <c r="H533" s="6" t="s">
        <v>3078</v>
      </c>
      <c r="I533" s="6" t="n">
        <v>531</v>
      </c>
      <c r="J533" s="6" t="s">
        <v>3079</v>
      </c>
      <c r="K533" s="6" t="n">
        <v>168</v>
      </c>
      <c r="L533" s="6" t="s">
        <v>3079</v>
      </c>
      <c r="M533" s="6" t="n">
        <v>168</v>
      </c>
      <c r="N533" s="6" t="s">
        <v>3080</v>
      </c>
      <c r="O533" s="6" t="n">
        <v>69</v>
      </c>
      <c r="P533" s="6" t="s">
        <v>3081</v>
      </c>
      <c r="Q533" s="6" t="n">
        <v>49</v>
      </c>
      <c r="R533" s="6" t="s">
        <v>3081</v>
      </c>
      <c r="S533" s="6" t="n">
        <v>49</v>
      </c>
      <c r="T533" s="6" t="s">
        <v>3082</v>
      </c>
      <c r="U533" s="6" t="n">
        <v>26</v>
      </c>
      <c r="V533" s="6" t="s">
        <v>3083</v>
      </c>
      <c r="W533" s="6" t="n">
        <v>16</v>
      </c>
      <c r="X533" s="6" t="s">
        <v>3084</v>
      </c>
      <c r="Y533" s="6" t="n">
        <v>6</v>
      </c>
      <c r="Z533" s="6" t="s">
        <v>3085</v>
      </c>
      <c r="AA533" s="6" t="n">
        <v>5</v>
      </c>
      <c r="AB533" s="6" t="s">
        <v>3085</v>
      </c>
      <c r="AC533" s="6" t="n">
        <v>5</v>
      </c>
      <c r="AD533" s="6" t="s">
        <v>3086</v>
      </c>
      <c r="AE533" s="6" t="n">
        <v>4</v>
      </c>
      <c r="AF533" s="6" t="s">
        <v>3087</v>
      </c>
      <c r="AG533" s="6" t="n">
        <v>4</v>
      </c>
      <c r="AH533" s="6" t="s">
        <v>3088</v>
      </c>
      <c r="AI533" s="6" t="n">
        <v>3</v>
      </c>
      <c r="AJ533" s="6" t="s">
        <v>3089</v>
      </c>
      <c r="AK533" s="6" t="n">
        <v>3</v>
      </c>
      <c r="AL533" s="6" t="s">
        <v>3090</v>
      </c>
      <c r="AM533" s="6" t="n">
        <v>3</v>
      </c>
      <c r="AN533" s="6" t="s">
        <v>3090</v>
      </c>
      <c r="AO533" s="6" t="n">
        <v>3</v>
      </c>
      <c r="AP533" s="6" t="s">
        <v>3091</v>
      </c>
      <c r="AQ533" s="6" t="n">
        <v>3</v>
      </c>
      <c r="AR533" s="6" t="s">
        <v>3089</v>
      </c>
      <c r="AS533" s="6" t="n">
        <v>3</v>
      </c>
      <c r="AT533" s="6" t="s">
        <v>3090</v>
      </c>
      <c r="AU533" s="6" t="n">
        <v>3</v>
      </c>
      <c r="AV533" s="6" t="s">
        <v>3090</v>
      </c>
      <c r="AW533" s="6" t="n">
        <v>3</v>
      </c>
      <c r="AX533" s="6" t="s">
        <v>3092</v>
      </c>
      <c r="AY533" s="6" t="n">
        <v>2</v>
      </c>
      <c r="AZ533" s="6" t="s">
        <v>3093</v>
      </c>
      <c r="BA533" s="6" t="n">
        <v>2</v>
      </c>
      <c r="BB533" s="6" t="s">
        <v>3092</v>
      </c>
      <c r="BC533" s="6" t="n">
        <v>2</v>
      </c>
      <c r="BD533" s="6" t="s">
        <v>3094</v>
      </c>
      <c r="BE533" s="6" t="n">
        <v>2</v>
      </c>
      <c r="BF533" s="6" t="s">
        <v>3095</v>
      </c>
      <c r="BG533" s="6" t="n">
        <v>1</v>
      </c>
      <c r="BH533" s="6" t="s">
        <v>3096</v>
      </c>
      <c r="BI533" s="6" t="n">
        <v>1</v>
      </c>
      <c r="BJ533" s="6" t="s">
        <v>3097</v>
      </c>
      <c r="BK533" s="6" t="n">
        <v>1</v>
      </c>
      <c r="BL533" s="6" t="s">
        <v>3098</v>
      </c>
      <c r="BM533" s="6" t="n">
        <v>1</v>
      </c>
      <c r="BN533" s="6" t="s">
        <v>3099</v>
      </c>
      <c r="BO533" s="6" t="n">
        <v>1</v>
      </c>
      <c r="BP533" s="6" t="s">
        <v>3100</v>
      </c>
      <c r="BQ533" s="6" t="n">
        <v>1</v>
      </c>
      <c r="BR533" s="6" t="s">
        <v>3101</v>
      </c>
      <c r="BS533" s="6" t="n">
        <v>1</v>
      </c>
      <c r="BT533" s="6" t="s">
        <v>3102</v>
      </c>
      <c r="BU533" s="6" t="n">
        <v>1</v>
      </c>
      <c r="BV533" s="6" t="s">
        <v>3103</v>
      </c>
      <c r="BW533" s="6" t="n">
        <v>1</v>
      </c>
      <c r="BX533" s="6" t="s">
        <v>3104</v>
      </c>
      <c r="BY533" s="6" t="n">
        <v>1</v>
      </c>
      <c r="BZ533" s="6" t="s">
        <v>3105</v>
      </c>
      <c r="CA533" s="6" t="n">
        <v>0</v>
      </c>
      <c r="CB533" s="6" t="s">
        <v>3106</v>
      </c>
      <c r="CC533" s="6" t="n">
        <v>0</v>
      </c>
      <c r="CD533" s="6" t="s">
        <v>3107</v>
      </c>
      <c r="CE533" s="6" t="n">
        <v>0</v>
      </c>
      <c r="CF533" s="6" t="s">
        <v>3108</v>
      </c>
      <c r="CG533" s="6" t="n">
        <v>0</v>
      </c>
      <c r="CH533" s="6" t="s">
        <v>3109</v>
      </c>
      <c r="CI533" s="6" t="n">
        <v>0</v>
      </c>
      <c r="CJ533" s="6" t="s">
        <v>3110</v>
      </c>
      <c r="CK533" s="6" t="n">
        <v>0</v>
      </c>
      <c r="CL533" s="6" t="s">
        <v>3111</v>
      </c>
      <c r="CM533" s="6" t="n">
        <v>0</v>
      </c>
      <c r="CN533" s="6" t="s">
        <v>3112</v>
      </c>
      <c r="CO533" s="6" t="n">
        <v>0</v>
      </c>
    </row>
    <row r="534" customFormat="false" ht="12.8" hidden="false" customHeight="false" outlineLevel="0" collapsed="false">
      <c r="A534" s="6" t="s">
        <v>3113</v>
      </c>
      <c r="B534" s="6" t="n">
        <v>34</v>
      </c>
      <c r="C534" s="6" t="n">
        <v>112</v>
      </c>
      <c r="D534" s="12" t="n">
        <f aca="false">C534/(B534+C534)*100</f>
        <v>76.7123287671233</v>
      </c>
      <c r="E534" s="6" t="n">
        <v>20</v>
      </c>
      <c r="F534" s="6" t="s">
        <v>3114</v>
      </c>
      <c r="G534" s="6" t="n">
        <v>56</v>
      </c>
      <c r="H534" s="6" t="s">
        <v>3115</v>
      </c>
      <c r="I534" s="6" t="n">
        <v>11</v>
      </c>
      <c r="J534" s="6" t="s">
        <v>3116</v>
      </c>
      <c r="K534" s="6" t="n">
        <v>11</v>
      </c>
      <c r="L534" s="6" t="s">
        <v>3117</v>
      </c>
      <c r="M534" s="6" t="n">
        <v>5</v>
      </c>
      <c r="N534" s="6" t="s">
        <v>3118</v>
      </c>
      <c r="O534" s="6" t="n">
        <v>5</v>
      </c>
      <c r="P534" s="6" t="s">
        <v>3119</v>
      </c>
      <c r="Q534" s="6" t="n">
        <v>4</v>
      </c>
      <c r="R534" s="6" t="s">
        <v>3120</v>
      </c>
      <c r="S534" s="6" t="n">
        <v>4</v>
      </c>
      <c r="T534" s="6" t="s">
        <v>3121</v>
      </c>
      <c r="U534" s="6" t="n">
        <v>3</v>
      </c>
      <c r="V534" s="6" t="s">
        <v>3122</v>
      </c>
      <c r="W534" s="6" t="n">
        <v>2</v>
      </c>
      <c r="X534" s="6" t="s">
        <v>3123</v>
      </c>
      <c r="Y534" s="6" t="n">
        <v>2</v>
      </c>
      <c r="Z534" s="6" t="s">
        <v>3124</v>
      </c>
      <c r="AA534" s="6" t="n">
        <v>2</v>
      </c>
      <c r="AB534" s="6" t="s">
        <v>3125</v>
      </c>
      <c r="AC534" s="6" t="n">
        <v>1</v>
      </c>
      <c r="AD534" s="6" t="s">
        <v>3126</v>
      </c>
      <c r="AE534" s="6" t="n">
        <v>1</v>
      </c>
      <c r="AF534" s="6" t="s">
        <v>3127</v>
      </c>
      <c r="AG534" s="6" t="n">
        <v>1</v>
      </c>
      <c r="AH534" s="6" t="s">
        <v>3128</v>
      </c>
      <c r="AI534" s="6" t="n">
        <v>1</v>
      </c>
      <c r="AJ534" s="6" t="s">
        <v>3129</v>
      </c>
      <c r="AK534" s="6" t="n">
        <v>1</v>
      </c>
      <c r="AL534" s="6" t="s">
        <v>3130</v>
      </c>
      <c r="AM534" s="6" t="n">
        <v>1</v>
      </c>
      <c r="AN534" s="6" t="s">
        <v>3131</v>
      </c>
      <c r="AO534" s="6" t="n">
        <v>1</v>
      </c>
      <c r="AP534" s="6" t="s">
        <v>3132</v>
      </c>
      <c r="AQ534" s="6" t="n">
        <v>0</v>
      </c>
      <c r="AR534" s="6" t="s">
        <v>3133</v>
      </c>
      <c r="AS534" s="6" t="n">
        <v>0</v>
      </c>
    </row>
    <row r="535" customFormat="false" ht="12.8" hidden="false" customHeight="false" outlineLevel="0" collapsed="false">
      <c r="A535" s="6" t="s">
        <v>3134</v>
      </c>
      <c r="B535" s="6" t="n">
        <v>34</v>
      </c>
      <c r="C535" s="6" t="n">
        <v>105</v>
      </c>
      <c r="D535" s="12" t="n">
        <f aca="false">C535/(B535+C535)*100</f>
        <v>75.5395683453237</v>
      </c>
      <c r="E535" s="6" t="n">
        <v>9</v>
      </c>
      <c r="F535" s="6" t="s">
        <v>3135</v>
      </c>
      <c r="G535" s="6" t="n">
        <v>63</v>
      </c>
      <c r="H535" s="6" t="s">
        <v>3136</v>
      </c>
      <c r="I535" s="6" t="n">
        <v>13</v>
      </c>
      <c r="J535" s="6" t="s">
        <v>3137</v>
      </c>
      <c r="K535" s="6" t="n">
        <v>11</v>
      </c>
      <c r="L535" s="6" t="s">
        <v>3138</v>
      </c>
      <c r="M535" s="6" t="n">
        <v>9</v>
      </c>
      <c r="N535" s="6" t="s">
        <v>3139</v>
      </c>
      <c r="O535" s="6" t="n">
        <v>3</v>
      </c>
      <c r="P535" s="6" t="s">
        <v>3140</v>
      </c>
      <c r="Q535" s="6" t="n">
        <v>3</v>
      </c>
      <c r="R535" s="6" t="s">
        <v>3141</v>
      </c>
      <c r="S535" s="6" t="n">
        <v>1</v>
      </c>
      <c r="T535" s="6" t="s">
        <v>3142</v>
      </c>
      <c r="U535" s="6" t="n">
        <v>1</v>
      </c>
      <c r="V535" s="6" t="s">
        <v>3143</v>
      </c>
      <c r="W535" s="6" t="n">
        <v>1</v>
      </c>
    </row>
    <row r="536" customFormat="false" ht="12.8" hidden="false" customHeight="false" outlineLevel="0" collapsed="false">
      <c r="A536" s="6" t="s">
        <v>3144</v>
      </c>
      <c r="B536" s="6" t="n">
        <v>34</v>
      </c>
      <c r="C536" s="6" t="n">
        <v>3</v>
      </c>
      <c r="D536" s="12" t="n">
        <f aca="false">C536/(B536+C536)*100</f>
        <v>8.10810810810811</v>
      </c>
      <c r="E536" s="6" t="n">
        <v>3</v>
      </c>
      <c r="F536" s="6" t="s">
        <v>3145</v>
      </c>
      <c r="G536" s="6" t="n">
        <v>1</v>
      </c>
      <c r="H536" s="6" t="s">
        <v>3146</v>
      </c>
      <c r="I536" s="6" t="n">
        <v>1</v>
      </c>
      <c r="J536" s="6" t="s">
        <v>3147</v>
      </c>
      <c r="K536" s="6" t="n">
        <v>1</v>
      </c>
    </row>
    <row r="537" customFormat="false" ht="12.8" hidden="false" customHeight="false" outlineLevel="0" collapsed="false">
      <c r="A537" s="6" t="s">
        <v>3148</v>
      </c>
      <c r="B537" s="6" t="n">
        <v>35</v>
      </c>
      <c r="C537" s="6" t="n">
        <v>31</v>
      </c>
      <c r="D537" s="12" t="n">
        <f aca="false">C537/(B537+C537)*100</f>
        <v>46.969696969697</v>
      </c>
      <c r="E537" s="6" t="n">
        <v>11</v>
      </c>
      <c r="F537" s="6" t="s">
        <v>3149</v>
      </c>
      <c r="G537" s="6" t="n">
        <v>9</v>
      </c>
      <c r="H537" s="6" t="s">
        <v>3150</v>
      </c>
      <c r="I537" s="6" t="n">
        <v>8</v>
      </c>
      <c r="J537" s="6" t="s">
        <v>3151</v>
      </c>
      <c r="K537" s="6" t="n">
        <v>3</v>
      </c>
      <c r="L537" s="6" t="s">
        <v>3152</v>
      </c>
      <c r="M537" s="6" t="n">
        <v>3</v>
      </c>
      <c r="N537" s="6" t="s">
        <v>3153</v>
      </c>
      <c r="O537" s="6" t="n">
        <v>2</v>
      </c>
      <c r="P537" s="6" t="s">
        <v>3154</v>
      </c>
      <c r="Q537" s="6" t="n">
        <v>2</v>
      </c>
      <c r="R537" s="6" t="s">
        <v>3155</v>
      </c>
      <c r="S537" s="6" t="n">
        <v>1</v>
      </c>
      <c r="T537" s="6" t="s">
        <v>3156</v>
      </c>
      <c r="U537" s="6" t="n">
        <v>1</v>
      </c>
      <c r="V537" s="6" t="s">
        <v>3157</v>
      </c>
      <c r="W537" s="6" t="n">
        <v>1</v>
      </c>
      <c r="X537" s="6" t="s">
        <v>3158</v>
      </c>
      <c r="Y537" s="6" t="n">
        <v>1</v>
      </c>
      <c r="Z537" s="6" t="s">
        <v>3159</v>
      </c>
      <c r="AA537" s="6" t="n">
        <v>0</v>
      </c>
    </row>
    <row r="538" customFormat="false" ht="12.8" hidden="false" customHeight="false" outlineLevel="0" collapsed="false">
      <c r="A538" s="6" t="s">
        <v>3160</v>
      </c>
      <c r="B538" s="6" t="n">
        <v>35</v>
      </c>
      <c r="C538" s="6" t="n">
        <v>25</v>
      </c>
      <c r="D538" s="12" t="n">
        <f aca="false">C538/(B538+C538)*100</f>
        <v>41.6666666666667</v>
      </c>
      <c r="E538" s="6" t="n">
        <v>6</v>
      </c>
      <c r="F538" s="6" t="s">
        <v>3161</v>
      </c>
      <c r="G538" s="6" t="n">
        <v>20</v>
      </c>
      <c r="H538" s="6" t="s">
        <v>3162</v>
      </c>
      <c r="I538" s="6" t="n">
        <v>1</v>
      </c>
      <c r="J538" s="6" t="s">
        <v>3163</v>
      </c>
      <c r="K538" s="6" t="n">
        <v>1</v>
      </c>
      <c r="L538" s="6" t="s">
        <v>3164</v>
      </c>
      <c r="M538" s="6" t="n">
        <v>1</v>
      </c>
      <c r="N538" s="6" t="s">
        <v>3165</v>
      </c>
      <c r="O538" s="6" t="n">
        <v>1</v>
      </c>
      <c r="P538" s="6" t="s">
        <v>3166</v>
      </c>
      <c r="Q538" s="6" t="n">
        <v>1</v>
      </c>
    </row>
    <row r="539" customFormat="false" ht="12.8" hidden="false" customHeight="false" outlineLevel="0" collapsed="false">
      <c r="A539" s="6" t="s">
        <v>3167</v>
      </c>
      <c r="B539" s="6" t="n">
        <v>35</v>
      </c>
      <c r="C539" s="6" t="n">
        <v>15</v>
      </c>
      <c r="D539" s="12" t="n">
        <f aca="false">C539/(B539+C539)*100</f>
        <v>30</v>
      </c>
      <c r="E539" s="6" t="n">
        <v>3</v>
      </c>
      <c r="F539" s="6" t="s">
        <v>3168</v>
      </c>
      <c r="G539" s="6" t="n">
        <v>8</v>
      </c>
      <c r="H539" s="6" t="s">
        <v>3169</v>
      </c>
      <c r="I539" s="6" t="n">
        <v>4</v>
      </c>
      <c r="J539" s="6" t="s">
        <v>3170</v>
      </c>
      <c r="K539" s="6" t="n">
        <v>3</v>
      </c>
    </row>
    <row r="540" customFormat="false" ht="12.8" hidden="false" customHeight="false" outlineLevel="0" collapsed="false">
      <c r="A540" s="6" t="s">
        <v>3171</v>
      </c>
      <c r="B540" s="6" t="n">
        <v>35</v>
      </c>
      <c r="C540" s="6" t="n">
        <v>4</v>
      </c>
      <c r="D540" s="12" t="n">
        <f aca="false">C540/(B540+C540)*100</f>
        <v>10.2564102564103</v>
      </c>
      <c r="E540" s="6" t="n">
        <v>1</v>
      </c>
      <c r="F540" s="6" t="s">
        <v>3172</v>
      </c>
      <c r="G540" s="6" t="n">
        <v>4</v>
      </c>
    </row>
    <row r="541" customFormat="false" ht="12.8" hidden="false" customHeight="false" outlineLevel="0" collapsed="false">
      <c r="A541" s="6" t="s">
        <v>3173</v>
      </c>
      <c r="B541" s="6" t="n">
        <v>35</v>
      </c>
      <c r="C541" s="6" t="n">
        <v>2</v>
      </c>
      <c r="D541" s="12" t="n">
        <f aca="false">C541/(B541+C541)*100</f>
        <v>5.40540540540541</v>
      </c>
      <c r="E541" s="6" t="n">
        <v>1</v>
      </c>
      <c r="F541" s="6" t="s">
        <v>3174</v>
      </c>
      <c r="G541" s="6" t="n">
        <v>2</v>
      </c>
    </row>
    <row r="542" customFormat="false" ht="12.8" hidden="false" customHeight="false" outlineLevel="0" collapsed="false">
      <c r="A542" s="6" t="s">
        <v>3175</v>
      </c>
      <c r="B542" s="6" t="n">
        <v>36</v>
      </c>
      <c r="C542" s="6" t="n">
        <v>326</v>
      </c>
      <c r="D542" s="12" t="n">
        <f aca="false">C542/(B542+C542)*100</f>
        <v>90.0552486187845</v>
      </c>
      <c r="E542" s="6" t="n">
        <v>7</v>
      </c>
      <c r="F542" s="6" t="s">
        <v>3176</v>
      </c>
      <c r="G542" s="6" t="n">
        <v>282</v>
      </c>
      <c r="H542" s="6" t="s">
        <v>3177</v>
      </c>
      <c r="I542" s="6" t="n">
        <v>38</v>
      </c>
      <c r="J542" s="6" t="s">
        <v>3178</v>
      </c>
      <c r="K542" s="6" t="n">
        <v>3</v>
      </c>
      <c r="L542" s="6" t="s">
        <v>3179</v>
      </c>
      <c r="M542" s="6" t="n">
        <v>1</v>
      </c>
      <c r="N542" s="6" t="s">
        <v>3180</v>
      </c>
      <c r="O542" s="6" t="n">
        <v>1</v>
      </c>
      <c r="P542" s="6" t="s">
        <v>3181</v>
      </c>
      <c r="Q542" s="6" t="n">
        <v>1</v>
      </c>
      <c r="R542" s="6" t="s">
        <v>3182</v>
      </c>
      <c r="S542" s="6" t="n">
        <v>0</v>
      </c>
    </row>
    <row r="543" customFormat="false" ht="12.8" hidden="false" customHeight="false" outlineLevel="0" collapsed="false">
      <c r="A543" s="6" t="s">
        <v>3183</v>
      </c>
      <c r="B543" s="6" t="n">
        <v>36</v>
      </c>
      <c r="C543" s="6" t="n">
        <v>5</v>
      </c>
      <c r="D543" s="12" t="n">
        <f aca="false">C543/(B543+C543)*100</f>
        <v>12.1951219512195</v>
      </c>
      <c r="E543" s="6" t="n">
        <v>2</v>
      </c>
      <c r="F543" s="6" t="s">
        <v>3184</v>
      </c>
      <c r="G543" s="6" t="n">
        <v>4</v>
      </c>
      <c r="H543" s="6" t="s">
        <v>3185</v>
      </c>
      <c r="I543" s="6" t="n">
        <v>1</v>
      </c>
    </row>
    <row r="544" customFormat="false" ht="12.8" hidden="false" customHeight="false" outlineLevel="0" collapsed="false">
      <c r="A544" s="6" t="s">
        <v>3186</v>
      </c>
      <c r="B544" s="6" t="n">
        <v>36</v>
      </c>
      <c r="C544" s="6" t="n">
        <v>5</v>
      </c>
      <c r="D544" s="12" t="n">
        <f aca="false">C544/(B544+C544)*100</f>
        <v>12.1951219512195</v>
      </c>
      <c r="E544" s="6" t="n">
        <v>1</v>
      </c>
      <c r="F544" s="6" t="s">
        <v>3187</v>
      </c>
      <c r="G544" s="6" t="n">
        <v>5</v>
      </c>
    </row>
    <row r="545" customFormat="false" ht="12.8" hidden="false" customHeight="false" outlineLevel="0" collapsed="false">
      <c r="A545" s="6" t="s">
        <v>3188</v>
      </c>
      <c r="B545" s="6" t="n">
        <v>37</v>
      </c>
      <c r="C545" s="6" t="n">
        <v>41</v>
      </c>
      <c r="D545" s="12" t="n">
        <f aca="false">C545/(B545+C545)*100</f>
        <v>52.5641025641026</v>
      </c>
      <c r="E545" s="6" t="n">
        <v>13</v>
      </c>
      <c r="F545" s="6" t="s">
        <v>3189</v>
      </c>
      <c r="G545" s="6" t="n">
        <v>21</v>
      </c>
      <c r="H545" s="6" t="s">
        <v>3190</v>
      </c>
      <c r="I545" s="6" t="n">
        <v>7</v>
      </c>
      <c r="J545" s="6" t="s">
        <v>3191</v>
      </c>
      <c r="K545" s="6" t="n">
        <v>5</v>
      </c>
      <c r="L545" s="6" t="s">
        <v>3192</v>
      </c>
      <c r="M545" s="6" t="n">
        <v>1</v>
      </c>
      <c r="N545" s="6" t="s">
        <v>3193</v>
      </c>
      <c r="O545" s="6" t="n">
        <v>1</v>
      </c>
      <c r="P545" s="6" t="s">
        <v>3194</v>
      </c>
      <c r="Q545" s="6" t="n">
        <v>1</v>
      </c>
      <c r="R545" s="6" t="s">
        <v>3195</v>
      </c>
      <c r="S545" s="6" t="n">
        <v>1</v>
      </c>
      <c r="T545" s="6" t="s">
        <v>3196</v>
      </c>
      <c r="U545" s="6" t="n">
        <v>1</v>
      </c>
      <c r="V545" s="6" t="s">
        <v>3197</v>
      </c>
      <c r="W545" s="6" t="n">
        <v>1</v>
      </c>
      <c r="X545" s="6" t="s">
        <v>3198</v>
      </c>
      <c r="Y545" s="6" t="n">
        <v>1</v>
      </c>
      <c r="Z545" s="6" t="s">
        <v>3199</v>
      </c>
      <c r="AA545" s="6" t="n">
        <v>1</v>
      </c>
      <c r="AB545" s="6" t="s">
        <v>3200</v>
      </c>
      <c r="AC545" s="6" t="n">
        <v>0</v>
      </c>
      <c r="AD545" s="6" t="s">
        <v>3201</v>
      </c>
      <c r="AE545" s="6" t="n">
        <v>0</v>
      </c>
    </row>
    <row r="546" customFormat="false" ht="12.8" hidden="false" customHeight="false" outlineLevel="0" collapsed="false">
      <c r="A546" s="6" t="s">
        <v>3202</v>
      </c>
      <c r="B546" s="6" t="n">
        <v>37</v>
      </c>
      <c r="C546" s="6" t="n">
        <v>11</v>
      </c>
      <c r="D546" s="12" t="n">
        <f aca="false">C546/(B546+C546)*100</f>
        <v>22.9166666666667</v>
      </c>
      <c r="E546" s="6" t="n">
        <v>7</v>
      </c>
      <c r="F546" s="6" t="s">
        <v>3203</v>
      </c>
      <c r="G546" s="6" t="n">
        <v>6</v>
      </c>
      <c r="H546" s="6" t="s">
        <v>3204</v>
      </c>
      <c r="I546" s="6" t="n">
        <v>1</v>
      </c>
      <c r="J546" s="6" t="s">
        <v>3205</v>
      </c>
      <c r="K546" s="6" t="n">
        <v>1</v>
      </c>
      <c r="L546" s="6" t="s">
        <v>3206</v>
      </c>
      <c r="M546" s="6" t="n">
        <v>1</v>
      </c>
      <c r="N546" s="6" t="s">
        <v>3207</v>
      </c>
      <c r="O546" s="6" t="n">
        <v>1</v>
      </c>
      <c r="P546" s="6" t="s">
        <v>3208</v>
      </c>
      <c r="Q546" s="6" t="n">
        <v>1</v>
      </c>
      <c r="R546" s="6" t="s">
        <v>3209</v>
      </c>
      <c r="S546" s="6" t="n">
        <v>0</v>
      </c>
    </row>
    <row r="547" customFormat="false" ht="12.8" hidden="false" customHeight="false" outlineLevel="0" collapsed="false">
      <c r="A547" s="6" t="s">
        <v>3210</v>
      </c>
      <c r="B547" s="6" t="n">
        <v>37</v>
      </c>
      <c r="C547" s="6" t="n">
        <v>1</v>
      </c>
      <c r="D547" s="12" t="n">
        <f aca="false">C547/(B547+C547)*100</f>
        <v>2.63157894736842</v>
      </c>
      <c r="E547" s="6" t="n">
        <v>1</v>
      </c>
      <c r="F547" s="6" t="s">
        <v>3211</v>
      </c>
      <c r="G547" s="6" t="n">
        <v>1</v>
      </c>
    </row>
    <row r="548" customFormat="false" ht="12.8" hidden="false" customHeight="false" outlineLevel="0" collapsed="false">
      <c r="A548" s="6" t="s">
        <v>3212</v>
      </c>
      <c r="B548" s="6" t="n">
        <v>38</v>
      </c>
      <c r="C548" s="6" t="n">
        <v>587</v>
      </c>
      <c r="D548" s="12" t="n">
        <f aca="false">C548/(B548+C548)*100</f>
        <v>93.92</v>
      </c>
      <c r="E548" s="6" t="n">
        <v>21</v>
      </c>
      <c r="F548" s="6" t="s">
        <v>3213</v>
      </c>
      <c r="G548" s="6" t="n">
        <v>349</v>
      </c>
      <c r="H548" s="6" t="s">
        <v>3214</v>
      </c>
      <c r="I548" s="6" t="n">
        <v>120</v>
      </c>
      <c r="J548" s="6" t="s">
        <v>3215</v>
      </c>
      <c r="K548" s="6" t="n">
        <v>52</v>
      </c>
      <c r="L548" s="6" t="s">
        <v>3216</v>
      </c>
      <c r="M548" s="6" t="n">
        <v>24</v>
      </c>
      <c r="N548" s="6" t="s">
        <v>3217</v>
      </c>
      <c r="O548" s="6" t="n">
        <v>16</v>
      </c>
      <c r="P548" s="6" t="s">
        <v>3218</v>
      </c>
      <c r="Q548" s="6" t="n">
        <v>5</v>
      </c>
      <c r="R548" s="6" t="s">
        <v>3219</v>
      </c>
      <c r="S548" s="6" t="n">
        <v>3</v>
      </c>
      <c r="T548" s="6" t="s">
        <v>3220</v>
      </c>
      <c r="U548" s="6" t="n">
        <v>3</v>
      </c>
      <c r="V548" s="6" t="s">
        <v>3221</v>
      </c>
      <c r="W548" s="6" t="n">
        <v>3</v>
      </c>
      <c r="X548" s="6" t="s">
        <v>3222</v>
      </c>
      <c r="Y548" s="6" t="n">
        <v>3</v>
      </c>
      <c r="Z548" s="6" t="s">
        <v>3223</v>
      </c>
      <c r="AA548" s="6" t="n">
        <v>2</v>
      </c>
      <c r="AB548" s="6" t="s">
        <v>3224</v>
      </c>
      <c r="AC548" s="6" t="n">
        <v>2</v>
      </c>
      <c r="AD548" s="6" t="s">
        <v>3225</v>
      </c>
      <c r="AE548" s="6" t="n">
        <v>1</v>
      </c>
      <c r="AF548" s="6" t="s">
        <v>3226</v>
      </c>
      <c r="AG548" s="6" t="n">
        <v>1</v>
      </c>
      <c r="AH548" s="6" t="s">
        <v>3227</v>
      </c>
      <c r="AI548" s="6" t="n">
        <v>1</v>
      </c>
      <c r="AJ548" s="6" t="s">
        <v>3228</v>
      </c>
      <c r="AK548" s="6" t="n">
        <v>1</v>
      </c>
      <c r="AL548" s="6" t="s">
        <v>3229</v>
      </c>
      <c r="AM548" s="6" t="n">
        <v>1</v>
      </c>
      <c r="AN548" s="6" t="s">
        <v>3230</v>
      </c>
      <c r="AO548" s="6" t="n">
        <v>0</v>
      </c>
      <c r="AP548" s="6" t="s">
        <v>3231</v>
      </c>
      <c r="AQ548" s="6" t="n">
        <v>0</v>
      </c>
      <c r="AR548" s="6" t="s">
        <v>3232</v>
      </c>
      <c r="AS548" s="6" t="n">
        <v>0</v>
      </c>
      <c r="AT548" s="6" t="s">
        <v>3233</v>
      </c>
      <c r="AU548" s="6" t="n">
        <v>0</v>
      </c>
    </row>
    <row r="549" customFormat="false" ht="12.8" hidden="false" customHeight="false" outlineLevel="0" collapsed="false">
      <c r="A549" s="6" t="s">
        <v>3234</v>
      </c>
      <c r="B549" s="6" t="n">
        <v>38</v>
      </c>
      <c r="C549" s="6" t="n">
        <v>89</v>
      </c>
      <c r="D549" s="12" t="n">
        <f aca="false">C549/(B549+C549)*100</f>
        <v>70.0787401574803</v>
      </c>
      <c r="E549" s="6" t="n">
        <v>11</v>
      </c>
      <c r="F549" s="6" t="s">
        <v>3235</v>
      </c>
      <c r="G549" s="6" t="n">
        <v>44</v>
      </c>
      <c r="H549" s="6" t="s">
        <v>3236</v>
      </c>
      <c r="I549" s="6" t="n">
        <v>40</v>
      </c>
      <c r="J549" s="6" t="s">
        <v>3237</v>
      </c>
      <c r="K549" s="6" t="n">
        <v>2</v>
      </c>
      <c r="L549" s="6" t="s">
        <v>3238</v>
      </c>
      <c r="M549" s="6" t="n">
        <v>1</v>
      </c>
      <c r="N549" s="6" t="s">
        <v>3239</v>
      </c>
      <c r="O549" s="6" t="n">
        <v>1</v>
      </c>
      <c r="P549" s="6" t="s">
        <v>3240</v>
      </c>
      <c r="Q549" s="6" t="n">
        <v>1</v>
      </c>
      <c r="R549" s="6" t="s">
        <v>3241</v>
      </c>
      <c r="S549" s="6" t="n">
        <v>0</v>
      </c>
      <c r="T549" s="6" t="s">
        <v>3242</v>
      </c>
      <c r="U549" s="6" t="n">
        <v>0</v>
      </c>
      <c r="V549" s="6" t="s">
        <v>3243</v>
      </c>
      <c r="W549" s="6" t="n">
        <v>0</v>
      </c>
      <c r="X549" s="6" t="s">
        <v>3244</v>
      </c>
      <c r="Y549" s="6" t="n">
        <v>0</v>
      </c>
      <c r="Z549" s="6" t="s">
        <v>3245</v>
      </c>
      <c r="AA549" s="6" t="n">
        <v>0</v>
      </c>
    </row>
    <row r="550" customFormat="false" ht="12.8" hidden="false" customHeight="false" outlineLevel="0" collapsed="false">
      <c r="A550" s="6" t="s">
        <v>3246</v>
      </c>
      <c r="B550" s="6" t="n">
        <v>38</v>
      </c>
      <c r="C550" s="6" t="n">
        <v>45</v>
      </c>
      <c r="D550" s="12" t="n">
        <f aca="false">C550/(B550+C550)*100</f>
        <v>54.2168674698795</v>
      </c>
      <c r="E550" s="6" t="n">
        <v>6</v>
      </c>
      <c r="F550" s="6" t="s">
        <v>3247</v>
      </c>
      <c r="G550" s="6" t="n">
        <v>19</v>
      </c>
      <c r="H550" s="6" t="s">
        <v>3248</v>
      </c>
      <c r="I550" s="6" t="n">
        <v>10</v>
      </c>
      <c r="J550" s="6" t="s">
        <v>3249</v>
      </c>
      <c r="K550" s="6" t="n">
        <v>6</v>
      </c>
      <c r="L550" s="6" t="s">
        <v>3250</v>
      </c>
      <c r="M550" s="6" t="n">
        <v>4</v>
      </c>
      <c r="N550" s="6" t="s">
        <v>3251</v>
      </c>
      <c r="O550" s="6" t="n">
        <v>3</v>
      </c>
      <c r="P550" s="6" t="s">
        <v>3252</v>
      </c>
      <c r="Q550" s="6" t="n">
        <v>3</v>
      </c>
    </row>
    <row r="551" customFormat="false" ht="12.8" hidden="false" customHeight="false" outlineLevel="0" collapsed="false">
      <c r="A551" s="6" t="s">
        <v>3253</v>
      </c>
      <c r="B551" s="6" t="n">
        <v>38</v>
      </c>
      <c r="C551" s="6" t="n">
        <v>38</v>
      </c>
      <c r="D551" s="12" t="n">
        <f aca="false">C551/(B551+C551)*100</f>
        <v>50</v>
      </c>
      <c r="E551" s="6" t="n">
        <v>2</v>
      </c>
      <c r="F551" s="6" t="s">
        <v>3254</v>
      </c>
      <c r="G551" s="6" t="n">
        <v>35</v>
      </c>
      <c r="H551" s="6" t="s">
        <v>3255</v>
      </c>
      <c r="I551" s="6" t="n">
        <v>3</v>
      </c>
    </row>
    <row r="552" customFormat="false" ht="12.8" hidden="false" customHeight="false" outlineLevel="0" collapsed="false">
      <c r="A552" s="6" t="s">
        <v>3256</v>
      </c>
      <c r="B552" s="6" t="n">
        <v>38</v>
      </c>
      <c r="C552" s="6" t="n">
        <v>18</v>
      </c>
      <c r="D552" s="12" t="n">
        <f aca="false">C552/(B552+C552)*100</f>
        <v>32.1428571428571</v>
      </c>
      <c r="E552" s="6" t="n">
        <v>1</v>
      </c>
      <c r="F552" s="6" t="s">
        <v>3257</v>
      </c>
      <c r="G552" s="6" t="n">
        <v>18</v>
      </c>
    </row>
    <row r="553" customFormat="false" ht="12.8" hidden="false" customHeight="false" outlineLevel="0" collapsed="false">
      <c r="A553" s="6" t="s">
        <v>3258</v>
      </c>
      <c r="B553" s="6" t="n">
        <v>38</v>
      </c>
      <c r="C553" s="6" t="n">
        <v>17</v>
      </c>
      <c r="D553" s="12" t="n">
        <f aca="false">C553/(B553+C553)*100</f>
        <v>30.9090909090909</v>
      </c>
      <c r="E553" s="6" t="n">
        <v>1</v>
      </c>
      <c r="F553" s="6" t="s">
        <v>3259</v>
      </c>
      <c r="G553" s="6" t="n">
        <v>17</v>
      </c>
    </row>
    <row r="554" customFormat="false" ht="12.8" hidden="false" customHeight="false" outlineLevel="0" collapsed="false">
      <c r="A554" s="6" t="s">
        <v>3260</v>
      </c>
      <c r="B554" s="6" t="n">
        <v>38</v>
      </c>
      <c r="C554" s="6" t="n">
        <v>7</v>
      </c>
      <c r="D554" s="12" t="n">
        <f aca="false">C554/(B554+C554)*100</f>
        <v>15.5555555555556</v>
      </c>
      <c r="E554" s="6" t="n">
        <v>3</v>
      </c>
      <c r="F554" s="6" t="s">
        <v>3261</v>
      </c>
      <c r="G554" s="6" t="n">
        <v>4</v>
      </c>
      <c r="H554" s="6" t="s">
        <v>3262</v>
      </c>
      <c r="I554" s="6" t="n">
        <v>2</v>
      </c>
      <c r="J554" s="6" t="s">
        <v>3263</v>
      </c>
      <c r="K554" s="6" t="n">
        <v>1</v>
      </c>
    </row>
    <row r="555" customFormat="false" ht="12.8" hidden="false" customHeight="false" outlineLevel="0" collapsed="false">
      <c r="A555" s="6" t="s">
        <v>3264</v>
      </c>
      <c r="B555" s="6" t="n">
        <v>38</v>
      </c>
      <c r="C555" s="6" t="n">
        <v>5</v>
      </c>
      <c r="D555" s="12" t="n">
        <f aca="false">C555/(B555+C555)*100</f>
        <v>11.6279069767442</v>
      </c>
      <c r="E555" s="6" t="n">
        <v>2</v>
      </c>
      <c r="F555" s="6" t="s">
        <v>3265</v>
      </c>
      <c r="G555" s="6" t="n">
        <v>4</v>
      </c>
      <c r="H555" s="6" t="s">
        <v>3266</v>
      </c>
      <c r="I555" s="6" t="n">
        <v>1</v>
      </c>
    </row>
    <row r="556" customFormat="false" ht="12.8" hidden="false" customHeight="false" outlineLevel="0" collapsed="false">
      <c r="A556" s="6" t="s">
        <v>3267</v>
      </c>
      <c r="B556" s="6" t="n">
        <v>38</v>
      </c>
      <c r="C556" s="6" t="n">
        <v>1</v>
      </c>
      <c r="D556" s="12" t="n">
        <f aca="false">C556/(B556+C556)*100</f>
        <v>2.56410256410256</v>
      </c>
      <c r="E556" s="6" t="n">
        <v>1</v>
      </c>
      <c r="F556" s="6" t="s">
        <v>3268</v>
      </c>
      <c r="G556" s="6" t="n">
        <v>1</v>
      </c>
    </row>
    <row r="557" customFormat="false" ht="14.4" hidden="false" customHeight="false" outlineLevel="0" collapsed="false">
      <c r="A557" s="6" t="s">
        <v>3269</v>
      </c>
      <c r="B557" s="6" t="n">
        <v>39</v>
      </c>
      <c r="C557" s="6" t="n">
        <v>112</v>
      </c>
      <c r="D557" s="12" t="n">
        <f aca="false">C557/(B557+C557)*100</f>
        <v>74.1721854304636</v>
      </c>
      <c r="E557" s="6" t="n">
        <v>19</v>
      </c>
      <c r="F557" s="6" t="s">
        <v>3270</v>
      </c>
      <c r="G557" s="6" t="n">
        <v>50</v>
      </c>
      <c r="H557" s="6" t="s">
        <v>3271</v>
      </c>
      <c r="I557" s="6" t="n">
        <v>23</v>
      </c>
      <c r="J557" s="6" t="s">
        <v>3272</v>
      </c>
      <c r="K557" s="6" t="n">
        <v>9</v>
      </c>
      <c r="L557" s="6" t="s">
        <v>3273</v>
      </c>
      <c r="M557" s="6" t="n">
        <v>6</v>
      </c>
      <c r="N557" s="6" t="s">
        <v>3273</v>
      </c>
      <c r="O557" s="6" t="n">
        <v>6</v>
      </c>
      <c r="P557" s="6" t="s">
        <v>3274</v>
      </c>
      <c r="Q557" s="6" t="n">
        <v>6</v>
      </c>
      <c r="R557" s="6" t="s">
        <v>3275</v>
      </c>
      <c r="S557" s="6" t="n">
        <v>4</v>
      </c>
      <c r="T557" s="6" t="s">
        <v>3276</v>
      </c>
      <c r="U557" s="6" t="n">
        <v>3</v>
      </c>
      <c r="V557" s="6" t="s">
        <v>3277</v>
      </c>
      <c r="W557" s="6" t="n">
        <v>1</v>
      </c>
      <c r="X557" s="6" t="s">
        <v>3278</v>
      </c>
      <c r="Y557" s="6" t="n">
        <v>1</v>
      </c>
      <c r="Z557" s="6" t="s">
        <v>3279</v>
      </c>
      <c r="AA557" s="6" t="n">
        <v>1</v>
      </c>
      <c r="AB557" s="6" t="s">
        <v>3280</v>
      </c>
      <c r="AC557" s="6" t="n">
        <v>1</v>
      </c>
      <c r="AD557" s="6" t="s">
        <v>3277</v>
      </c>
      <c r="AE557" s="6" t="n">
        <v>1</v>
      </c>
      <c r="AF557" s="6" t="s">
        <v>3281</v>
      </c>
      <c r="AG557" s="6" t="n">
        <v>0</v>
      </c>
      <c r="AH557" s="6" t="s">
        <v>3282</v>
      </c>
      <c r="AI557" s="6" t="n">
        <v>0</v>
      </c>
      <c r="AJ557" s="6" t="s">
        <v>3283</v>
      </c>
      <c r="AK557" s="6" t="n">
        <v>0</v>
      </c>
      <c r="AL557" s="6" t="s">
        <v>3284</v>
      </c>
      <c r="AM557" s="6" t="n">
        <v>0</v>
      </c>
      <c r="AN557" s="6" t="s">
        <v>3285</v>
      </c>
      <c r="AO557" s="6" t="n">
        <v>0</v>
      </c>
      <c r="AP557" s="6" t="s">
        <v>3286</v>
      </c>
      <c r="AQ557" s="6" t="n">
        <v>0</v>
      </c>
    </row>
    <row r="558" customFormat="false" ht="12.8" hidden="false" customHeight="false" outlineLevel="0" collapsed="false">
      <c r="A558" s="6" t="s">
        <v>3287</v>
      </c>
      <c r="B558" s="6" t="n">
        <v>39</v>
      </c>
      <c r="C558" s="6" t="n">
        <v>62</v>
      </c>
      <c r="D558" s="12" t="n">
        <f aca="false">C558/(B558+C558)*100</f>
        <v>61.3861386138614</v>
      </c>
      <c r="E558" s="6" t="n">
        <v>3</v>
      </c>
      <c r="F558" s="6" t="s">
        <v>3288</v>
      </c>
      <c r="G558" s="6" t="n">
        <v>53</v>
      </c>
      <c r="H558" s="6" t="s">
        <v>3289</v>
      </c>
      <c r="I558" s="6" t="n">
        <v>5</v>
      </c>
      <c r="J558" s="6" t="s">
        <v>3290</v>
      </c>
      <c r="K558" s="6" t="n">
        <v>4</v>
      </c>
    </row>
    <row r="559" customFormat="false" ht="12.8" hidden="false" customHeight="false" outlineLevel="0" collapsed="false">
      <c r="A559" s="6" t="s">
        <v>3291</v>
      </c>
      <c r="B559" s="6" t="n">
        <v>39</v>
      </c>
      <c r="C559" s="6" t="n">
        <v>14</v>
      </c>
      <c r="D559" s="12" t="n">
        <f aca="false">C559/(B559+C559)*100</f>
        <v>26.4150943396226</v>
      </c>
      <c r="E559" s="6" t="n">
        <v>4</v>
      </c>
      <c r="F559" s="6" t="s">
        <v>3292</v>
      </c>
      <c r="G559" s="6" t="n">
        <v>8</v>
      </c>
      <c r="H559" s="6" t="s">
        <v>3293</v>
      </c>
      <c r="I559" s="6" t="n">
        <v>4</v>
      </c>
      <c r="J559" s="6" t="s">
        <v>3294</v>
      </c>
      <c r="K559" s="6" t="n">
        <v>2</v>
      </c>
      <c r="L559" s="6" t="s">
        <v>3295</v>
      </c>
      <c r="M559" s="6" t="n">
        <v>0</v>
      </c>
    </row>
    <row r="560" customFormat="false" ht="12.8" hidden="false" customHeight="false" outlineLevel="0" collapsed="false">
      <c r="A560" s="6" t="s">
        <v>3296</v>
      </c>
      <c r="B560" s="6" t="n">
        <v>39</v>
      </c>
      <c r="C560" s="6" t="n">
        <v>4</v>
      </c>
      <c r="D560" s="12" t="n">
        <f aca="false">C560/(B560+C560)*100</f>
        <v>9.30232558139535</v>
      </c>
      <c r="E560" s="6" t="n">
        <v>3</v>
      </c>
      <c r="F560" s="6" t="s">
        <v>3297</v>
      </c>
      <c r="G560" s="6" t="n">
        <v>3</v>
      </c>
      <c r="H560" s="6" t="s">
        <v>3298</v>
      </c>
      <c r="I560" s="6" t="n">
        <v>1</v>
      </c>
      <c r="J560" s="6" t="s">
        <v>3299</v>
      </c>
      <c r="K560" s="6" t="n">
        <v>0</v>
      </c>
    </row>
    <row r="561" customFormat="false" ht="12.8" hidden="false" customHeight="false" outlineLevel="0" collapsed="false">
      <c r="A561" s="6" t="s">
        <v>3300</v>
      </c>
      <c r="B561" s="6" t="n">
        <v>39</v>
      </c>
      <c r="C561" s="6" t="n">
        <v>2</v>
      </c>
      <c r="D561" s="12" t="n">
        <f aca="false">C561/(B561+C561)*100</f>
        <v>4.87804878048781</v>
      </c>
      <c r="E561" s="6" t="n">
        <v>9</v>
      </c>
      <c r="F561" s="6" t="s">
        <v>3301</v>
      </c>
      <c r="G561" s="6" t="n">
        <v>2</v>
      </c>
      <c r="H561" s="6" t="s">
        <v>372</v>
      </c>
      <c r="I561" s="6" t="n">
        <v>0</v>
      </c>
      <c r="J561" s="6" t="s">
        <v>3302</v>
      </c>
      <c r="K561" s="6" t="n">
        <v>0</v>
      </c>
      <c r="L561" s="6" t="s">
        <v>3303</v>
      </c>
      <c r="M561" s="6" t="n">
        <v>0</v>
      </c>
      <c r="N561" s="6" t="s">
        <v>3304</v>
      </c>
      <c r="O561" s="6" t="n">
        <v>0</v>
      </c>
      <c r="P561" s="6" t="s">
        <v>3305</v>
      </c>
      <c r="Q561" s="6" t="n">
        <v>0</v>
      </c>
      <c r="R561" s="6" t="s">
        <v>3306</v>
      </c>
      <c r="S561" s="6" t="n">
        <v>0</v>
      </c>
      <c r="T561" s="6" t="s">
        <v>3307</v>
      </c>
      <c r="U561" s="6" t="n">
        <v>0</v>
      </c>
      <c r="V561" s="6" t="s">
        <v>3308</v>
      </c>
      <c r="W561" s="6" t="n">
        <v>0</v>
      </c>
    </row>
    <row r="562" customFormat="false" ht="12.8" hidden="false" customHeight="false" outlineLevel="0" collapsed="false">
      <c r="A562" s="6" t="s">
        <v>3309</v>
      </c>
      <c r="B562" s="6" t="n">
        <v>40</v>
      </c>
      <c r="C562" s="6" t="n">
        <v>281</v>
      </c>
      <c r="D562" s="12" t="n">
        <f aca="false">C562/(B562+C562)*100</f>
        <v>87.5389408099688</v>
      </c>
      <c r="E562" s="6" t="n">
        <v>12</v>
      </c>
      <c r="F562" s="6" t="s">
        <v>3310</v>
      </c>
      <c r="G562" s="6" t="n">
        <v>257</v>
      </c>
      <c r="H562" s="6" t="s">
        <v>3311</v>
      </c>
      <c r="I562" s="6" t="n">
        <v>15</v>
      </c>
      <c r="J562" s="6" t="s">
        <v>3312</v>
      </c>
      <c r="K562" s="6" t="n">
        <v>5</v>
      </c>
      <c r="L562" s="6" t="s">
        <v>3313</v>
      </c>
      <c r="M562" s="6" t="n">
        <v>2</v>
      </c>
      <c r="N562" s="6" t="s">
        <v>3314</v>
      </c>
      <c r="O562" s="6" t="n">
        <v>1</v>
      </c>
      <c r="P562" s="6" t="s">
        <v>3315</v>
      </c>
      <c r="Q562" s="6" t="n">
        <v>1</v>
      </c>
      <c r="R562" s="6" t="s">
        <v>3316</v>
      </c>
      <c r="S562" s="6" t="n">
        <v>0</v>
      </c>
      <c r="T562" s="6" t="s">
        <v>3317</v>
      </c>
      <c r="U562" s="6" t="n">
        <v>0</v>
      </c>
      <c r="V562" s="6" t="s">
        <v>3318</v>
      </c>
      <c r="W562" s="6" t="n">
        <v>0</v>
      </c>
      <c r="X562" s="6" t="s">
        <v>3319</v>
      </c>
      <c r="Y562" s="6" t="n">
        <v>0</v>
      </c>
      <c r="Z562" s="6" t="s">
        <v>3320</v>
      </c>
      <c r="AA562" s="6" t="n">
        <v>0</v>
      </c>
      <c r="AB562" s="6" t="s">
        <v>3321</v>
      </c>
      <c r="AC562" s="6" t="n">
        <v>0</v>
      </c>
    </row>
    <row r="563" customFormat="false" ht="12.8" hidden="false" customHeight="false" outlineLevel="0" collapsed="false">
      <c r="A563" s="6" t="s">
        <v>3322</v>
      </c>
      <c r="B563" s="6" t="n">
        <v>40</v>
      </c>
      <c r="C563" s="6" t="n">
        <v>20</v>
      </c>
      <c r="D563" s="12" t="n">
        <f aca="false">C563/(B563+C563)*100</f>
        <v>33.3333333333333</v>
      </c>
      <c r="E563" s="6" t="n">
        <v>5</v>
      </c>
      <c r="F563" s="6" t="s">
        <v>3323</v>
      </c>
      <c r="G563" s="6" t="n">
        <v>15</v>
      </c>
      <c r="H563" s="6" t="s">
        <v>3324</v>
      </c>
      <c r="I563" s="6" t="n">
        <v>2</v>
      </c>
      <c r="J563" s="6" t="s">
        <v>3325</v>
      </c>
      <c r="K563" s="6" t="n">
        <v>1</v>
      </c>
      <c r="L563" s="6" t="s">
        <v>3326</v>
      </c>
      <c r="M563" s="6" t="n">
        <v>1</v>
      </c>
      <c r="N563" s="6" t="s">
        <v>3327</v>
      </c>
      <c r="O563" s="6" t="n">
        <v>1</v>
      </c>
    </row>
    <row r="564" customFormat="false" ht="12.8" hidden="false" customHeight="false" outlineLevel="0" collapsed="false">
      <c r="A564" s="6" t="s">
        <v>3328</v>
      </c>
      <c r="B564" s="6" t="n">
        <v>40</v>
      </c>
      <c r="C564" s="6" t="n">
        <v>17</v>
      </c>
      <c r="D564" s="12" t="n">
        <f aca="false">C564/(B564+C564)*100</f>
        <v>29.8245614035088</v>
      </c>
      <c r="E564" s="6" t="n">
        <v>12</v>
      </c>
      <c r="F564" s="6" t="s">
        <v>3329</v>
      </c>
      <c r="G564" s="6" t="n">
        <v>4</v>
      </c>
      <c r="H564" s="6" t="s">
        <v>3330</v>
      </c>
      <c r="I564" s="6" t="n">
        <v>4</v>
      </c>
      <c r="J564" s="6" t="s">
        <v>3331</v>
      </c>
      <c r="K564" s="6" t="n">
        <v>4</v>
      </c>
      <c r="L564" s="6" t="s">
        <v>3332</v>
      </c>
      <c r="M564" s="6" t="n">
        <v>3</v>
      </c>
      <c r="N564" s="6" t="s">
        <v>3333</v>
      </c>
      <c r="O564" s="6" t="n">
        <v>2</v>
      </c>
      <c r="P564" s="6" t="s">
        <v>3334</v>
      </c>
      <c r="Q564" s="6" t="n">
        <v>0</v>
      </c>
      <c r="R564" s="6" t="s">
        <v>3335</v>
      </c>
      <c r="S564" s="6" t="n">
        <v>0</v>
      </c>
      <c r="T564" s="6" t="s">
        <v>3336</v>
      </c>
      <c r="U564" s="6" t="n">
        <v>0</v>
      </c>
      <c r="V564" s="6" t="s">
        <v>3337</v>
      </c>
      <c r="W564" s="6" t="n">
        <v>0</v>
      </c>
      <c r="X564" s="6" t="s">
        <v>3338</v>
      </c>
      <c r="Y564" s="6" t="n">
        <v>0</v>
      </c>
      <c r="Z564" s="6" t="s">
        <v>3339</v>
      </c>
      <c r="AA564" s="6" t="n">
        <v>0</v>
      </c>
      <c r="AB564" s="6" t="s">
        <v>3340</v>
      </c>
      <c r="AC564" s="6" t="n">
        <v>0</v>
      </c>
    </row>
    <row r="565" customFormat="false" ht="12.8" hidden="false" customHeight="false" outlineLevel="0" collapsed="false">
      <c r="A565" s="6" t="s">
        <v>3341</v>
      </c>
      <c r="B565" s="6" t="n">
        <v>40</v>
      </c>
      <c r="C565" s="6" t="n">
        <v>8</v>
      </c>
      <c r="D565" s="12" t="n">
        <f aca="false">C565/(B565+C565)*100</f>
        <v>16.6666666666667</v>
      </c>
      <c r="E565" s="6" t="n">
        <v>3</v>
      </c>
      <c r="F565" s="6" t="s">
        <v>3342</v>
      </c>
      <c r="G565" s="6" t="n">
        <v>6</v>
      </c>
      <c r="H565" s="6" t="s">
        <v>3343</v>
      </c>
      <c r="I565" s="6" t="n">
        <v>1</v>
      </c>
      <c r="J565" s="6" t="s">
        <v>3344</v>
      </c>
      <c r="K565" s="6" t="n">
        <v>1</v>
      </c>
    </row>
    <row r="566" customFormat="false" ht="12.8" hidden="false" customHeight="false" outlineLevel="0" collapsed="false">
      <c r="A566" s="6" t="s">
        <v>3345</v>
      </c>
      <c r="B566" s="6" t="n">
        <v>40</v>
      </c>
      <c r="C566" s="6" t="n">
        <v>8</v>
      </c>
      <c r="D566" s="12" t="n">
        <f aca="false">C566/(B566+C566)*100</f>
        <v>16.6666666666667</v>
      </c>
      <c r="E566" s="6" t="n">
        <v>1</v>
      </c>
      <c r="F566" s="6" t="s">
        <v>3346</v>
      </c>
      <c r="G566" s="6" t="n">
        <v>8</v>
      </c>
    </row>
    <row r="567" customFormat="false" ht="12.8" hidden="false" customHeight="false" outlineLevel="0" collapsed="false">
      <c r="A567" s="6" t="s">
        <v>3347</v>
      </c>
      <c r="B567" s="6" t="n">
        <v>40</v>
      </c>
      <c r="C567" s="6" t="n">
        <v>6</v>
      </c>
      <c r="D567" s="12" t="n">
        <f aca="false">C567/(B567+C567)*100</f>
        <v>13.0434782608696</v>
      </c>
      <c r="E567" s="6" t="n">
        <v>4</v>
      </c>
      <c r="F567" s="6" t="s">
        <v>3348</v>
      </c>
      <c r="G567" s="6" t="n">
        <v>3</v>
      </c>
      <c r="H567" s="6" t="s">
        <v>3349</v>
      </c>
      <c r="I567" s="6" t="n">
        <v>1</v>
      </c>
      <c r="J567" s="6" t="s">
        <v>3350</v>
      </c>
      <c r="K567" s="6" t="n">
        <v>1</v>
      </c>
      <c r="L567" s="6" t="s">
        <v>3351</v>
      </c>
      <c r="M567" s="6" t="n">
        <v>1</v>
      </c>
    </row>
    <row r="568" customFormat="false" ht="12.8" hidden="false" customHeight="false" outlineLevel="0" collapsed="false">
      <c r="A568" s="6" t="s">
        <v>3352</v>
      </c>
      <c r="B568" s="6" t="n">
        <v>40</v>
      </c>
      <c r="C568" s="6" t="n">
        <v>2</v>
      </c>
      <c r="D568" s="12" t="n">
        <f aca="false">C568/(B568+C568)*100</f>
        <v>4.76190476190476</v>
      </c>
      <c r="E568" s="6" t="n">
        <v>1</v>
      </c>
      <c r="F568" s="6" t="s">
        <v>3353</v>
      </c>
      <c r="G568" s="6" t="n">
        <v>2</v>
      </c>
    </row>
    <row r="569" customFormat="false" ht="12.8" hidden="false" customHeight="false" outlineLevel="0" collapsed="false">
      <c r="A569" s="6" t="s">
        <v>3354</v>
      </c>
      <c r="B569" s="6" t="n">
        <v>41</v>
      </c>
      <c r="C569" s="6" t="n">
        <v>538</v>
      </c>
      <c r="D569" s="12" t="n">
        <f aca="false">C569/(B569+C569)*100</f>
        <v>92.9188255613126</v>
      </c>
      <c r="E569" s="6" t="n">
        <v>10</v>
      </c>
      <c r="F569" s="6" t="s">
        <v>3355</v>
      </c>
      <c r="G569" s="6" t="n">
        <v>212</v>
      </c>
      <c r="H569" s="6" t="s">
        <v>3356</v>
      </c>
      <c r="I569" s="6" t="n">
        <v>183</v>
      </c>
      <c r="J569" s="6" t="s">
        <v>3357</v>
      </c>
      <c r="K569" s="6" t="n">
        <v>61</v>
      </c>
      <c r="L569" s="6" t="s">
        <v>3358</v>
      </c>
      <c r="M569" s="6" t="n">
        <v>30</v>
      </c>
      <c r="N569" s="6" t="s">
        <v>3359</v>
      </c>
      <c r="O569" s="6" t="n">
        <v>23</v>
      </c>
      <c r="P569" s="6" t="s">
        <v>3360</v>
      </c>
      <c r="Q569" s="6" t="n">
        <v>13</v>
      </c>
      <c r="R569" s="6" t="s">
        <v>3361</v>
      </c>
      <c r="S569" s="6" t="n">
        <v>11</v>
      </c>
      <c r="T569" s="6" t="s">
        <v>3362</v>
      </c>
      <c r="U569" s="6" t="n">
        <v>3</v>
      </c>
      <c r="V569" s="6" t="s">
        <v>3363</v>
      </c>
      <c r="W569" s="6" t="n">
        <v>1</v>
      </c>
      <c r="X569" s="6" t="s">
        <v>3364</v>
      </c>
      <c r="Y569" s="6" t="n">
        <v>1</v>
      </c>
    </row>
    <row r="570" customFormat="false" ht="12.8" hidden="false" customHeight="false" outlineLevel="0" collapsed="false">
      <c r="A570" s="6" t="s">
        <v>3365</v>
      </c>
      <c r="B570" s="6" t="n">
        <v>41</v>
      </c>
      <c r="C570" s="6" t="n">
        <v>100</v>
      </c>
      <c r="D570" s="12" t="n">
        <f aca="false">C570/(B570+C570)*100</f>
        <v>70.9219858156028</v>
      </c>
      <c r="E570" s="6" t="n">
        <v>8</v>
      </c>
      <c r="F570" s="6" t="s">
        <v>3366</v>
      </c>
      <c r="G570" s="6" t="n">
        <v>77</v>
      </c>
      <c r="H570" s="6" t="s">
        <v>3367</v>
      </c>
      <c r="I570" s="6" t="n">
        <v>7</v>
      </c>
      <c r="J570" s="6" t="s">
        <v>3368</v>
      </c>
      <c r="K570" s="6" t="n">
        <v>6</v>
      </c>
      <c r="L570" s="6" t="s">
        <v>3369</v>
      </c>
      <c r="M570" s="6" t="n">
        <v>4</v>
      </c>
      <c r="N570" s="6" t="s">
        <v>3370</v>
      </c>
      <c r="O570" s="6" t="n">
        <v>2</v>
      </c>
      <c r="P570" s="6" t="s">
        <v>3371</v>
      </c>
      <c r="Q570" s="6" t="n">
        <v>2</v>
      </c>
      <c r="R570" s="6" t="s">
        <v>3372</v>
      </c>
      <c r="S570" s="6" t="n">
        <v>1</v>
      </c>
      <c r="T570" s="6" t="s">
        <v>3373</v>
      </c>
      <c r="U570" s="6" t="n">
        <v>1</v>
      </c>
    </row>
    <row r="571" customFormat="false" ht="12.8" hidden="false" customHeight="false" outlineLevel="0" collapsed="false">
      <c r="A571" s="6" t="s">
        <v>3374</v>
      </c>
      <c r="B571" s="6" t="n">
        <v>41</v>
      </c>
      <c r="C571" s="6" t="n">
        <v>52</v>
      </c>
      <c r="D571" s="12" t="n">
        <f aca="false">C571/(B571+C571)*100</f>
        <v>55.9139784946237</v>
      </c>
      <c r="E571" s="6" t="n">
        <v>9</v>
      </c>
      <c r="F571" s="6" t="s">
        <v>3375</v>
      </c>
      <c r="G571" s="6" t="n">
        <v>18</v>
      </c>
      <c r="H571" s="6" t="s">
        <v>3376</v>
      </c>
      <c r="I571" s="6" t="n">
        <v>17</v>
      </c>
      <c r="J571" s="6" t="s">
        <v>3377</v>
      </c>
      <c r="K571" s="6" t="n">
        <v>5</v>
      </c>
      <c r="L571" s="6" t="s">
        <v>3378</v>
      </c>
      <c r="M571" s="6" t="n">
        <v>3</v>
      </c>
      <c r="N571" s="6" t="s">
        <v>3379</v>
      </c>
      <c r="O571" s="6" t="n">
        <v>3</v>
      </c>
      <c r="P571" s="6" t="s">
        <v>3380</v>
      </c>
      <c r="Q571" s="6" t="n">
        <v>3</v>
      </c>
      <c r="R571" s="6" t="s">
        <v>3381</v>
      </c>
      <c r="S571" s="6" t="n">
        <v>1</v>
      </c>
      <c r="T571" s="6" t="s">
        <v>3382</v>
      </c>
      <c r="U571" s="6" t="n">
        <v>1</v>
      </c>
      <c r="V571" s="6" t="s">
        <v>3383</v>
      </c>
      <c r="W571" s="6" t="n">
        <v>1</v>
      </c>
    </row>
    <row r="572" customFormat="false" ht="12.8" hidden="false" customHeight="false" outlineLevel="0" collapsed="false">
      <c r="A572" s="6" t="s">
        <v>3384</v>
      </c>
      <c r="B572" s="6" t="n">
        <v>41</v>
      </c>
      <c r="C572" s="6" t="n">
        <v>31</v>
      </c>
      <c r="D572" s="12" t="n">
        <f aca="false">C572/(B572+C572)*100</f>
        <v>43.0555555555556</v>
      </c>
      <c r="E572" s="6" t="n">
        <v>9</v>
      </c>
      <c r="F572" s="6" t="s">
        <v>3385</v>
      </c>
      <c r="G572" s="6" t="n">
        <v>12</v>
      </c>
      <c r="H572" s="6" t="s">
        <v>3386</v>
      </c>
      <c r="I572" s="6" t="n">
        <v>9</v>
      </c>
      <c r="J572" s="6" t="s">
        <v>3387</v>
      </c>
      <c r="K572" s="6" t="n">
        <v>5</v>
      </c>
      <c r="L572" s="6" t="s">
        <v>3388</v>
      </c>
      <c r="M572" s="6" t="n">
        <v>2</v>
      </c>
      <c r="N572" s="6" t="s">
        <v>3389</v>
      </c>
      <c r="O572" s="6" t="n">
        <v>1</v>
      </c>
      <c r="P572" s="6" t="s">
        <v>3390</v>
      </c>
      <c r="Q572" s="6" t="n">
        <v>1</v>
      </c>
      <c r="R572" s="6" t="s">
        <v>3391</v>
      </c>
      <c r="S572" s="6" t="n">
        <v>1</v>
      </c>
      <c r="T572" s="6" t="s">
        <v>3392</v>
      </c>
      <c r="U572" s="6" t="n">
        <v>0</v>
      </c>
      <c r="V572" s="6" t="s">
        <v>3393</v>
      </c>
      <c r="W572" s="6" t="n">
        <v>0</v>
      </c>
    </row>
    <row r="573" customFormat="false" ht="12.8" hidden="false" customHeight="false" outlineLevel="0" collapsed="false">
      <c r="A573" s="6" t="s">
        <v>3394</v>
      </c>
      <c r="B573" s="6" t="n">
        <v>41</v>
      </c>
      <c r="C573" s="6" t="n">
        <v>26</v>
      </c>
      <c r="D573" s="12" t="n">
        <f aca="false">C573/(B573+C573)*100</f>
        <v>38.8059701492537</v>
      </c>
      <c r="E573" s="6" t="n">
        <v>5</v>
      </c>
      <c r="F573" s="6" t="s">
        <v>3395</v>
      </c>
      <c r="G573" s="6" t="n">
        <v>8</v>
      </c>
      <c r="H573" s="6" t="s">
        <v>3396</v>
      </c>
      <c r="I573" s="6" t="n">
        <v>7</v>
      </c>
      <c r="J573" s="6" t="s">
        <v>3397</v>
      </c>
      <c r="K573" s="6" t="n">
        <v>5</v>
      </c>
      <c r="L573" s="6" t="s">
        <v>3398</v>
      </c>
      <c r="M573" s="6" t="n">
        <v>4</v>
      </c>
      <c r="N573" s="6" t="s">
        <v>3399</v>
      </c>
      <c r="O573" s="6" t="n">
        <v>2</v>
      </c>
    </row>
    <row r="574" customFormat="false" ht="12.8" hidden="false" customHeight="false" outlineLevel="0" collapsed="false">
      <c r="A574" s="6" t="s">
        <v>3400</v>
      </c>
      <c r="B574" s="6" t="n">
        <v>41</v>
      </c>
      <c r="C574" s="6" t="n">
        <v>8</v>
      </c>
      <c r="D574" s="12" t="n">
        <f aca="false">C574/(B574+C574)*100</f>
        <v>16.3265306122449</v>
      </c>
      <c r="E574" s="6" t="n">
        <v>5</v>
      </c>
      <c r="F574" s="6" t="s">
        <v>3401</v>
      </c>
      <c r="G574" s="6" t="n">
        <v>2</v>
      </c>
      <c r="H574" s="6" t="s">
        <v>3402</v>
      </c>
      <c r="I574" s="6" t="n">
        <v>2</v>
      </c>
      <c r="J574" s="6" t="s">
        <v>3403</v>
      </c>
      <c r="K574" s="6" t="n">
        <v>2</v>
      </c>
      <c r="L574" s="6" t="s">
        <v>3404</v>
      </c>
      <c r="M574" s="6" t="n">
        <v>1</v>
      </c>
      <c r="N574" s="6" t="s">
        <v>3405</v>
      </c>
      <c r="O574" s="6" t="n">
        <v>1</v>
      </c>
    </row>
    <row r="575" customFormat="false" ht="12.8" hidden="false" customHeight="false" outlineLevel="0" collapsed="false">
      <c r="A575" s="6" t="s">
        <v>3406</v>
      </c>
      <c r="B575" s="6" t="n">
        <v>41</v>
      </c>
      <c r="C575" s="6" t="n">
        <v>5</v>
      </c>
      <c r="D575" s="12" t="n">
        <f aca="false">C575/(B575+C575)*100</f>
        <v>10.8695652173913</v>
      </c>
      <c r="E575" s="6" t="n">
        <v>1</v>
      </c>
      <c r="F575" s="6" t="s">
        <v>3407</v>
      </c>
      <c r="G575" s="6" t="n">
        <v>5</v>
      </c>
    </row>
    <row r="576" customFormat="false" ht="12.8" hidden="false" customHeight="false" outlineLevel="0" collapsed="false">
      <c r="A576" s="6" t="s">
        <v>3408</v>
      </c>
      <c r="B576" s="6" t="n">
        <v>41</v>
      </c>
      <c r="C576" s="6" t="n">
        <v>4</v>
      </c>
      <c r="D576" s="12" t="n">
        <f aca="false">C576/(B576+C576)*100</f>
        <v>8.88888888888889</v>
      </c>
      <c r="E576" s="6" t="n">
        <v>3</v>
      </c>
      <c r="F576" s="6" t="s">
        <v>3409</v>
      </c>
      <c r="G576" s="6" t="n">
        <v>4</v>
      </c>
      <c r="H576" s="6" t="s">
        <v>3410</v>
      </c>
      <c r="I576" s="6" t="n">
        <v>0</v>
      </c>
      <c r="J576" s="6" t="s">
        <v>3411</v>
      </c>
      <c r="K576" s="6" t="n">
        <v>0</v>
      </c>
    </row>
    <row r="577" customFormat="false" ht="12.8" hidden="false" customHeight="false" outlineLevel="0" collapsed="false">
      <c r="A577" s="6" t="s">
        <v>3412</v>
      </c>
      <c r="B577" s="6" t="n">
        <v>42</v>
      </c>
      <c r="C577" s="6" t="n">
        <v>9</v>
      </c>
      <c r="D577" s="12" t="n">
        <f aca="false">C577/(B577+C577)*100</f>
        <v>17.6470588235294</v>
      </c>
      <c r="E577" s="6" t="n">
        <v>3</v>
      </c>
      <c r="F577" s="6" t="s">
        <v>3413</v>
      </c>
      <c r="G577" s="6" t="n">
        <v>7</v>
      </c>
      <c r="H577" s="6" t="s">
        <v>3414</v>
      </c>
      <c r="I577" s="6" t="n">
        <v>1</v>
      </c>
      <c r="J577" s="6" t="s">
        <v>3415</v>
      </c>
      <c r="K577" s="6" t="n">
        <v>1</v>
      </c>
    </row>
    <row r="578" customFormat="false" ht="12.8" hidden="false" customHeight="false" outlineLevel="0" collapsed="false">
      <c r="A578" s="6" t="s">
        <v>3416</v>
      </c>
      <c r="B578" s="6" t="n">
        <v>42</v>
      </c>
      <c r="C578" s="6" t="n">
        <v>6</v>
      </c>
      <c r="D578" s="12" t="n">
        <f aca="false">C578/(B578+C578)*100</f>
        <v>12.5</v>
      </c>
      <c r="E578" s="6" t="n">
        <v>1</v>
      </c>
      <c r="F578" s="6" t="s">
        <v>3417</v>
      </c>
      <c r="G578" s="6" t="n">
        <v>6</v>
      </c>
    </row>
    <row r="579" customFormat="false" ht="12.8" hidden="false" customHeight="false" outlineLevel="0" collapsed="false">
      <c r="A579" s="6" t="s">
        <v>3418</v>
      </c>
      <c r="B579" s="6" t="n">
        <v>42</v>
      </c>
      <c r="C579" s="6" t="n">
        <v>1</v>
      </c>
      <c r="D579" s="12" t="n">
        <f aca="false">C579/(B579+C579)*100</f>
        <v>2.32558139534884</v>
      </c>
      <c r="E579" s="6" t="n">
        <v>6</v>
      </c>
      <c r="F579" s="6" t="s">
        <v>3419</v>
      </c>
      <c r="G579" s="6" t="n">
        <v>1</v>
      </c>
      <c r="H579" s="6" t="s">
        <v>3420</v>
      </c>
      <c r="I579" s="6" t="n">
        <v>0</v>
      </c>
      <c r="J579" s="6" t="s">
        <v>3421</v>
      </c>
      <c r="K579" s="6" t="n">
        <v>0</v>
      </c>
      <c r="L579" s="6" t="s">
        <v>3422</v>
      </c>
      <c r="M579" s="6" t="n">
        <v>0</v>
      </c>
      <c r="N579" s="6" t="s">
        <v>3423</v>
      </c>
      <c r="O579" s="6" t="n">
        <v>0</v>
      </c>
      <c r="P579" s="6" t="s">
        <v>3424</v>
      </c>
      <c r="Q579" s="6" t="n">
        <v>0</v>
      </c>
    </row>
    <row r="580" customFormat="false" ht="12.8" hidden="false" customHeight="false" outlineLevel="0" collapsed="false">
      <c r="A580" s="6" t="s">
        <v>3425</v>
      </c>
      <c r="B580" s="6" t="n">
        <v>42</v>
      </c>
      <c r="C580" s="6" t="n">
        <v>1</v>
      </c>
      <c r="D580" s="12" t="n">
        <f aca="false">C580/(B580+C580)*100</f>
        <v>2.32558139534884</v>
      </c>
      <c r="E580" s="6" t="n">
        <v>1</v>
      </c>
      <c r="F580" s="6" t="s">
        <v>3426</v>
      </c>
      <c r="G580" s="6" t="n">
        <v>1</v>
      </c>
    </row>
    <row r="581" customFormat="false" ht="12.8" hidden="false" customHeight="false" outlineLevel="0" collapsed="false">
      <c r="A581" s="6" t="s">
        <v>3427</v>
      </c>
      <c r="B581" s="6" t="n">
        <v>42</v>
      </c>
      <c r="C581" s="6" t="n">
        <v>0</v>
      </c>
      <c r="D581" s="12" t="n">
        <f aca="false">C581/(B581+C581)*100</f>
        <v>0</v>
      </c>
      <c r="E581" s="6" t="n">
        <v>5</v>
      </c>
      <c r="F581" s="6" t="s">
        <v>3428</v>
      </c>
      <c r="G581" s="6" t="n">
        <v>0</v>
      </c>
      <c r="H581" s="6" t="s">
        <v>3429</v>
      </c>
      <c r="I581" s="6" t="n">
        <v>0</v>
      </c>
      <c r="J581" s="6" t="s">
        <v>3430</v>
      </c>
      <c r="K581" s="6" t="n">
        <v>0</v>
      </c>
      <c r="L581" s="6" t="s">
        <v>3431</v>
      </c>
      <c r="M581" s="6" t="n">
        <v>0</v>
      </c>
      <c r="N581" s="6" t="s">
        <v>3432</v>
      </c>
      <c r="O581" s="6" t="n">
        <v>0</v>
      </c>
    </row>
    <row r="582" customFormat="false" ht="12.8" hidden="false" customHeight="false" outlineLevel="0" collapsed="false">
      <c r="A582" s="6" t="s">
        <v>3433</v>
      </c>
      <c r="B582" s="6" t="n">
        <v>43</v>
      </c>
      <c r="C582" s="6" t="n">
        <v>42</v>
      </c>
      <c r="D582" s="12" t="n">
        <f aca="false">C582/(B582+C582)*100</f>
        <v>49.4117647058824</v>
      </c>
      <c r="E582" s="6" t="n">
        <v>8</v>
      </c>
      <c r="F582" s="6" t="s">
        <v>3434</v>
      </c>
      <c r="G582" s="6" t="n">
        <v>28</v>
      </c>
      <c r="H582" s="6" t="s">
        <v>3435</v>
      </c>
      <c r="I582" s="6" t="n">
        <v>4</v>
      </c>
      <c r="J582" s="6" t="s">
        <v>3436</v>
      </c>
      <c r="K582" s="6" t="n">
        <v>3</v>
      </c>
      <c r="L582" s="6" t="s">
        <v>3437</v>
      </c>
      <c r="M582" s="6" t="n">
        <v>2</v>
      </c>
      <c r="N582" s="6" t="s">
        <v>3438</v>
      </c>
      <c r="O582" s="6" t="n">
        <v>2</v>
      </c>
      <c r="P582" s="6" t="s">
        <v>3439</v>
      </c>
      <c r="Q582" s="6" t="n">
        <v>2</v>
      </c>
      <c r="R582" s="6" t="s">
        <v>3440</v>
      </c>
      <c r="S582" s="6" t="n">
        <v>1</v>
      </c>
      <c r="T582" s="6" t="s">
        <v>3441</v>
      </c>
      <c r="U582" s="6" t="n">
        <v>0</v>
      </c>
    </row>
    <row r="583" customFormat="false" ht="12.8" hidden="false" customHeight="false" outlineLevel="0" collapsed="false">
      <c r="A583" s="6" t="s">
        <v>3442</v>
      </c>
      <c r="B583" s="6" t="n">
        <v>43</v>
      </c>
      <c r="C583" s="6" t="n">
        <v>15</v>
      </c>
      <c r="D583" s="12" t="n">
        <f aca="false">C583/(B583+C583)*100</f>
        <v>25.8620689655172</v>
      </c>
      <c r="E583" s="6" t="n">
        <v>6</v>
      </c>
      <c r="F583" s="6" t="s">
        <v>3443</v>
      </c>
      <c r="G583" s="6" t="n">
        <v>12</v>
      </c>
      <c r="H583" s="6" t="s">
        <v>3444</v>
      </c>
      <c r="I583" s="6" t="n">
        <v>2</v>
      </c>
      <c r="J583" s="6" t="s">
        <v>3445</v>
      </c>
      <c r="K583" s="6" t="n">
        <v>1</v>
      </c>
      <c r="L583" s="6" t="s">
        <v>3446</v>
      </c>
      <c r="M583" s="6" t="n">
        <v>0</v>
      </c>
      <c r="N583" s="6" t="s">
        <v>3447</v>
      </c>
      <c r="O583" s="6" t="n">
        <v>0</v>
      </c>
      <c r="P583" s="6" t="s">
        <v>3448</v>
      </c>
      <c r="Q583" s="6" t="n">
        <v>0</v>
      </c>
    </row>
    <row r="584" customFormat="false" ht="12.8" hidden="false" customHeight="false" outlineLevel="0" collapsed="false">
      <c r="A584" s="6" t="s">
        <v>3449</v>
      </c>
      <c r="B584" s="6" t="n">
        <v>43</v>
      </c>
      <c r="C584" s="6" t="n">
        <v>7</v>
      </c>
      <c r="D584" s="12" t="n">
        <f aca="false">C584/(B584+C584)*100</f>
        <v>14</v>
      </c>
      <c r="E584" s="6" t="n">
        <v>3</v>
      </c>
      <c r="F584" s="6" t="s">
        <v>3450</v>
      </c>
      <c r="G584" s="6" t="n">
        <v>5</v>
      </c>
      <c r="H584" s="6" t="s">
        <v>3451</v>
      </c>
      <c r="I584" s="6" t="n">
        <v>1</v>
      </c>
      <c r="J584" s="6" t="s">
        <v>3452</v>
      </c>
      <c r="K584" s="6" t="n">
        <v>1</v>
      </c>
    </row>
    <row r="585" customFormat="false" ht="12.8" hidden="false" customHeight="false" outlineLevel="0" collapsed="false">
      <c r="A585" s="6" t="s">
        <v>3453</v>
      </c>
      <c r="B585" s="6" t="n">
        <v>43</v>
      </c>
      <c r="C585" s="6" t="n">
        <v>6</v>
      </c>
      <c r="D585" s="12" t="n">
        <f aca="false">C585/(B585+C585)*100</f>
        <v>12.2448979591837</v>
      </c>
      <c r="E585" s="6" t="n">
        <v>6</v>
      </c>
      <c r="F585" s="6" t="s">
        <v>3454</v>
      </c>
      <c r="G585" s="6" t="n">
        <v>2</v>
      </c>
      <c r="H585" s="6" t="s">
        <v>3455</v>
      </c>
      <c r="I585" s="6" t="n">
        <v>1</v>
      </c>
      <c r="J585" s="6" t="s">
        <v>3456</v>
      </c>
      <c r="K585" s="6" t="n">
        <v>1</v>
      </c>
      <c r="L585" s="6" t="s">
        <v>3457</v>
      </c>
      <c r="M585" s="6" t="n">
        <v>1</v>
      </c>
      <c r="N585" s="6" t="s">
        <v>3458</v>
      </c>
      <c r="O585" s="6" t="n">
        <v>1</v>
      </c>
      <c r="P585" s="6" t="s">
        <v>3459</v>
      </c>
      <c r="Q585" s="6" t="n">
        <v>0</v>
      </c>
    </row>
    <row r="586" customFormat="false" ht="12.8" hidden="false" customHeight="false" outlineLevel="0" collapsed="false">
      <c r="A586" s="6" t="s">
        <v>3460</v>
      </c>
      <c r="B586" s="6" t="n">
        <v>44</v>
      </c>
      <c r="C586" s="6" t="n">
        <v>65</v>
      </c>
      <c r="D586" s="12" t="n">
        <f aca="false">C586/(B586+C586)*100</f>
        <v>59.6330275229358</v>
      </c>
      <c r="E586" s="6" t="n">
        <v>11</v>
      </c>
      <c r="F586" s="6" t="s">
        <v>3461</v>
      </c>
      <c r="G586" s="6" t="n">
        <v>33</v>
      </c>
      <c r="H586" s="6" t="s">
        <v>3462</v>
      </c>
      <c r="I586" s="6" t="n">
        <v>7</v>
      </c>
      <c r="J586" s="6" t="s">
        <v>3463</v>
      </c>
      <c r="K586" s="6" t="n">
        <v>4</v>
      </c>
      <c r="L586" s="6" t="s">
        <v>3464</v>
      </c>
      <c r="M586" s="6" t="n">
        <v>4</v>
      </c>
      <c r="N586" s="6" t="s">
        <v>3465</v>
      </c>
      <c r="O586" s="6" t="n">
        <v>4</v>
      </c>
      <c r="P586" s="6" t="s">
        <v>3466</v>
      </c>
      <c r="Q586" s="6" t="n">
        <v>3</v>
      </c>
      <c r="R586" s="6" t="s">
        <v>3467</v>
      </c>
      <c r="S586" s="6" t="n">
        <v>3</v>
      </c>
      <c r="T586" s="6" t="s">
        <v>3468</v>
      </c>
      <c r="U586" s="6" t="n">
        <v>3</v>
      </c>
      <c r="V586" s="6" t="s">
        <v>3469</v>
      </c>
      <c r="W586" s="6" t="n">
        <v>2</v>
      </c>
      <c r="X586" s="6" t="s">
        <v>3470</v>
      </c>
      <c r="Y586" s="6" t="n">
        <v>1</v>
      </c>
      <c r="Z586" s="6" t="s">
        <v>3471</v>
      </c>
      <c r="AA586" s="6" t="n">
        <v>1</v>
      </c>
    </row>
    <row r="587" customFormat="false" ht="12.8" hidden="false" customHeight="false" outlineLevel="0" collapsed="false">
      <c r="A587" s="6" t="s">
        <v>3472</v>
      </c>
      <c r="B587" s="6" t="n">
        <v>44</v>
      </c>
      <c r="C587" s="6" t="n">
        <v>44</v>
      </c>
      <c r="D587" s="12" t="n">
        <f aca="false">C587/(B587+C587)*100</f>
        <v>50</v>
      </c>
      <c r="E587" s="6" t="n">
        <v>10</v>
      </c>
      <c r="F587" s="6" t="s">
        <v>3473</v>
      </c>
      <c r="G587" s="6" t="n">
        <v>18</v>
      </c>
      <c r="H587" s="6" t="s">
        <v>3474</v>
      </c>
      <c r="I587" s="6" t="n">
        <v>16</v>
      </c>
      <c r="J587" s="6" t="s">
        <v>3475</v>
      </c>
      <c r="K587" s="6" t="n">
        <v>4</v>
      </c>
      <c r="L587" s="6" t="s">
        <v>3476</v>
      </c>
      <c r="M587" s="6" t="n">
        <v>3</v>
      </c>
      <c r="N587" s="6" t="s">
        <v>3477</v>
      </c>
      <c r="O587" s="6" t="n">
        <v>1</v>
      </c>
      <c r="P587" s="6" t="s">
        <v>3478</v>
      </c>
      <c r="Q587" s="6" t="n">
        <v>1</v>
      </c>
      <c r="R587" s="6" t="s">
        <v>3479</v>
      </c>
      <c r="S587" s="6" t="n">
        <v>1</v>
      </c>
      <c r="T587" s="6" t="s">
        <v>3480</v>
      </c>
      <c r="U587" s="6" t="n">
        <v>0</v>
      </c>
      <c r="V587" s="6" t="s">
        <v>3481</v>
      </c>
      <c r="W587" s="6" t="n">
        <v>0</v>
      </c>
      <c r="X587" s="6" t="s">
        <v>3482</v>
      </c>
      <c r="Y587" s="6" t="n">
        <v>0</v>
      </c>
    </row>
    <row r="588" customFormat="false" ht="12.8" hidden="false" customHeight="false" outlineLevel="0" collapsed="false">
      <c r="A588" s="6" t="s">
        <v>3483</v>
      </c>
      <c r="B588" s="6" t="n">
        <v>44</v>
      </c>
      <c r="C588" s="6" t="n">
        <v>4</v>
      </c>
      <c r="D588" s="12" t="n">
        <f aca="false">C588/(B588+C588)*100</f>
        <v>8.33333333333333</v>
      </c>
      <c r="E588" s="6" t="n">
        <v>4</v>
      </c>
      <c r="F588" s="6" t="s">
        <v>3484</v>
      </c>
      <c r="G588" s="6" t="n">
        <v>3</v>
      </c>
      <c r="H588" s="6" t="s">
        <v>3485</v>
      </c>
      <c r="I588" s="6" t="n">
        <v>1</v>
      </c>
      <c r="J588" s="6" t="s">
        <v>3486</v>
      </c>
      <c r="K588" s="6" t="n">
        <v>0</v>
      </c>
      <c r="L588" s="6" t="s">
        <v>3487</v>
      </c>
      <c r="M588" s="6" t="n">
        <v>0</v>
      </c>
    </row>
    <row r="589" customFormat="false" ht="12.8" hidden="false" customHeight="false" outlineLevel="0" collapsed="false">
      <c r="A589" s="6" t="s">
        <v>3488</v>
      </c>
      <c r="B589" s="6" t="n">
        <v>44</v>
      </c>
      <c r="C589" s="6" t="n">
        <v>0</v>
      </c>
      <c r="D589" s="12" t="n">
        <f aca="false">C589/(B589+C589)*100</f>
        <v>0</v>
      </c>
      <c r="E589" s="6" t="n">
        <v>1</v>
      </c>
      <c r="F589" s="6" t="s">
        <v>3489</v>
      </c>
      <c r="G589" s="6" t="n">
        <v>0</v>
      </c>
    </row>
    <row r="590" customFormat="false" ht="12.8" hidden="false" customHeight="false" outlineLevel="0" collapsed="false">
      <c r="A590" s="6" t="s">
        <v>3490</v>
      </c>
      <c r="B590" s="6" t="n">
        <v>45</v>
      </c>
      <c r="C590" s="6" t="n">
        <v>120</v>
      </c>
      <c r="D590" s="12" t="n">
        <f aca="false">C590/(B590+C590)*100</f>
        <v>72.7272727272727</v>
      </c>
      <c r="E590" s="6" t="n">
        <v>9</v>
      </c>
      <c r="F590" s="6" t="s">
        <v>3491</v>
      </c>
      <c r="G590" s="6" t="n">
        <v>87</v>
      </c>
      <c r="H590" s="6" t="s">
        <v>3492</v>
      </c>
      <c r="I590" s="6" t="n">
        <v>20</v>
      </c>
      <c r="J590" s="6" t="s">
        <v>3493</v>
      </c>
      <c r="K590" s="6" t="n">
        <v>5</v>
      </c>
      <c r="L590" s="6" t="s">
        <v>3494</v>
      </c>
      <c r="M590" s="6" t="n">
        <v>3</v>
      </c>
      <c r="N590" s="6" t="s">
        <v>3495</v>
      </c>
      <c r="O590" s="6" t="n">
        <v>2</v>
      </c>
      <c r="P590" s="6" t="s">
        <v>3496</v>
      </c>
      <c r="Q590" s="6" t="n">
        <v>1</v>
      </c>
      <c r="R590" s="6" t="s">
        <v>3497</v>
      </c>
      <c r="S590" s="6" t="n">
        <v>1</v>
      </c>
      <c r="T590" s="6" t="s">
        <v>3498</v>
      </c>
      <c r="U590" s="6" t="n">
        <v>1</v>
      </c>
      <c r="V590" s="6" t="s">
        <v>3499</v>
      </c>
      <c r="W590" s="6" t="n">
        <v>0</v>
      </c>
    </row>
    <row r="591" customFormat="false" ht="12.8" hidden="false" customHeight="false" outlineLevel="0" collapsed="false">
      <c r="A591" s="6" t="s">
        <v>3500</v>
      </c>
      <c r="B591" s="6" t="n">
        <v>45</v>
      </c>
      <c r="C591" s="6" t="n">
        <v>58</v>
      </c>
      <c r="D591" s="12" t="n">
        <f aca="false">C591/(B591+C591)*100</f>
        <v>56.3106796116505</v>
      </c>
      <c r="E591" s="6" t="n">
        <v>7</v>
      </c>
      <c r="F591" s="6" t="s">
        <v>3501</v>
      </c>
      <c r="G591" s="6" t="n">
        <v>23</v>
      </c>
      <c r="H591" s="6" t="s">
        <v>3502</v>
      </c>
      <c r="I591" s="6" t="n">
        <v>12</v>
      </c>
      <c r="J591" s="6" t="s">
        <v>3503</v>
      </c>
      <c r="K591" s="6" t="n">
        <v>9</v>
      </c>
      <c r="L591" s="6" t="s">
        <v>3504</v>
      </c>
      <c r="M591" s="6" t="n">
        <v>8</v>
      </c>
      <c r="N591" s="6" t="s">
        <v>3505</v>
      </c>
      <c r="O591" s="6" t="n">
        <v>3</v>
      </c>
      <c r="P591" s="6" t="s">
        <v>3506</v>
      </c>
      <c r="Q591" s="6" t="n">
        <v>3</v>
      </c>
      <c r="R591" s="6" t="s">
        <v>3507</v>
      </c>
      <c r="S591" s="6" t="n">
        <v>0</v>
      </c>
    </row>
    <row r="592" customFormat="false" ht="12.8" hidden="false" customHeight="false" outlineLevel="0" collapsed="false">
      <c r="A592" s="6" t="s">
        <v>3508</v>
      </c>
      <c r="B592" s="6" t="n">
        <v>45</v>
      </c>
      <c r="C592" s="6" t="n">
        <v>27</v>
      </c>
      <c r="D592" s="12" t="n">
        <f aca="false">C592/(B592+C592)*100</f>
        <v>37.5</v>
      </c>
      <c r="E592" s="6" t="n">
        <v>6</v>
      </c>
      <c r="F592" s="6" t="s">
        <v>3509</v>
      </c>
      <c r="G592" s="6" t="n">
        <v>12</v>
      </c>
      <c r="H592" s="6" t="s">
        <v>3510</v>
      </c>
      <c r="I592" s="6" t="n">
        <v>9</v>
      </c>
      <c r="J592" s="6" t="s">
        <v>3511</v>
      </c>
      <c r="K592" s="6" t="n">
        <v>3</v>
      </c>
      <c r="L592" s="6" t="s">
        <v>3512</v>
      </c>
      <c r="M592" s="6" t="n">
        <v>2</v>
      </c>
      <c r="N592" s="6" t="s">
        <v>3513</v>
      </c>
      <c r="O592" s="6" t="n">
        <v>1</v>
      </c>
      <c r="P592" s="6" t="s">
        <v>3514</v>
      </c>
      <c r="Q592" s="6" t="n">
        <v>0</v>
      </c>
    </row>
    <row r="593" customFormat="false" ht="12.8" hidden="false" customHeight="false" outlineLevel="0" collapsed="false">
      <c r="A593" s="6" t="s">
        <v>3515</v>
      </c>
      <c r="B593" s="6" t="n">
        <v>45</v>
      </c>
      <c r="C593" s="6" t="n">
        <v>16</v>
      </c>
      <c r="D593" s="12" t="n">
        <f aca="false">C593/(B593+C593)*100</f>
        <v>26.2295081967213</v>
      </c>
      <c r="E593" s="6" t="n">
        <v>5</v>
      </c>
      <c r="F593" s="6" t="s">
        <v>3516</v>
      </c>
      <c r="G593" s="6" t="n">
        <v>8</v>
      </c>
      <c r="H593" s="6" t="s">
        <v>3517</v>
      </c>
      <c r="I593" s="6" t="n">
        <v>4</v>
      </c>
      <c r="J593" s="6" t="s">
        <v>3518</v>
      </c>
      <c r="K593" s="6" t="n">
        <v>3</v>
      </c>
      <c r="L593" s="6" t="s">
        <v>3519</v>
      </c>
      <c r="M593" s="6" t="n">
        <v>1</v>
      </c>
      <c r="N593" s="6" t="s">
        <v>3520</v>
      </c>
      <c r="O593" s="6" t="n">
        <v>0</v>
      </c>
    </row>
    <row r="594" customFormat="false" ht="12.8" hidden="false" customHeight="false" outlineLevel="0" collapsed="false">
      <c r="A594" s="6" t="s">
        <v>3521</v>
      </c>
      <c r="B594" s="6" t="n">
        <v>45</v>
      </c>
      <c r="C594" s="6" t="n">
        <v>1</v>
      </c>
      <c r="D594" s="12" t="n">
        <f aca="false">C594/(B594+C594)*100</f>
        <v>2.17391304347826</v>
      </c>
      <c r="E594" s="6" t="n">
        <v>1</v>
      </c>
      <c r="F594" s="6" t="s">
        <v>3522</v>
      </c>
      <c r="G594" s="6" t="n">
        <v>1</v>
      </c>
    </row>
    <row r="595" customFormat="false" ht="12.8" hidden="false" customHeight="false" outlineLevel="0" collapsed="false">
      <c r="A595" s="6" t="s">
        <v>3523</v>
      </c>
      <c r="B595" s="6" t="n">
        <v>46</v>
      </c>
      <c r="C595" s="6" t="n">
        <v>1308</v>
      </c>
      <c r="D595" s="12" t="n">
        <f aca="false">C595/(B595+C595)*100</f>
        <v>96.602658788774</v>
      </c>
      <c r="E595" s="6" t="n">
        <v>19</v>
      </c>
      <c r="F595" s="6" t="s">
        <v>3524</v>
      </c>
      <c r="G595" s="6" t="n">
        <v>815</v>
      </c>
      <c r="H595" s="6" t="s">
        <v>3525</v>
      </c>
      <c r="I595" s="6" t="n">
        <v>250</v>
      </c>
      <c r="J595" s="6" t="s">
        <v>3526</v>
      </c>
      <c r="K595" s="6" t="n">
        <v>82</v>
      </c>
      <c r="L595" s="6" t="s">
        <v>3527</v>
      </c>
      <c r="M595" s="6" t="n">
        <v>48</v>
      </c>
      <c r="N595" s="6" t="s">
        <v>3528</v>
      </c>
      <c r="O595" s="6" t="n">
        <v>36</v>
      </c>
      <c r="P595" s="6" t="s">
        <v>3529</v>
      </c>
      <c r="Q595" s="6" t="n">
        <v>35</v>
      </c>
      <c r="R595" s="6" t="s">
        <v>3530</v>
      </c>
      <c r="S595" s="6" t="n">
        <v>9</v>
      </c>
      <c r="T595" s="6" t="s">
        <v>3531</v>
      </c>
      <c r="U595" s="6" t="n">
        <v>8</v>
      </c>
      <c r="V595" s="6" t="s">
        <v>3532</v>
      </c>
      <c r="W595" s="6" t="n">
        <v>8</v>
      </c>
      <c r="X595" s="6" t="s">
        <v>3533</v>
      </c>
      <c r="Y595" s="6" t="n">
        <v>6</v>
      </c>
      <c r="Z595" s="6" t="s">
        <v>3534</v>
      </c>
      <c r="AA595" s="6" t="n">
        <v>3</v>
      </c>
      <c r="AB595" s="6" t="s">
        <v>3535</v>
      </c>
      <c r="AC595" s="6" t="n">
        <v>2</v>
      </c>
      <c r="AD595" s="6" t="s">
        <v>3536</v>
      </c>
      <c r="AE595" s="6" t="n">
        <v>2</v>
      </c>
      <c r="AF595" s="6" t="s">
        <v>3537</v>
      </c>
      <c r="AG595" s="6" t="n">
        <v>1</v>
      </c>
      <c r="AH595" s="6" t="s">
        <v>3538</v>
      </c>
      <c r="AI595" s="6" t="n">
        <v>1</v>
      </c>
      <c r="AJ595" s="6" t="s">
        <v>3539</v>
      </c>
      <c r="AK595" s="6" t="n">
        <v>1</v>
      </c>
      <c r="AL595" s="6" t="s">
        <v>3540</v>
      </c>
      <c r="AM595" s="6" t="n">
        <v>1</v>
      </c>
      <c r="AN595" s="6" t="s">
        <v>3541</v>
      </c>
      <c r="AO595" s="6" t="n">
        <v>0</v>
      </c>
      <c r="AP595" s="6" t="s">
        <v>3542</v>
      </c>
      <c r="AQ595" s="6" t="n">
        <v>0</v>
      </c>
    </row>
    <row r="596" customFormat="false" ht="12.8" hidden="false" customHeight="false" outlineLevel="0" collapsed="false">
      <c r="A596" s="6" t="s">
        <v>3543</v>
      </c>
      <c r="B596" s="6" t="n">
        <v>46</v>
      </c>
      <c r="C596" s="6" t="n">
        <v>41</v>
      </c>
      <c r="D596" s="12" t="n">
        <f aca="false">C596/(B596+C596)*100</f>
        <v>47.1264367816092</v>
      </c>
      <c r="E596" s="6" t="n">
        <v>6</v>
      </c>
      <c r="F596" s="6" t="s">
        <v>3544</v>
      </c>
      <c r="G596" s="6" t="n">
        <v>17</v>
      </c>
      <c r="H596" s="6" t="s">
        <v>3545</v>
      </c>
      <c r="I596" s="6" t="n">
        <v>16</v>
      </c>
      <c r="J596" s="6" t="s">
        <v>3546</v>
      </c>
      <c r="K596" s="6" t="n">
        <v>6</v>
      </c>
      <c r="L596" s="6" t="s">
        <v>3547</v>
      </c>
      <c r="M596" s="6" t="n">
        <v>1</v>
      </c>
      <c r="N596" s="6" t="s">
        <v>3548</v>
      </c>
      <c r="O596" s="6" t="n">
        <v>1</v>
      </c>
      <c r="P596" s="6" t="s">
        <v>3549</v>
      </c>
      <c r="Q596" s="6" t="n">
        <v>0</v>
      </c>
    </row>
    <row r="597" customFormat="false" ht="12.8" hidden="false" customHeight="false" outlineLevel="0" collapsed="false">
      <c r="A597" s="6" t="s">
        <v>3550</v>
      </c>
      <c r="B597" s="6" t="n">
        <v>46</v>
      </c>
      <c r="C597" s="6" t="n">
        <v>20</v>
      </c>
      <c r="D597" s="12" t="n">
        <f aca="false">C597/(B597+C597)*100</f>
        <v>30.3030303030303</v>
      </c>
      <c r="E597" s="6" t="n">
        <v>6</v>
      </c>
      <c r="F597" s="6" t="s">
        <v>3551</v>
      </c>
      <c r="G597" s="6" t="n">
        <v>14</v>
      </c>
      <c r="H597" s="6" t="s">
        <v>3552</v>
      </c>
      <c r="I597" s="6" t="n">
        <v>2</v>
      </c>
      <c r="J597" s="6" t="s">
        <v>3553</v>
      </c>
      <c r="K597" s="6" t="n">
        <v>1</v>
      </c>
      <c r="L597" s="6" t="s">
        <v>3554</v>
      </c>
      <c r="M597" s="6" t="n">
        <v>1</v>
      </c>
      <c r="N597" s="6" t="s">
        <v>3555</v>
      </c>
      <c r="O597" s="6" t="n">
        <v>1</v>
      </c>
      <c r="P597" s="6" t="s">
        <v>3556</v>
      </c>
      <c r="Q597" s="6" t="n">
        <v>1</v>
      </c>
    </row>
    <row r="598" customFormat="false" ht="12.8" hidden="false" customHeight="false" outlineLevel="0" collapsed="false">
      <c r="A598" s="6" t="s">
        <v>3557</v>
      </c>
      <c r="B598" s="6" t="n">
        <v>46</v>
      </c>
      <c r="C598" s="6" t="n">
        <v>0</v>
      </c>
      <c r="D598" s="12" t="n">
        <f aca="false">C598/(B598+C598)*100</f>
        <v>0</v>
      </c>
      <c r="E598" s="6" t="n">
        <v>1</v>
      </c>
      <c r="F598" s="6" t="s">
        <v>3558</v>
      </c>
      <c r="G598" s="6" t="n">
        <v>0</v>
      </c>
    </row>
    <row r="599" customFormat="false" ht="12.8" hidden="false" customHeight="false" outlineLevel="0" collapsed="false">
      <c r="A599" s="6" t="s">
        <v>3559</v>
      </c>
      <c r="B599" s="6" t="n">
        <v>47</v>
      </c>
      <c r="C599" s="6" t="n">
        <v>10</v>
      </c>
      <c r="D599" s="12" t="n">
        <f aca="false">C599/(B599+C599)*100</f>
        <v>17.5438596491228</v>
      </c>
      <c r="E599" s="6" t="n">
        <v>3</v>
      </c>
      <c r="F599" s="6" t="s">
        <v>3560</v>
      </c>
      <c r="G599" s="6" t="n">
        <v>8</v>
      </c>
      <c r="H599" s="6" t="s">
        <v>3561</v>
      </c>
      <c r="I599" s="6" t="n">
        <v>1</v>
      </c>
      <c r="J599" s="6" t="s">
        <v>3562</v>
      </c>
      <c r="K599" s="6" t="n">
        <v>1</v>
      </c>
    </row>
    <row r="600" customFormat="false" ht="12.8" hidden="false" customHeight="false" outlineLevel="0" collapsed="false">
      <c r="A600" s="6" t="s">
        <v>3563</v>
      </c>
      <c r="B600" s="6" t="n">
        <v>47</v>
      </c>
      <c r="C600" s="6" t="n">
        <v>3</v>
      </c>
      <c r="D600" s="12" t="n">
        <f aca="false">C600/(B600+C600)*100</f>
        <v>6</v>
      </c>
      <c r="E600" s="6" t="n">
        <v>7</v>
      </c>
      <c r="F600" s="6" t="s">
        <v>3564</v>
      </c>
      <c r="G600" s="6" t="n">
        <v>3</v>
      </c>
      <c r="H600" s="6" t="s">
        <v>3565</v>
      </c>
      <c r="I600" s="6" t="n">
        <v>0</v>
      </c>
      <c r="J600" s="6" t="s">
        <v>3566</v>
      </c>
      <c r="K600" s="6" t="n">
        <v>0</v>
      </c>
      <c r="L600" s="6" t="s">
        <v>3567</v>
      </c>
      <c r="M600" s="6" t="n">
        <v>0</v>
      </c>
      <c r="N600" s="6" t="s">
        <v>3568</v>
      </c>
      <c r="O600" s="6" t="n">
        <v>0</v>
      </c>
      <c r="P600" s="6" t="s">
        <v>3569</v>
      </c>
      <c r="Q600" s="6" t="n">
        <v>0</v>
      </c>
      <c r="R600" s="6" t="s">
        <v>3570</v>
      </c>
      <c r="S600" s="6" t="n">
        <v>0</v>
      </c>
    </row>
    <row r="601" customFormat="false" ht="12.8" hidden="false" customHeight="false" outlineLevel="0" collapsed="false">
      <c r="A601" s="6" t="s">
        <v>3571</v>
      </c>
      <c r="B601" s="6" t="n">
        <v>48</v>
      </c>
      <c r="C601" s="6" t="n">
        <v>15</v>
      </c>
      <c r="D601" s="12" t="n">
        <f aca="false">C601/(B601+C601)*100</f>
        <v>23.8095238095238</v>
      </c>
      <c r="E601" s="6" t="n">
        <v>2</v>
      </c>
      <c r="F601" s="6" t="s">
        <v>3572</v>
      </c>
      <c r="G601" s="6" t="n">
        <v>14</v>
      </c>
      <c r="H601" s="6" t="s">
        <v>3573</v>
      </c>
      <c r="I601" s="6" t="n">
        <v>1</v>
      </c>
    </row>
    <row r="602" customFormat="false" ht="12.8" hidden="false" customHeight="false" outlineLevel="0" collapsed="false">
      <c r="A602" s="6" t="s">
        <v>3574</v>
      </c>
      <c r="B602" s="6" t="n">
        <v>48</v>
      </c>
      <c r="C602" s="6" t="n">
        <v>11</v>
      </c>
      <c r="D602" s="12" t="n">
        <f aca="false">C602/(B602+C602)*100</f>
        <v>18.6440677966102</v>
      </c>
      <c r="E602" s="6" t="n">
        <v>4</v>
      </c>
      <c r="F602" s="6" t="s">
        <v>3575</v>
      </c>
      <c r="G602" s="6" t="n">
        <v>7</v>
      </c>
      <c r="H602" s="6" t="s">
        <v>3576</v>
      </c>
      <c r="I602" s="6" t="n">
        <v>2</v>
      </c>
      <c r="J602" s="6" t="s">
        <v>3577</v>
      </c>
      <c r="K602" s="6" t="n">
        <v>2</v>
      </c>
      <c r="L602" s="6" t="s">
        <v>3578</v>
      </c>
      <c r="M602" s="6" t="n">
        <v>0</v>
      </c>
    </row>
    <row r="603" customFormat="false" ht="12.8" hidden="false" customHeight="false" outlineLevel="0" collapsed="false">
      <c r="A603" s="6" t="s">
        <v>3579</v>
      </c>
      <c r="B603" s="6" t="n">
        <v>48</v>
      </c>
      <c r="C603" s="6" t="n">
        <v>2</v>
      </c>
      <c r="D603" s="12" t="n">
        <f aca="false">C603/(B603+C603)*100</f>
        <v>4</v>
      </c>
      <c r="E603" s="6" t="n">
        <v>1</v>
      </c>
      <c r="F603" s="6" t="s">
        <v>3580</v>
      </c>
      <c r="G603" s="6" t="n">
        <v>2</v>
      </c>
    </row>
    <row r="604" customFormat="false" ht="12.8" hidden="false" customHeight="false" outlineLevel="0" collapsed="false">
      <c r="A604" s="6" t="s">
        <v>526</v>
      </c>
      <c r="B604" s="6" t="n">
        <v>49</v>
      </c>
      <c r="C604" s="6" t="n">
        <v>515</v>
      </c>
      <c r="D604" s="12" t="n">
        <f aca="false">C604/(B604+C604)*100</f>
        <v>91.3120567375887</v>
      </c>
      <c r="E604" s="6" t="n">
        <v>19</v>
      </c>
      <c r="F604" s="6" t="s">
        <v>3581</v>
      </c>
      <c r="G604" s="6" t="n">
        <v>294</v>
      </c>
      <c r="H604" s="6" t="s">
        <v>3582</v>
      </c>
      <c r="I604" s="6" t="n">
        <v>66</v>
      </c>
      <c r="J604" s="6" t="s">
        <v>3583</v>
      </c>
      <c r="K604" s="6" t="n">
        <v>59</v>
      </c>
      <c r="L604" s="6" t="s">
        <v>3584</v>
      </c>
      <c r="M604" s="6" t="n">
        <v>38</v>
      </c>
      <c r="N604" s="6" t="s">
        <v>3585</v>
      </c>
      <c r="O604" s="6" t="n">
        <v>19</v>
      </c>
      <c r="P604" s="6" t="s">
        <v>3586</v>
      </c>
      <c r="Q604" s="6" t="n">
        <v>15</v>
      </c>
      <c r="R604" s="6" t="s">
        <v>3587</v>
      </c>
      <c r="S604" s="6" t="n">
        <v>9</v>
      </c>
      <c r="T604" s="6" t="s">
        <v>3588</v>
      </c>
      <c r="U604" s="6" t="n">
        <v>3</v>
      </c>
      <c r="V604" s="6" t="s">
        <v>3589</v>
      </c>
      <c r="W604" s="6" t="n">
        <v>2</v>
      </c>
      <c r="X604" s="6" t="s">
        <v>3590</v>
      </c>
      <c r="Y604" s="6" t="n">
        <v>2</v>
      </c>
      <c r="Z604" s="6" t="s">
        <v>2623</v>
      </c>
      <c r="AA604" s="6" t="n">
        <v>2</v>
      </c>
      <c r="AB604" s="6" t="s">
        <v>3591</v>
      </c>
      <c r="AC604" s="6" t="n">
        <v>2</v>
      </c>
      <c r="AD604" s="6" t="s">
        <v>3592</v>
      </c>
      <c r="AE604" s="6" t="n">
        <v>1</v>
      </c>
      <c r="AF604" s="6" t="s">
        <v>3592</v>
      </c>
      <c r="AG604" s="6" t="n">
        <v>1</v>
      </c>
      <c r="AH604" s="6" t="s">
        <v>3593</v>
      </c>
      <c r="AI604" s="6" t="n">
        <v>1</v>
      </c>
      <c r="AJ604" s="6" t="s">
        <v>3594</v>
      </c>
      <c r="AK604" s="6" t="n">
        <v>1</v>
      </c>
      <c r="AL604" s="6" t="s">
        <v>3595</v>
      </c>
      <c r="AM604" s="6" t="n">
        <v>0</v>
      </c>
      <c r="AN604" s="6" t="s">
        <v>3596</v>
      </c>
      <c r="AO604" s="6" t="n">
        <v>0</v>
      </c>
      <c r="AP604" s="6" t="s">
        <v>3597</v>
      </c>
      <c r="AQ604" s="6" t="n">
        <v>0</v>
      </c>
    </row>
    <row r="605" customFormat="false" ht="12.8" hidden="false" customHeight="false" outlineLevel="0" collapsed="false">
      <c r="A605" s="6" t="s">
        <v>3598</v>
      </c>
      <c r="B605" s="6" t="n">
        <v>49</v>
      </c>
      <c r="C605" s="6" t="n">
        <v>30</v>
      </c>
      <c r="D605" s="12" t="n">
        <f aca="false">C605/(B605+C605)*100</f>
        <v>37.9746835443038</v>
      </c>
      <c r="E605" s="6" t="n">
        <v>4</v>
      </c>
      <c r="F605" s="6" t="s">
        <v>3599</v>
      </c>
      <c r="G605" s="6" t="n">
        <v>14</v>
      </c>
      <c r="H605" s="6" t="s">
        <v>3600</v>
      </c>
      <c r="I605" s="6" t="n">
        <v>8</v>
      </c>
      <c r="J605" s="6" t="s">
        <v>3601</v>
      </c>
      <c r="K605" s="6" t="n">
        <v>7</v>
      </c>
      <c r="L605" s="6" t="s">
        <v>3602</v>
      </c>
      <c r="M605" s="6" t="n">
        <v>1</v>
      </c>
    </row>
    <row r="606" customFormat="false" ht="12.8" hidden="false" customHeight="false" outlineLevel="0" collapsed="false">
      <c r="A606" s="6" t="s">
        <v>3603</v>
      </c>
      <c r="B606" s="6" t="n">
        <v>49</v>
      </c>
      <c r="C606" s="6" t="n">
        <v>20</v>
      </c>
      <c r="D606" s="12" t="n">
        <f aca="false">C606/(B606+C606)*100</f>
        <v>28.9855072463768</v>
      </c>
      <c r="E606" s="6" t="n">
        <v>5</v>
      </c>
      <c r="F606" s="6" t="s">
        <v>3604</v>
      </c>
      <c r="G606" s="6" t="n">
        <v>8</v>
      </c>
      <c r="H606" s="6" t="s">
        <v>3605</v>
      </c>
      <c r="I606" s="6" t="n">
        <v>4</v>
      </c>
      <c r="J606" s="6" t="s">
        <v>3606</v>
      </c>
      <c r="K606" s="6" t="n">
        <v>4</v>
      </c>
      <c r="L606" s="6" t="s">
        <v>3607</v>
      </c>
      <c r="M606" s="6" t="n">
        <v>2</v>
      </c>
      <c r="N606" s="6" t="s">
        <v>3608</v>
      </c>
      <c r="O606" s="6" t="n">
        <v>2</v>
      </c>
    </row>
    <row r="607" customFormat="false" ht="12.8" hidden="false" customHeight="false" outlineLevel="0" collapsed="false">
      <c r="A607" s="6" t="s">
        <v>3609</v>
      </c>
      <c r="B607" s="6" t="n">
        <v>49</v>
      </c>
      <c r="C607" s="6" t="n">
        <v>6</v>
      </c>
      <c r="D607" s="12" t="n">
        <f aca="false">C607/(B607+C607)*100</f>
        <v>10.9090909090909</v>
      </c>
      <c r="E607" s="6" t="n">
        <v>4</v>
      </c>
      <c r="F607" s="6" t="s">
        <v>3610</v>
      </c>
      <c r="G607" s="6" t="n">
        <v>3</v>
      </c>
      <c r="H607" s="6" t="s">
        <v>3611</v>
      </c>
      <c r="I607" s="6" t="n">
        <v>1</v>
      </c>
      <c r="J607" s="6" t="s">
        <v>3612</v>
      </c>
      <c r="K607" s="6" t="n">
        <v>1</v>
      </c>
      <c r="L607" s="6" t="s">
        <v>3613</v>
      </c>
      <c r="M607" s="6" t="n">
        <v>1</v>
      </c>
    </row>
    <row r="608" customFormat="false" ht="12.8" hidden="false" customHeight="false" outlineLevel="0" collapsed="false">
      <c r="A608" s="6" t="s">
        <v>3614</v>
      </c>
      <c r="B608" s="6" t="n">
        <v>50</v>
      </c>
      <c r="C608" s="6" t="n">
        <v>48</v>
      </c>
      <c r="D608" s="12" t="n">
        <f aca="false">C608/(B608+C608)*100</f>
        <v>48.9795918367347</v>
      </c>
      <c r="E608" s="6" t="n">
        <v>5</v>
      </c>
      <c r="F608" s="6" t="s">
        <v>3615</v>
      </c>
      <c r="G608" s="6" t="n">
        <v>39</v>
      </c>
      <c r="H608" s="6" t="s">
        <v>3616</v>
      </c>
      <c r="I608" s="6" t="n">
        <v>4</v>
      </c>
      <c r="J608" s="6" t="s">
        <v>3617</v>
      </c>
      <c r="K608" s="6" t="n">
        <v>3</v>
      </c>
      <c r="L608" s="6" t="s">
        <v>3618</v>
      </c>
      <c r="M608" s="6" t="n">
        <v>1</v>
      </c>
      <c r="N608" s="6" t="s">
        <v>3619</v>
      </c>
      <c r="O608" s="6" t="n">
        <v>1</v>
      </c>
    </row>
    <row r="609" customFormat="false" ht="12.8" hidden="false" customHeight="false" outlineLevel="0" collapsed="false">
      <c r="A609" s="6" t="s">
        <v>3620</v>
      </c>
      <c r="B609" s="6" t="n">
        <v>50</v>
      </c>
      <c r="C609" s="6" t="n">
        <v>20</v>
      </c>
      <c r="D609" s="12" t="n">
        <f aca="false">C609/(B609+C609)*100</f>
        <v>28.5714285714286</v>
      </c>
      <c r="E609" s="6" t="n">
        <v>4</v>
      </c>
      <c r="F609" s="6" t="s">
        <v>3621</v>
      </c>
      <c r="G609" s="6" t="n">
        <v>13</v>
      </c>
      <c r="H609" s="6" t="s">
        <v>3622</v>
      </c>
      <c r="I609" s="6" t="n">
        <v>5</v>
      </c>
      <c r="J609" s="6" t="s">
        <v>3623</v>
      </c>
      <c r="K609" s="6" t="n">
        <v>1</v>
      </c>
      <c r="L609" s="6" t="s">
        <v>3624</v>
      </c>
      <c r="M609" s="6" t="n">
        <v>1</v>
      </c>
    </row>
    <row r="610" customFormat="false" ht="12.8" hidden="false" customHeight="false" outlineLevel="0" collapsed="false">
      <c r="A610" s="6" t="s">
        <v>3625</v>
      </c>
      <c r="B610" s="6" t="n">
        <v>50</v>
      </c>
      <c r="C610" s="6" t="n">
        <v>17</v>
      </c>
      <c r="D610" s="12" t="n">
        <f aca="false">C610/(B610+C610)*100</f>
        <v>25.3731343283582</v>
      </c>
      <c r="E610" s="6" t="n">
        <v>3</v>
      </c>
      <c r="F610" s="6" t="s">
        <v>3626</v>
      </c>
      <c r="G610" s="6" t="n">
        <v>14</v>
      </c>
      <c r="H610" s="6" t="s">
        <v>3627</v>
      </c>
      <c r="I610" s="6" t="n">
        <v>2</v>
      </c>
      <c r="J610" s="6" t="s">
        <v>3628</v>
      </c>
      <c r="K610" s="6" t="n">
        <v>1</v>
      </c>
    </row>
    <row r="611" customFormat="false" ht="12.8" hidden="false" customHeight="false" outlineLevel="0" collapsed="false">
      <c r="A611" s="6" t="s">
        <v>3629</v>
      </c>
      <c r="B611" s="6" t="n">
        <v>50</v>
      </c>
      <c r="C611" s="6" t="n">
        <v>13</v>
      </c>
      <c r="D611" s="12" t="n">
        <f aca="false">C611/(B611+C611)*100</f>
        <v>20.6349206349206</v>
      </c>
      <c r="E611" s="6" t="n">
        <v>5</v>
      </c>
      <c r="F611" s="6" t="s">
        <v>3630</v>
      </c>
      <c r="G611" s="6" t="n">
        <v>7</v>
      </c>
      <c r="H611" s="6" t="s">
        <v>3631</v>
      </c>
      <c r="I611" s="6" t="n">
        <v>2</v>
      </c>
      <c r="J611" s="6" t="s">
        <v>3632</v>
      </c>
      <c r="K611" s="6" t="n">
        <v>2</v>
      </c>
      <c r="L611" s="6" t="s">
        <v>3633</v>
      </c>
      <c r="M611" s="6" t="n">
        <v>1</v>
      </c>
      <c r="N611" s="6" t="s">
        <v>3634</v>
      </c>
      <c r="O611" s="6" t="n">
        <v>1</v>
      </c>
    </row>
    <row r="612" customFormat="false" ht="12.8" hidden="false" customHeight="false" outlineLevel="0" collapsed="false">
      <c r="A612" s="6" t="s">
        <v>3635</v>
      </c>
      <c r="B612" s="6" t="n">
        <v>50</v>
      </c>
      <c r="C612" s="6" t="n">
        <v>10</v>
      </c>
      <c r="D612" s="12" t="n">
        <f aca="false">C612/(B612+C612)*100</f>
        <v>16.6666666666667</v>
      </c>
      <c r="E612" s="6" t="n">
        <v>5</v>
      </c>
      <c r="F612" s="6" t="s">
        <v>3636</v>
      </c>
      <c r="G612" s="6" t="n">
        <v>6</v>
      </c>
      <c r="H612" s="6" t="s">
        <v>3637</v>
      </c>
      <c r="I612" s="6" t="n">
        <v>1</v>
      </c>
      <c r="J612" s="6" t="s">
        <v>3638</v>
      </c>
      <c r="K612" s="6" t="n">
        <v>1</v>
      </c>
      <c r="L612" s="6" t="s">
        <v>3639</v>
      </c>
      <c r="M612" s="6" t="n">
        <v>1</v>
      </c>
      <c r="N612" s="6" t="s">
        <v>3640</v>
      </c>
      <c r="O612" s="6" t="n">
        <v>1</v>
      </c>
    </row>
    <row r="613" customFormat="false" ht="12.8" hidden="false" customHeight="false" outlineLevel="0" collapsed="false">
      <c r="A613" s="6" t="s">
        <v>3641</v>
      </c>
      <c r="B613" s="6" t="n">
        <v>50</v>
      </c>
      <c r="C613" s="6" t="n">
        <v>3</v>
      </c>
      <c r="D613" s="12" t="n">
        <f aca="false">C613/(B613+C613)*100</f>
        <v>5.66037735849057</v>
      </c>
      <c r="E613" s="6" t="n">
        <v>2</v>
      </c>
      <c r="F613" s="6" t="s">
        <v>3642</v>
      </c>
      <c r="G613" s="6" t="n">
        <v>2</v>
      </c>
      <c r="H613" s="6" t="s">
        <v>3643</v>
      </c>
      <c r="I613" s="6" t="n">
        <v>1</v>
      </c>
    </row>
    <row r="614" customFormat="false" ht="12.8" hidden="false" customHeight="false" outlineLevel="0" collapsed="false">
      <c r="A614" s="6" t="s">
        <v>3644</v>
      </c>
      <c r="B614" s="6" t="n">
        <v>51</v>
      </c>
      <c r="C614" s="6" t="n">
        <v>9</v>
      </c>
      <c r="D614" s="12" t="n">
        <f aca="false">C614/(B614+C614)*100</f>
        <v>15</v>
      </c>
      <c r="E614" s="6" t="n">
        <v>4</v>
      </c>
      <c r="F614" s="6" t="s">
        <v>3645</v>
      </c>
      <c r="G614" s="6" t="n">
        <v>4</v>
      </c>
      <c r="H614" s="6" t="s">
        <v>3646</v>
      </c>
      <c r="I614" s="6" t="n">
        <v>2</v>
      </c>
      <c r="J614" s="6" t="s">
        <v>3647</v>
      </c>
      <c r="K614" s="6" t="n">
        <v>2</v>
      </c>
      <c r="L614" s="6" t="s">
        <v>3648</v>
      </c>
      <c r="M614" s="6" t="n">
        <v>1</v>
      </c>
    </row>
    <row r="615" customFormat="false" ht="12.8" hidden="false" customHeight="false" outlineLevel="0" collapsed="false">
      <c r="A615" s="6" t="s">
        <v>3649</v>
      </c>
      <c r="B615" s="6" t="n">
        <v>51</v>
      </c>
      <c r="C615" s="6" t="n">
        <v>1</v>
      </c>
      <c r="D615" s="12" t="n">
        <f aca="false">C615/(B615+C615)*100</f>
        <v>1.92307692307692</v>
      </c>
      <c r="E615" s="6" t="n">
        <v>1</v>
      </c>
      <c r="F615" s="6" t="s">
        <v>3650</v>
      </c>
      <c r="G615" s="6" t="n">
        <v>1</v>
      </c>
    </row>
    <row r="616" customFormat="false" ht="12.8" hidden="false" customHeight="false" outlineLevel="0" collapsed="false">
      <c r="A616" s="6" t="s">
        <v>3651</v>
      </c>
      <c r="B616" s="6" t="n">
        <v>51</v>
      </c>
      <c r="C616" s="6" t="n">
        <v>1</v>
      </c>
      <c r="D616" s="12" t="n">
        <f aca="false">C616/(B616+C616)*100</f>
        <v>1.92307692307692</v>
      </c>
      <c r="E616" s="6" t="n">
        <v>1</v>
      </c>
      <c r="F616" s="6" t="s">
        <v>3652</v>
      </c>
      <c r="G616" s="6" t="n">
        <v>1</v>
      </c>
    </row>
    <row r="617" customFormat="false" ht="12.8" hidden="false" customHeight="false" outlineLevel="0" collapsed="false">
      <c r="A617" s="6" t="s">
        <v>3653</v>
      </c>
      <c r="B617" s="6" t="n">
        <v>52</v>
      </c>
      <c r="C617" s="6" t="n">
        <v>63</v>
      </c>
      <c r="D617" s="12" t="n">
        <f aca="false">C617/(B617+C617)*100</f>
        <v>54.7826086956522</v>
      </c>
      <c r="E617" s="6" t="n">
        <v>4</v>
      </c>
      <c r="F617" s="6" t="s">
        <v>3654</v>
      </c>
      <c r="G617" s="6" t="n">
        <v>55</v>
      </c>
      <c r="H617" s="6" t="s">
        <v>3655</v>
      </c>
      <c r="I617" s="6" t="n">
        <v>5</v>
      </c>
      <c r="J617" s="6" t="s">
        <v>3656</v>
      </c>
      <c r="K617" s="6" t="n">
        <v>3</v>
      </c>
      <c r="L617" s="6" t="s">
        <v>3657</v>
      </c>
      <c r="M617" s="6" t="n">
        <v>0</v>
      </c>
    </row>
    <row r="618" customFormat="false" ht="12.8" hidden="false" customHeight="false" outlineLevel="0" collapsed="false">
      <c r="A618" s="6" t="s">
        <v>3658</v>
      </c>
      <c r="B618" s="6" t="n">
        <v>52</v>
      </c>
      <c r="C618" s="6" t="n">
        <v>53</v>
      </c>
      <c r="D618" s="12" t="n">
        <f aca="false">C618/(B618+C618)*100</f>
        <v>50.4761904761905</v>
      </c>
      <c r="E618" s="6" t="n">
        <v>6</v>
      </c>
      <c r="F618" s="6" t="s">
        <v>3659</v>
      </c>
      <c r="G618" s="6" t="n">
        <v>37</v>
      </c>
      <c r="H618" s="6" t="s">
        <v>3660</v>
      </c>
      <c r="I618" s="6" t="n">
        <v>12</v>
      </c>
      <c r="J618" s="6" t="s">
        <v>3661</v>
      </c>
      <c r="K618" s="6" t="n">
        <v>3</v>
      </c>
      <c r="L618" s="6" t="s">
        <v>3662</v>
      </c>
      <c r="M618" s="6" t="n">
        <v>1</v>
      </c>
      <c r="N618" s="6" t="s">
        <v>3663</v>
      </c>
      <c r="O618" s="6" t="n">
        <v>0</v>
      </c>
      <c r="P618" s="6" t="s">
        <v>3664</v>
      </c>
      <c r="Q618" s="6" t="n">
        <v>0</v>
      </c>
    </row>
    <row r="619" customFormat="false" ht="12.8" hidden="false" customHeight="false" outlineLevel="0" collapsed="false">
      <c r="A619" s="6" t="s">
        <v>3665</v>
      </c>
      <c r="B619" s="6" t="n">
        <v>53</v>
      </c>
      <c r="C619" s="6" t="n">
        <v>6189</v>
      </c>
      <c r="D619" s="12" t="n">
        <f aca="false">C619/(B619+C619)*100</f>
        <v>99.1509131688561</v>
      </c>
      <c r="E619" s="6" t="n">
        <v>49</v>
      </c>
      <c r="F619" s="6" t="s">
        <v>3666</v>
      </c>
      <c r="G619" s="6" t="n">
        <v>1258</v>
      </c>
      <c r="H619" s="6" t="s">
        <v>3667</v>
      </c>
      <c r="I619" s="6" t="n">
        <v>996</v>
      </c>
      <c r="J619" s="6" t="s">
        <v>3668</v>
      </c>
      <c r="K619" s="6" t="n">
        <v>744</v>
      </c>
      <c r="L619" s="6" t="s">
        <v>3669</v>
      </c>
      <c r="M619" s="6" t="n">
        <v>723</v>
      </c>
      <c r="N619" s="6" t="s">
        <v>3670</v>
      </c>
      <c r="O619" s="6" t="n">
        <v>703</v>
      </c>
      <c r="P619" s="6" t="s">
        <v>3671</v>
      </c>
      <c r="Q619" s="6" t="n">
        <v>590</v>
      </c>
      <c r="R619" s="6" t="s">
        <v>3672</v>
      </c>
      <c r="S619" s="6" t="n">
        <v>267</v>
      </c>
      <c r="T619" s="6" t="s">
        <v>3673</v>
      </c>
      <c r="U619" s="6" t="n">
        <v>173</v>
      </c>
      <c r="V619" s="6" t="s">
        <v>3674</v>
      </c>
      <c r="W619" s="6" t="n">
        <v>124</v>
      </c>
      <c r="X619" s="6" t="s">
        <v>3675</v>
      </c>
      <c r="Y619" s="6" t="n">
        <v>101</v>
      </c>
      <c r="Z619" s="6" t="s">
        <v>3676</v>
      </c>
      <c r="AA619" s="6" t="n">
        <v>70</v>
      </c>
      <c r="AB619" s="6" t="s">
        <v>3677</v>
      </c>
      <c r="AC619" s="6" t="n">
        <v>66</v>
      </c>
      <c r="AD619" s="6" t="s">
        <v>3678</v>
      </c>
      <c r="AE619" s="6" t="n">
        <v>65</v>
      </c>
      <c r="AF619" s="6" t="s">
        <v>3679</v>
      </c>
      <c r="AG619" s="6" t="n">
        <v>44</v>
      </c>
      <c r="AH619" s="6" t="s">
        <v>3680</v>
      </c>
      <c r="AI619" s="6" t="n">
        <v>39</v>
      </c>
      <c r="AJ619" s="6" t="s">
        <v>3681</v>
      </c>
      <c r="AK619" s="6" t="n">
        <v>27</v>
      </c>
      <c r="AL619" s="6" t="s">
        <v>3682</v>
      </c>
      <c r="AM619" s="6" t="n">
        <v>19</v>
      </c>
      <c r="AN619" s="6" t="s">
        <v>3683</v>
      </c>
      <c r="AO619" s="6" t="n">
        <v>16</v>
      </c>
      <c r="AP619" s="6" t="s">
        <v>3684</v>
      </c>
      <c r="AQ619" s="6" t="n">
        <v>15</v>
      </c>
      <c r="AR619" s="6" t="s">
        <v>3685</v>
      </c>
      <c r="AS619" s="6" t="n">
        <v>15</v>
      </c>
      <c r="AT619" s="6" t="s">
        <v>3686</v>
      </c>
      <c r="AU619" s="6" t="n">
        <v>15</v>
      </c>
      <c r="AV619" s="6" t="s">
        <v>3687</v>
      </c>
      <c r="AW619" s="6" t="n">
        <v>15</v>
      </c>
      <c r="AX619" s="6" t="s">
        <v>3688</v>
      </c>
      <c r="AY619" s="6" t="n">
        <v>14</v>
      </c>
      <c r="AZ619" s="6" t="s">
        <v>3689</v>
      </c>
      <c r="BA619" s="6" t="n">
        <v>13</v>
      </c>
      <c r="BB619" s="6" t="s">
        <v>3690</v>
      </c>
      <c r="BC619" s="6" t="n">
        <v>13</v>
      </c>
      <c r="BD619" s="6" t="s">
        <v>3691</v>
      </c>
      <c r="BE619" s="6" t="n">
        <v>11</v>
      </c>
      <c r="BF619" s="6" t="s">
        <v>3692</v>
      </c>
      <c r="BG619" s="6" t="n">
        <v>9</v>
      </c>
      <c r="BH619" s="6" t="s">
        <v>3693</v>
      </c>
      <c r="BI619" s="6" t="n">
        <v>8</v>
      </c>
      <c r="BJ619" s="6" t="s">
        <v>3694</v>
      </c>
      <c r="BK619" s="6" t="n">
        <v>6</v>
      </c>
      <c r="BL619" s="6" t="s">
        <v>3695</v>
      </c>
      <c r="BM619" s="6" t="n">
        <v>5</v>
      </c>
      <c r="BN619" s="6" t="s">
        <v>3696</v>
      </c>
      <c r="BO619" s="6" t="n">
        <v>5</v>
      </c>
      <c r="BP619" s="6" t="s">
        <v>3697</v>
      </c>
      <c r="BQ619" s="6" t="n">
        <v>4</v>
      </c>
      <c r="BR619" s="6" t="s">
        <v>3698</v>
      </c>
      <c r="BS619" s="6" t="n">
        <v>3</v>
      </c>
      <c r="BT619" s="6" t="s">
        <v>3699</v>
      </c>
      <c r="BU619" s="6" t="n">
        <v>3</v>
      </c>
      <c r="BV619" s="6" t="s">
        <v>3700</v>
      </c>
      <c r="BW619" s="6" t="n">
        <v>3</v>
      </c>
      <c r="BX619" s="6" t="s">
        <v>3701</v>
      </c>
      <c r="BY619" s="6" t="n">
        <v>1</v>
      </c>
      <c r="BZ619" s="6" t="s">
        <v>3702</v>
      </c>
      <c r="CA619" s="6" t="n">
        <v>1</v>
      </c>
      <c r="CB619" s="6" t="s">
        <v>3703</v>
      </c>
      <c r="CC619" s="6" t="n">
        <v>1</v>
      </c>
      <c r="CD619" s="6" t="s">
        <v>3704</v>
      </c>
      <c r="CE619" s="6" t="n">
        <v>1</v>
      </c>
      <c r="CF619" s="6" t="s">
        <v>3705</v>
      </c>
      <c r="CG619" s="6" t="n">
        <v>1</v>
      </c>
      <c r="CH619" s="6" t="s">
        <v>3706</v>
      </c>
      <c r="CI619" s="6" t="n">
        <v>1</v>
      </c>
      <c r="CJ619" s="6" t="s">
        <v>3707</v>
      </c>
      <c r="CK619" s="6" t="n">
        <v>1</v>
      </c>
      <c r="CL619" s="6" t="s">
        <v>3708</v>
      </c>
      <c r="CM619" s="6" t="n">
        <v>0</v>
      </c>
      <c r="CN619" s="6" t="s">
        <v>3709</v>
      </c>
      <c r="CO619" s="6" t="n">
        <v>0</v>
      </c>
      <c r="CP619" s="6" t="s">
        <v>3710</v>
      </c>
      <c r="CQ619" s="6" t="n">
        <v>0</v>
      </c>
      <c r="CR619" s="6" t="s">
        <v>3711</v>
      </c>
      <c r="CS619" s="6" t="n">
        <v>0</v>
      </c>
      <c r="CT619" s="6" t="s">
        <v>3712</v>
      </c>
      <c r="CU619" s="6" t="n">
        <v>0</v>
      </c>
      <c r="CV619" s="6" t="s">
        <v>3713</v>
      </c>
      <c r="CW619" s="6" t="n">
        <v>0</v>
      </c>
      <c r="CX619" s="6" t="s">
        <v>3714</v>
      </c>
      <c r="CY619" s="6" t="n">
        <v>0</v>
      </c>
    </row>
    <row r="620" customFormat="false" ht="12.8" hidden="false" customHeight="false" outlineLevel="0" collapsed="false">
      <c r="A620" s="6" t="s">
        <v>3715</v>
      </c>
      <c r="B620" s="6" t="n">
        <v>53</v>
      </c>
      <c r="C620" s="6" t="n">
        <v>353</v>
      </c>
      <c r="D620" s="12" t="n">
        <f aca="false">C620/(B620+C620)*100</f>
        <v>86.9458128078818</v>
      </c>
      <c r="E620" s="6" t="n">
        <v>18</v>
      </c>
      <c r="F620" s="6" t="s">
        <v>3716</v>
      </c>
      <c r="G620" s="6" t="n">
        <v>206</v>
      </c>
      <c r="H620" s="6" t="s">
        <v>3717</v>
      </c>
      <c r="I620" s="6" t="n">
        <v>60</v>
      </c>
      <c r="J620" s="6" t="s">
        <v>3718</v>
      </c>
      <c r="K620" s="6" t="n">
        <v>48</v>
      </c>
      <c r="L620" s="6" t="s">
        <v>3719</v>
      </c>
      <c r="M620" s="6" t="n">
        <v>15</v>
      </c>
      <c r="N620" s="6" t="s">
        <v>3720</v>
      </c>
      <c r="O620" s="6" t="n">
        <v>9</v>
      </c>
      <c r="P620" s="6" t="s">
        <v>3721</v>
      </c>
      <c r="Q620" s="6" t="n">
        <v>4</v>
      </c>
      <c r="R620" s="6" t="s">
        <v>3722</v>
      </c>
      <c r="S620" s="6" t="n">
        <v>2</v>
      </c>
      <c r="T620" s="6" t="s">
        <v>3723</v>
      </c>
      <c r="U620" s="6" t="n">
        <v>2</v>
      </c>
      <c r="V620" s="6" t="s">
        <v>3724</v>
      </c>
      <c r="W620" s="6" t="n">
        <v>2</v>
      </c>
      <c r="X620" s="6" t="s">
        <v>3725</v>
      </c>
      <c r="Y620" s="6" t="n">
        <v>1</v>
      </c>
      <c r="Z620" s="6" t="s">
        <v>3726</v>
      </c>
      <c r="AA620" s="6" t="n">
        <v>1</v>
      </c>
      <c r="AB620" s="6" t="s">
        <v>3727</v>
      </c>
      <c r="AC620" s="6" t="n">
        <v>1</v>
      </c>
      <c r="AD620" s="6" t="s">
        <v>3728</v>
      </c>
      <c r="AE620" s="6" t="n">
        <v>1</v>
      </c>
      <c r="AF620" s="6" t="s">
        <v>3729</v>
      </c>
      <c r="AG620" s="6" t="n">
        <v>1</v>
      </c>
      <c r="AH620" s="6" t="s">
        <v>3730</v>
      </c>
      <c r="AI620" s="6" t="n">
        <v>0</v>
      </c>
      <c r="AJ620" s="6" t="s">
        <v>3731</v>
      </c>
      <c r="AK620" s="6" t="n">
        <v>0</v>
      </c>
      <c r="AL620" s="6" t="s">
        <v>3732</v>
      </c>
      <c r="AM620" s="6" t="n">
        <v>0</v>
      </c>
      <c r="AN620" s="6" t="s">
        <v>3733</v>
      </c>
      <c r="AO620" s="6" t="n">
        <v>0</v>
      </c>
    </row>
    <row r="621" customFormat="false" ht="12.8" hidden="false" customHeight="false" outlineLevel="0" collapsed="false">
      <c r="A621" s="6" t="s">
        <v>3734</v>
      </c>
      <c r="B621" s="6" t="n">
        <v>53</v>
      </c>
      <c r="C621" s="6" t="n">
        <v>20</v>
      </c>
      <c r="D621" s="12" t="n">
        <f aca="false">C621/(B621+C621)*100</f>
        <v>27.3972602739726</v>
      </c>
      <c r="E621" s="6" t="n">
        <v>2</v>
      </c>
      <c r="F621" s="6" t="s">
        <v>3735</v>
      </c>
      <c r="G621" s="6" t="n">
        <v>19</v>
      </c>
      <c r="H621" s="6" t="s">
        <v>3736</v>
      </c>
      <c r="I621" s="6" t="n">
        <v>1</v>
      </c>
    </row>
    <row r="622" customFormat="false" ht="12.8" hidden="false" customHeight="false" outlineLevel="0" collapsed="false">
      <c r="A622" s="6" t="s">
        <v>3737</v>
      </c>
      <c r="B622" s="6" t="n">
        <v>53</v>
      </c>
      <c r="C622" s="6" t="n">
        <v>6</v>
      </c>
      <c r="D622" s="12" t="n">
        <f aca="false">C622/(B622+C622)*100</f>
        <v>10.1694915254237</v>
      </c>
      <c r="E622" s="6" t="n">
        <v>5</v>
      </c>
      <c r="F622" s="6" t="s">
        <v>3738</v>
      </c>
      <c r="G622" s="6" t="n">
        <v>5</v>
      </c>
      <c r="H622" s="6" t="s">
        <v>3739</v>
      </c>
      <c r="I622" s="6" t="n">
        <v>1</v>
      </c>
      <c r="J622" s="6" t="s">
        <v>3740</v>
      </c>
      <c r="K622" s="6" t="n">
        <v>0</v>
      </c>
      <c r="L622" s="6" t="s">
        <v>3741</v>
      </c>
      <c r="M622" s="6" t="n">
        <v>0</v>
      </c>
      <c r="N622" s="6" t="s">
        <v>3742</v>
      </c>
      <c r="O622" s="6" t="n">
        <v>0</v>
      </c>
    </row>
    <row r="623" customFormat="false" ht="12.8" hidden="false" customHeight="false" outlineLevel="0" collapsed="false">
      <c r="A623" s="6" t="s">
        <v>3743</v>
      </c>
      <c r="B623" s="6" t="n">
        <v>53</v>
      </c>
      <c r="C623" s="6" t="n">
        <v>3</v>
      </c>
      <c r="D623" s="12" t="n">
        <f aca="false">C623/(B623+C623)*100</f>
        <v>5.35714285714286</v>
      </c>
      <c r="E623" s="6" t="n">
        <v>6</v>
      </c>
      <c r="F623" s="6" t="s">
        <v>3744</v>
      </c>
      <c r="G623" s="6" t="n">
        <v>2</v>
      </c>
      <c r="H623" s="6" t="s">
        <v>3745</v>
      </c>
      <c r="I623" s="6" t="n">
        <v>1</v>
      </c>
      <c r="J623" s="6" t="s">
        <v>3746</v>
      </c>
      <c r="K623" s="6" t="n">
        <v>0</v>
      </c>
      <c r="L623" s="6" t="s">
        <v>3747</v>
      </c>
      <c r="M623" s="6" t="n">
        <v>0</v>
      </c>
      <c r="N623" s="6" t="s">
        <v>3748</v>
      </c>
      <c r="O623" s="6" t="n">
        <v>0</v>
      </c>
      <c r="P623" s="6" t="s">
        <v>3749</v>
      </c>
      <c r="Q623" s="6" t="n">
        <v>0</v>
      </c>
    </row>
    <row r="624" customFormat="false" ht="12.8" hidden="false" customHeight="false" outlineLevel="0" collapsed="false">
      <c r="A624" s="6" t="s">
        <v>3750</v>
      </c>
      <c r="B624" s="6" t="n">
        <v>53</v>
      </c>
      <c r="C624" s="6" t="n">
        <v>1</v>
      </c>
      <c r="D624" s="12" t="n">
        <f aca="false">C624/(B624+C624)*100</f>
        <v>1.85185185185185</v>
      </c>
      <c r="E624" s="6" t="n">
        <v>1</v>
      </c>
      <c r="F624" s="6" t="s">
        <v>3751</v>
      </c>
      <c r="G624" s="6" t="n">
        <v>1</v>
      </c>
    </row>
    <row r="625" customFormat="false" ht="12.8" hidden="false" customHeight="false" outlineLevel="0" collapsed="false">
      <c r="A625" s="6" t="s">
        <v>3752</v>
      </c>
      <c r="B625" s="6" t="n">
        <v>53</v>
      </c>
      <c r="C625" s="6" t="n">
        <v>0</v>
      </c>
      <c r="D625" s="12" t="n">
        <f aca="false">C625/(B625+C625)*100</f>
        <v>0</v>
      </c>
      <c r="E625" s="6" t="n">
        <v>1</v>
      </c>
      <c r="F625" s="6" t="s">
        <v>3753</v>
      </c>
      <c r="G625" s="6" t="n">
        <v>0</v>
      </c>
    </row>
    <row r="626" customFormat="false" ht="12.8" hidden="false" customHeight="false" outlineLevel="0" collapsed="false">
      <c r="A626" s="6" t="s">
        <v>3754</v>
      </c>
      <c r="B626" s="6" t="n">
        <v>54</v>
      </c>
      <c r="C626" s="6" t="n">
        <v>37</v>
      </c>
      <c r="D626" s="12" t="n">
        <f aca="false">C626/(B626+C626)*100</f>
        <v>40.6593406593407</v>
      </c>
      <c r="E626" s="6" t="n">
        <v>3</v>
      </c>
      <c r="F626" s="6" t="s">
        <v>3755</v>
      </c>
      <c r="G626" s="6" t="n">
        <v>17</v>
      </c>
      <c r="H626" s="6" t="s">
        <v>3756</v>
      </c>
      <c r="I626" s="6" t="n">
        <v>15</v>
      </c>
      <c r="J626" s="6" t="s">
        <v>3757</v>
      </c>
      <c r="K626" s="6" t="n">
        <v>5</v>
      </c>
    </row>
    <row r="627" customFormat="false" ht="12.8" hidden="false" customHeight="false" outlineLevel="0" collapsed="false">
      <c r="A627" s="6" t="s">
        <v>3758</v>
      </c>
      <c r="B627" s="6" t="n">
        <v>54</v>
      </c>
      <c r="C627" s="6" t="n">
        <v>30</v>
      </c>
      <c r="D627" s="12" t="n">
        <f aca="false">C627/(B627+C627)*100</f>
        <v>35.7142857142857</v>
      </c>
      <c r="E627" s="6" t="n">
        <v>8</v>
      </c>
      <c r="F627" s="6" t="s">
        <v>3759</v>
      </c>
      <c r="G627" s="6" t="n">
        <v>26</v>
      </c>
      <c r="H627" s="6" t="s">
        <v>3760</v>
      </c>
      <c r="I627" s="6" t="n">
        <v>2</v>
      </c>
      <c r="J627" s="6" t="s">
        <v>3761</v>
      </c>
      <c r="K627" s="6" t="n">
        <v>1</v>
      </c>
      <c r="L627" s="6" t="s">
        <v>3762</v>
      </c>
      <c r="M627" s="6" t="n">
        <v>1</v>
      </c>
      <c r="N627" s="6" t="s">
        <v>3763</v>
      </c>
      <c r="O627" s="6" t="n">
        <v>0</v>
      </c>
      <c r="P627" s="6" t="s">
        <v>3764</v>
      </c>
      <c r="Q627" s="6" t="n">
        <v>0</v>
      </c>
      <c r="R627" s="6" t="s">
        <v>3765</v>
      </c>
      <c r="S627" s="6" t="n">
        <v>0</v>
      </c>
      <c r="T627" s="6" t="s">
        <v>3766</v>
      </c>
      <c r="U627" s="6" t="n">
        <v>0</v>
      </c>
    </row>
    <row r="628" customFormat="false" ht="12.8" hidden="false" customHeight="false" outlineLevel="0" collapsed="false">
      <c r="A628" s="6" t="s">
        <v>3767</v>
      </c>
      <c r="B628" s="6" t="n">
        <v>54</v>
      </c>
      <c r="C628" s="6" t="n">
        <v>26</v>
      </c>
      <c r="D628" s="12" t="n">
        <f aca="false">C628/(B628+C628)*100</f>
        <v>32.5</v>
      </c>
      <c r="E628" s="6" t="n">
        <v>9</v>
      </c>
      <c r="F628" s="6" t="s">
        <v>3768</v>
      </c>
      <c r="G628" s="6" t="n">
        <v>13</v>
      </c>
      <c r="H628" s="6" t="s">
        <v>3769</v>
      </c>
      <c r="I628" s="6" t="n">
        <v>10</v>
      </c>
      <c r="J628" s="6" t="s">
        <v>3770</v>
      </c>
      <c r="K628" s="6" t="n">
        <v>2</v>
      </c>
      <c r="L628" s="6" t="s">
        <v>3771</v>
      </c>
      <c r="M628" s="6" t="n">
        <v>1</v>
      </c>
      <c r="N628" s="6" t="s">
        <v>3772</v>
      </c>
      <c r="O628" s="6" t="n">
        <v>0</v>
      </c>
      <c r="P628" s="6" t="s">
        <v>3773</v>
      </c>
      <c r="Q628" s="6" t="n">
        <v>0</v>
      </c>
      <c r="R628" s="6" t="s">
        <v>3774</v>
      </c>
      <c r="S628" s="6" t="n">
        <v>0</v>
      </c>
      <c r="T628" s="6" t="s">
        <v>3775</v>
      </c>
      <c r="U628" s="6" t="n">
        <v>0</v>
      </c>
      <c r="V628" s="6" t="s">
        <v>3776</v>
      </c>
      <c r="W628" s="6" t="n">
        <v>0</v>
      </c>
    </row>
    <row r="629" customFormat="false" ht="12.8" hidden="false" customHeight="false" outlineLevel="0" collapsed="false">
      <c r="A629" s="6" t="s">
        <v>3777</v>
      </c>
      <c r="B629" s="6" t="n">
        <v>54</v>
      </c>
      <c r="C629" s="6" t="n">
        <v>3</v>
      </c>
      <c r="D629" s="12" t="n">
        <f aca="false">C629/(B629+C629)*100</f>
        <v>5.26315789473684</v>
      </c>
      <c r="E629" s="6" t="n">
        <v>4</v>
      </c>
      <c r="F629" s="6" t="s">
        <v>3778</v>
      </c>
      <c r="G629" s="6" t="n">
        <v>2</v>
      </c>
      <c r="H629" s="6" t="s">
        <v>3779</v>
      </c>
      <c r="I629" s="6" t="n">
        <v>1</v>
      </c>
      <c r="J629" s="6" t="s">
        <v>3780</v>
      </c>
      <c r="K629" s="6" t="n">
        <v>0</v>
      </c>
      <c r="L629" s="6" t="s">
        <v>3781</v>
      </c>
      <c r="M629" s="6" t="n">
        <v>0</v>
      </c>
    </row>
    <row r="630" customFormat="false" ht="12.8" hidden="false" customHeight="false" outlineLevel="0" collapsed="false">
      <c r="A630" s="6" t="s">
        <v>3782</v>
      </c>
      <c r="B630" s="6" t="n">
        <v>54</v>
      </c>
      <c r="C630" s="6" t="n">
        <v>1</v>
      </c>
      <c r="D630" s="12" t="n">
        <f aca="false">C630/(B630+C630)*100</f>
        <v>1.81818181818182</v>
      </c>
      <c r="E630" s="6" t="n">
        <v>1</v>
      </c>
      <c r="F630" s="6" t="s">
        <v>3783</v>
      </c>
      <c r="G630" s="6" t="n">
        <v>1</v>
      </c>
    </row>
    <row r="631" customFormat="false" ht="12.8" hidden="false" customHeight="false" outlineLevel="0" collapsed="false">
      <c r="A631" s="6" t="s">
        <v>3784</v>
      </c>
      <c r="B631" s="6" t="n">
        <v>55</v>
      </c>
      <c r="C631" s="6" t="n">
        <v>8196</v>
      </c>
      <c r="D631" s="12" t="n">
        <f aca="false">C631/(B631+C631)*100</f>
        <v>99.3334141316204</v>
      </c>
      <c r="E631" s="6" t="n">
        <v>99</v>
      </c>
      <c r="F631" s="6" t="s">
        <v>3785</v>
      </c>
      <c r="G631" s="6" t="n">
        <v>2374</v>
      </c>
      <c r="H631" s="6" t="s">
        <v>3786</v>
      </c>
      <c r="I631" s="6" t="n">
        <v>959</v>
      </c>
      <c r="J631" s="6" t="s">
        <v>3787</v>
      </c>
      <c r="K631" s="6" t="n">
        <v>725</v>
      </c>
      <c r="L631" s="6" t="s">
        <v>3788</v>
      </c>
      <c r="M631" s="6" t="n">
        <v>720</v>
      </c>
      <c r="N631" s="6" t="s">
        <v>3789</v>
      </c>
      <c r="O631" s="6" t="n">
        <v>704</v>
      </c>
      <c r="P631" s="6" t="s">
        <v>3790</v>
      </c>
      <c r="Q631" s="6" t="n">
        <v>499</v>
      </c>
      <c r="R631" s="6" t="s">
        <v>3791</v>
      </c>
      <c r="S631" s="6" t="n">
        <v>285</v>
      </c>
      <c r="T631" s="6" t="s">
        <v>3792</v>
      </c>
      <c r="U631" s="6" t="n">
        <v>257</v>
      </c>
      <c r="V631" s="6" t="s">
        <v>3793</v>
      </c>
      <c r="W631" s="6" t="n">
        <v>179</v>
      </c>
      <c r="X631" s="6" t="s">
        <v>3794</v>
      </c>
      <c r="Y631" s="6" t="n">
        <v>152</v>
      </c>
      <c r="Z631" s="6" t="s">
        <v>3795</v>
      </c>
      <c r="AA631" s="6" t="n">
        <v>141</v>
      </c>
      <c r="AB631" s="6" t="s">
        <v>3796</v>
      </c>
      <c r="AC631" s="6" t="n">
        <v>117</v>
      </c>
      <c r="AD631" s="6" t="s">
        <v>3797</v>
      </c>
      <c r="AE631" s="6" t="n">
        <v>115</v>
      </c>
      <c r="AF631" s="6" t="s">
        <v>3798</v>
      </c>
      <c r="AG631" s="6" t="n">
        <v>90</v>
      </c>
      <c r="AH631" s="6" t="s">
        <v>3799</v>
      </c>
      <c r="AI631" s="6" t="n">
        <v>72</v>
      </c>
      <c r="AJ631" s="6" t="s">
        <v>3800</v>
      </c>
      <c r="AK631" s="6" t="n">
        <v>67</v>
      </c>
      <c r="AL631" s="6" t="s">
        <v>3801</v>
      </c>
      <c r="AM631" s="6" t="n">
        <v>66</v>
      </c>
      <c r="AN631" s="6" t="s">
        <v>3802</v>
      </c>
      <c r="AO631" s="6" t="n">
        <v>60</v>
      </c>
      <c r="AP631" s="6" t="s">
        <v>3803</v>
      </c>
      <c r="AQ631" s="6" t="n">
        <v>49</v>
      </c>
      <c r="AR631" s="6" t="s">
        <v>3804</v>
      </c>
      <c r="AS631" s="6" t="n">
        <v>47</v>
      </c>
      <c r="AT631" s="6" t="s">
        <v>3805</v>
      </c>
      <c r="AU631" s="6" t="n">
        <v>41</v>
      </c>
      <c r="AV631" s="6" t="s">
        <v>3806</v>
      </c>
      <c r="AW631" s="6" t="n">
        <v>41</v>
      </c>
      <c r="AX631" s="6" t="s">
        <v>3805</v>
      </c>
      <c r="AY631" s="6" t="n">
        <v>41</v>
      </c>
      <c r="AZ631" s="6" t="s">
        <v>3807</v>
      </c>
      <c r="BA631" s="6" t="n">
        <v>40</v>
      </c>
      <c r="BB631" s="6" t="s">
        <v>3808</v>
      </c>
      <c r="BC631" s="6" t="n">
        <v>39</v>
      </c>
      <c r="BD631" s="6" t="s">
        <v>3809</v>
      </c>
      <c r="BE631" s="6" t="n">
        <v>34</v>
      </c>
      <c r="BF631" s="6" t="s">
        <v>3810</v>
      </c>
      <c r="BG631" s="6" t="n">
        <v>26</v>
      </c>
      <c r="BH631" s="6" t="s">
        <v>3811</v>
      </c>
      <c r="BI631" s="6" t="n">
        <v>24</v>
      </c>
      <c r="BJ631" s="6" t="s">
        <v>3812</v>
      </c>
      <c r="BK631" s="6" t="n">
        <v>24</v>
      </c>
      <c r="BL631" s="6" t="s">
        <v>3813</v>
      </c>
      <c r="BM631" s="6" t="n">
        <v>21</v>
      </c>
      <c r="BN631" s="6" t="s">
        <v>3814</v>
      </c>
      <c r="BO631" s="6" t="n">
        <v>20</v>
      </c>
      <c r="BP631" s="6" t="s">
        <v>3815</v>
      </c>
      <c r="BQ631" s="6" t="n">
        <v>16</v>
      </c>
      <c r="BR631" s="6" t="s">
        <v>3816</v>
      </c>
      <c r="BS631" s="6" t="n">
        <v>14</v>
      </c>
      <c r="BT631" s="6" t="s">
        <v>3817</v>
      </c>
      <c r="BU631" s="6" t="n">
        <v>13</v>
      </c>
      <c r="BV631" s="6" t="s">
        <v>3818</v>
      </c>
      <c r="BW631" s="6" t="n">
        <v>13</v>
      </c>
      <c r="BX631" s="6" t="s">
        <v>3819</v>
      </c>
      <c r="BY631" s="6" t="n">
        <v>12</v>
      </c>
      <c r="BZ631" s="6" t="s">
        <v>3820</v>
      </c>
      <c r="CA631" s="6" t="n">
        <v>9</v>
      </c>
      <c r="CB631" s="6" t="s">
        <v>3821</v>
      </c>
      <c r="CC631" s="6" t="n">
        <v>9</v>
      </c>
      <c r="CD631" s="6" t="s">
        <v>3822</v>
      </c>
      <c r="CE631" s="6" t="n">
        <v>8</v>
      </c>
      <c r="CF631" s="6" t="s">
        <v>3823</v>
      </c>
      <c r="CG631" s="6" t="n">
        <v>8</v>
      </c>
      <c r="CH631" s="6" t="s">
        <v>3824</v>
      </c>
      <c r="CI631" s="6" t="n">
        <v>6</v>
      </c>
      <c r="CJ631" s="6" t="s">
        <v>3825</v>
      </c>
      <c r="CK631" s="6" t="n">
        <v>6</v>
      </c>
      <c r="CL631" s="6" t="s">
        <v>3826</v>
      </c>
      <c r="CM631" s="6" t="n">
        <v>5</v>
      </c>
      <c r="CN631" s="6" t="s">
        <v>3827</v>
      </c>
      <c r="CO631" s="6" t="n">
        <v>4</v>
      </c>
      <c r="CP631" s="6" t="s">
        <v>3828</v>
      </c>
      <c r="CQ631" s="6" t="n">
        <v>4</v>
      </c>
      <c r="CR631" s="6" t="s">
        <v>3829</v>
      </c>
      <c r="CS631" s="6" t="n">
        <v>3</v>
      </c>
      <c r="CT631" s="6" t="s">
        <v>3830</v>
      </c>
      <c r="CU631" s="6" t="n">
        <v>3</v>
      </c>
      <c r="CV631" s="6" t="s">
        <v>3831</v>
      </c>
      <c r="CW631" s="6" t="n">
        <v>2</v>
      </c>
      <c r="CX631" s="6" t="s">
        <v>3832</v>
      </c>
      <c r="CY631" s="6" t="n">
        <v>2</v>
      </c>
      <c r="CZ631" s="6" t="s">
        <v>3833</v>
      </c>
      <c r="DA631" s="6" t="n">
        <v>2</v>
      </c>
      <c r="DB631" s="6" t="s">
        <v>3834</v>
      </c>
      <c r="DC631" s="6" t="n">
        <v>2</v>
      </c>
      <c r="DD631" s="6" t="s">
        <v>3835</v>
      </c>
      <c r="DE631" s="6" t="n">
        <v>2</v>
      </c>
      <c r="DF631" s="6" t="s">
        <v>3836</v>
      </c>
      <c r="DG631" s="6" t="n">
        <v>2</v>
      </c>
      <c r="DH631" s="6" t="s">
        <v>3837</v>
      </c>
      <c r="DI631" s="6" t="n">
        <v>2</v>
      </c>
      <c r="DJ631" s="6" t="s">
        <v>3838</v>
      </c>
      <c r="DK631" s="6" t="n">
        <v>2</v>
      </c>
      <c r="DL631" s="6" t="s">
        <v>3839</v>
      </c>
      <c r="DM631" s="6" t="n">
        <v>2</v>
      </c>
      <c r="DN631" s="6" t="s">
        <v>3840</v>
      </c>
      <c r="DO631" s="6" t="n">
        <v>2</v>
      </c>
      <c r="DP631" s="6" t="s">
        <v>3841</v>
      </c>
      <c r="DQ631" s="6" t="n">
        <v>1</v>
      </c>
      <c r="DR631" s="6" t="s">
        <v>3842</v>
      </c>
      <c r="DS631" s="6" t="n">
        <v>1</v>
      </c>
      <c r="DT631" s="6" t="s">
        <v>3843</v>
      </c>
      <c r="DU631" s="6" t="n">
        <v>1</v>
      </c>
      <c r="DV631" s="6" t="s">
        <v>3844</v>
      </c>
      <c r="DW631" s="6" t="n">
        <v>1</v>
      </c>
      <c r="DX631" s="6" t="s">
        <v>3845</v>
      </c>
      <c r="DY631" s="6" t="n">
        <v>1</v>
      </c>
      <c r="DZ631" s="6" t="s">
        <v>3846</v>
      </c>
      <c r="EA631" s="6" t="n">
        <v>1</v>
      </c>
      <c r="EB631" s="6" t="s">
        <v>3847</v>
      </c>
      <c r="EC631" s="6" t="n">
        <v>1</v>
      </c>
      <c r="ED631" s="6" t="s">
        <v>3848</v>
      </c>
      <c r="EE631" s="6" t="n">
        <v>1</v>
      </c>
      <c r="EF631" s="6" t="s">
        <v>3849</v>
      </c>
      <c r="EG631" s="6" t="n">
        <v>1</v>
      </c>
      <c r="EH631" s="6" t="s">
        <v>3850</v>
      </c>
      <c r="EI631" s="6" t="n">
        <v>1</v>
      </c>
      <c r="EJ631" s="6" t="s">
        <v>3851</v>
      </c>
      <c r="EK631" s="6" t="n">
        <v>1</v>
      </c>
      <c r="EL631" s="6" t="s">
        <v>3852</v>
      </c>
      <c r="EM631" s="6" t="n">
        <v>1</v>
      </c>
      <c r="EN631" s="6" t="s">
        <v>3843</v>
      </c>
      <c r="EO631" s="6" t="n">
        <v>1</v>
      </c>
      <c r="EP631" s="6" t="s">
        <v>3853</v>
      </c>
      <c r="EQ631" s="6" t="n">
        <v>1</v>
      </c>
      <c r="ER631" s="6" t="s">
        <v>3854</v>
      </c>
      <c r="ES631" s="6" t="n">
        <v>0</v>
      </c>
      <c r="ET631" s="6" t="s">
        <v>3855</v>
      </c>
      <c r="EU631" s="6" t="n">
        <v>0</v>
      </c>
      <c r="EV631" s="6" t="s">
        <v>3856</v>
      </c>
      <c r="EW631" s="6" t="n">
        <v>0</v>
      </c>
      <c r="EX631" s="6" t="s">
        <v>3857</v>
      </c>
      <c r="EY631" s="6" t="n">
        <v>0</v>
      </c>
      <c r="EZ631" s="6" t="s">
        <v>3858</v>
      </c>
      <c r="FA631" s="6" t="n">
        <v>0</v>
      </c>
      <c r="FB631" s="6" t="s">
        <v>3859</v>
      </c>
      <c r="FC631" s="6" t="n">
        <v>0</v>
      </c>
      <c r="FD631" s="6" t="s">
        <v>3860</v>
      </c>
      <c r="FE631" s="6" t="n">
        <v>0</v>
      </c>
      <c r="FF631" s="6" t="s">
        <v>3861</v>
      </c>
      <c r="FG631" s="6" t="n">
        <v>0</v>
      </c>
      <c r="FH631" s="6" t="s">
        <v>3862</v>
      </c>
      <c r="FI631" s="6" t="n">
        <v>0</v>
      </c>
      <c r="FJ631" s="6" t="s">
        <v>3863</v>
      </c>
      <c r="FK631" s="6" t="n">
        <v>0</v>
      </c>
      <c r="FL631" s="6" t="s">
        <v>3864</v>
      </c>
      <c r="FM631" s="6" t="n">
        <v>0</v>
      </c>
      <c r="FN631" s="6" t="s">
        <v>3865</v>
      </c>
      <c r="FO631" s="6" t="n">
        <v>0</v>
      </c>
      <c r="FP631" s="6" t="s">
        <v>3866</v>
      </c>
      <c r="FQ631" s="6" t="n">
        <v>0</v>
      </c>
      <c r="FR631" s="6" t="s">
        <v>3867</v>
      </c>
      <c r="FS631" s="6" t="n">
        <v>0</v>
      </c>
      <c r="FT631" s="6" t="s">
        <v>3868</v>
      </c>
      <c r="FU631" s="6" t="n">
        <v>0</v>
      </c>
      <c r="FV631" s="6" t="s">
        <v>3869</v>
      </c>
      <c r="FW631" s="6" t="n">
        <v>0</v>
      </c>
      <c r="FX631" s="6" t="s">
        <v>3870</v>
      </c>
      <c r="FY631" s="6" t="n">
        <v>0</v>
      </c>
      <c r="FZ631" s="6" t="s">
        <v>3871</v>
      </c>
      <c r="GA631" s="6" t="n">
        <v>0</v>
      </c>
      <c r="GB631" s="6" t="s">
        <v>3872</v>
      </c>
      <c r="GC631" s="6" t="n">
        <v>0</v>
      </c>
      <c r="GD631" s="6" t="s">
        <v>3873</v>
      </c>
      <c r="GE631" s="6" t="n">
        <v>0</v>
      </c>
      <c r="GF631" s="6" t="s">
        <v>3874</v>
      </c>
      <c r="GG631" s="6" t="n">
        <v>0</v>
      </c>
      <c r="GH631" s="6" t="s">
        <v>3875</v>
      </c>
      <c r="GI631" s="6" t="n">
        <v>0</v>
      </c>
      <c r="GJ631" s="6" t="s">
        <v>3876</v>
      </c>
      <c r="GK631" s="6" t="n">
        <v>0</v>
      </c>
      <c r="GL631" s="6" t="s">
        <v>3877</v>
      </c>
      <c r="GM631" s="6" t="n">
        <v>0</v>
      </c>
      <c r="GN631" s="6" t="s">
        <v>3878</v>
      </c>
      <c r="GO631" s="6" t="n">
        <v>0</v>
      </c>
      <c r="GP631" s="6" t="s">
        <v>3879</v>
      </c>
      <c r="GQ631" s="6" t="n">
        <v>0</v>
      </c>
      <c r="GR631" s="6" t="s">
        <v>3880</v>
      </c>
      <c r="GS631" s="6" t="n">
        <v>0</v>
      </c>
      <c r="GT631" s="6" t="s">
        <v>3881</v>
      </c>
      <c r="GU631" s="6" t="n">
        <v>0</v>
      </c>
    </row>
    <row r="632" customFormat="false" ht="12.8" hidden="false" customHeight="false" outlineLevel="0" collapsed="false">
      <c r="A632" s="6" t="s">
        <v>3882</v>
      </c>
      <c r="B632" s="6" t="n">
        <v>55</v>
      </c>
      <c r="C632" s="6" t="n">
        <v>79</v>
      </c>
      <c r="D632" s="12" t="n">
        <f aca="false">C632/(B632+C632)*100</f>
        <v>58.955223880597</v>
      </c>
      <c r="E632" s="6" t="n">
        <v>10</v>
      </c>
      <c r="F632" s="6" t="s">
        <v>3883</v>
      </c>
      <c r="G632" s="6" t="n">
        <v>33</v>
      </c>
      <c r="H632" s="6" t="s">
        <v>3884</v>
      </c>
      <c r="I632" s="6" t="n">
        <v>19</v>
      </c>
      <c r="J632" s="6" t="s">
        <v>3885</v>
      </c>
      <c r="K632" s="6" t="n">
        <v>12</v>
      </c>
      <c r="L632" s="6" t="s">
        <v>3886</v>
      </c>
      <c r="M632" s="6" t="n">
        <v>6</v>
      </c>
      <c r="N632" s="6" t="s">
        <v>3887</v>
      </c>
      <c r="O632" s="6" t="n">
        <v>3</v>
      </c>
      <c r="P632" s="6" t="s">
        <v>3888</v>
      </c>
      <c r="Q632" s="6" t="n">
        <v>2</v>
      </c>
      <c r="R632" s="6" t="s">
        <v>3889</v>
      </c>
      <c r="S632" s="6" t="n">
        <v>2</v>
      </c>
      <c r="T632" s="6" t="s">
        <v>3890</v>
      </c>
      <c r="U632" s="6" t="n">
        <v>1</v>
      </c>
      <c r="V632" s="6" t="s">
        <v>3891</v>
      </c>
      <c r="W632" s="6" t="n">
        <v>1</v>
      </c>
      <c r="X632" s="6" t="s">
        <v>3892</v>
      </c>
      <c r="Y632" s="6" t="n">
        <v>0</v>
      </c>
    </row>
    <row r="633" customFormat="false" ht="12.8" hidden="false" customHeight="false" outlineLevel="0" collapsed="false">
      <c r="A633" s="6" t="s">
        <v>3893</v>
      </c>
      <c r="B633" s="6" t="n">
        <v>55</v>
      </c>
      <c r="C633" s="6" t="n">
        <v>58</v>
      </c>
      <c r="D633" s="12" t="n">
        <f aca="false">C633/(B633+C633)*100</f>
        <v>51.3274336283186</v>
      </c>
      <c r="E633" s="6" t="n">
        <v>1</v>
      </c>
      <c r="F633" s="6" t="s">
        <v>3894</v>
      </c>
      <c r="G633" s="6" t="n">
        <v>58</v>
      </c>
    </row>
    <row r="634" customFormat="false" ht="12.8" hidden="false" customHeight="false" outlineLevel="0" collapsed="false">
      <c r="A634" s="6" t="s">
        <v>3895</v>
      </c>
      <c r="B634" s="6" t="n">
        <v>56</v>
      </c>
      <c r="C634" s="6" t="n">
        <v>168</v>
      </c>
      <c r="D634" s="12" t="n">
        <f aca="false">C634/(B634+C634)*100</f>
        <v>75</v>
      </c>
      <c r="E634" s="6" t="n">
        <v>11</v>
      </c>
      <c r="F634" s="6" t="s">
        <v>3896</v>
      </c>
      <c r="G634" s="6" t="n">
        <v>115</v>
      </c>
      <c r="H634" s="6" t="s">
        <v>3897</v>
      </c>
      <c r="I634" s="6" t="n">
        <v>21</v>
      </c>
      <c r="J634" s="6" t="s">
        <v>3898</v>
      </c>
      <c r="K634" s="6" t="n">
        <v>10</v>
      </c>
      <c r="L634" s="6" t="s">
        <v>3899</v>
      </c>
      <c r="M634" s="6" t="n">
        <v>9</v>
      </c>
      <c r="N634" s="6" t="s">
        <v>3900</v>
      </c>
      <c r="O634" s="6" t="n">
        <v>4</v>
      </c>
      <c r="P634" s="6" t="s">
        <v>3901</v>
      </c>
      <c r="Q634" s="6" t="n">
        <v>4</v>
      </c>
      <c r="R634" s="6" t="s">
        <v>3902</v>
      </c>
      <c r="S634" s="6" t="n">
        <v>3</v>
      </c>
      <c r="T634" s="6" t="s">
        <v>3903</v>
      </c>
      <c r="U634" s="6" t="n">
        <v>1</v>
      </c>
      <c r="V634" s="6" t="s">
        <v>3904</v>
      </c>
      <c r="W634" s="6" t="n">
        <v>1</v>
      </c>
      <c r="X634" s="6" t="s">
        <v>3905</v>
      </c>
      <c r="Y634" s="6" t="n">
        <v>0</v>
      </c>
      <c r="Z634" s="6" t="s">
        <v>3906</v>
      </c>
      <c r="AA634" s="6" t="n">
        <v>0</v>
      </c>
    </row>
    <row r="635" customFormat="false" ht="12.8" hidden="false" customHeight="false" outlineLevel="0" collapsed="false">
      <c r="A635" s="6" t="s">
        <v>3907</v>
      </c>
      <c r="B635" s="6" t="n">
        <v>56</v>
      </c>
      <c r="C635" s="6" t="n">
        <v>17</v>
      </c>
      <c r="D635" s="12" t="n">
        <f aca="false">C635/(B635+C635)*100</f>
        <v>23.2876712328767</v>
      </c>
      <c r="E635" s="6" t="n">
        <v>10</v>
      </c>
      <c r="F635" s="6" t="s">
        <v>3908</v>
      </c>
      <c r="G635" s="6" t="n">
        <v>8</v>
      </c>
      <c r="H635" s="6" t="s">
        <v>3909</v>
      </c>
      <c r="I635" s="6" t="n">
        <v>6</v>
      </c>
      <c r="J635" s="6" t="s">
        <v>3910</v>
      </c>
      <c r="K635" s="6" t="n">
        <v>2</v>
      </c>
      <c r="L635" s="6" t="s">
        <v>3911</v>
      </c>
      <c r="M635" s="6" t="n">
        <v>1</v>
      </c>
      <c r="N635" s="6" t="s">
        <v>3912</v>
      </c>
      <c r="O635" s="6" t="n">
        <v>0</v>
      </c>
      <c r="P635" s="6" t="s">
        <v>3913</v>
      </c>
      <c r="Q635" s="6" t="n">
        <v>0</v>
      </c>
      <c r="R635" s="6" t="s">
        <v>3914</v>
      </c>
      <c r="S635" s="6" t="n">
        <v>0</v>
      </c>
      <c r="T635" s="6" t="s">
        <v>3915</v>
      </c>
      <c r="U635" s="6" t="n">
        <v>0</v>
      </c>
      <c r="V635" s="6" t="s">
        <v>3916</v>
      </c>
      <c r="W635" s="6" t="n">
        <v>0</v>
      </c>
      <c r="X635" s="6" t="s">
        <v>3917</v>
      </c>
      <c r="Y635" s="6" t="n">
        <v>0</v>
      </c>
    </row>
    <row r="636" customFormat="false" ht="12.8" hidden="false" customHeight="false" outlineLevel="0" collapsed="false">
      <c r="A636" s="6" t="s">
        <v>3918</v>
      </c>
      <c r="B636" s="6" t="n">
        <v>56</v>
      </c>
      <c r="C636" s="6" t="n">
        <v>16</v>
      </c>
      <c r="D636" s="12" t="n">
        <f aca="false">C636/(B636+C636)*100</f>
        <v>22.2222222222222</v>
      </c>
      <c r="E636" s="6" t="n">
        <v>3</v>
      </c>
      <c r="F636" s="6" t="s">
        <v>3919</v>
      </c>
      <c r="G636" s="6" t="n">
        <v>12</v>
      </c>
      <c r="H636" s="6" t="s">
        <v>3920</v>
      </c>
      <c r="I636" s="6" t="n">
        <v>4</v>
      </c>
      <c r="J636" s="6" t="s">
        <v>3921</v>
      </c>
      <c r="K636" s="6" t="n">
        <v>0</v>
      </c>
    </row>
    <row r="637" customFormat="false" ht="12.8" hidden="false" customHeight="false" outlineLevel="0" collapsed="false">
      <c r="A637" s="6" t="s">
        <v>3922</v>
      </c>
      <c r="B637" s="6" t="n">
        <v>56</v>
      </c>
      <c r="C637" s="6" t="n">
        <v>4</v>
      </c>
      <c r="D637" s="12" t="n">
        <f aca="false">C637/(B637+C637)*100</f>
        <v>6.66666666666667</v>
      </c>
      <c r="E637" s="6" t="n">
        <v>2</v>
      </c>
      <c r="F637" s="6" t="s">
        <v>3923</v>
      </c>
      <c r="G637" s="6" t="n">
        <v>3</v>
      </c>
      <c r="H637" s="6" t="s">
        <v>3924</v>
      </c>
      <c r="I637" s="6" t="n">
        <v>1</v>
      </c>
    </row>
    <row r="638" customFormat="false" ht="12.8" hidden="false" customHeight="false" outlineLevel="0" collapsed="false">
      <c r="A638" s="6" t="s">
        <v>3925</v>
      </c>
      <c r="B638" s="6" t="n">
        <v>57</v>
      </c>
      <c r="C638" s="6" t="n">
        <v>629</v>
      </c>
      <c r="D638" s="12" t="n">
        <f aca="false">C638/(B638+C638)*100</f>
        <v>91.6909620991254</v>
      </c>
      <c r="E638" s="6" t="n">
        <v>28</v>
      </c>
      <c r="F638" s="6" t="s">
        <v>3926</v>
      </c>
      <c r="G638" s="6" t="n">
        <v>195</v>
      </c>
      <c r="H638" s="6" t="s">
        <v>3927</v>
      </c>
      <c r="I638" s="6" t="n">
        <v>191</v>
      </c>
      <c r="J638" s="6" t="s">
        <v>3928</v>
      </c>
      <c r="K638" s="6" t="n">
        <v>98</v>
      </c>
      <c r="L638" s="6" t="s">
        <v>3929</v>
      </c>
      <c r="M638" s="6" t="n">
        <v>33</v>
      </c>
      <c r="N638" s="6" t="s">
        <v>3930</v>
      </c>
      <c r="O638" s="6" t="n">
        <v>30</v>
      </c>
      <c r="P638" s="6" t="s">
        <v>3931</v>
      </c>
      <c r="Q638" s="6" t="n">
        <v>16</v>
      </c>
      <c r="R638" s="6" t="s">
        <v>3932</v>
      </c>
      <c r="S638" s="6" t="n">
        <v>14</v>
      </c>
      <c r="T638" s="6" t="s">
        <v>3933</v>
      </c>
      <c r="U638" s="6" t="n">
        <v>11</v>
      </c>
      <c r="V638" s="6" t="s">
        <v>3934</v>
      </c>
      <c r="W638" s="6" t="n">
        <v>9</v>
      </c>
      <c r="X638" s="6" t="s">
        <v>3935</v>
      </c>
      <c r="Y638" s="6" t="n">
        <v>8</v>
      </c>
      <c r="Z638" s="6" t="s">
        <v>3936</v>
      </c>
      <c r="AA638" s="6" t="n">
        <v>7</v>
      </c>
      <c r="AB638" s="6" t="s">
        <v>3937</v>
      </c>
      <c r="AC638" s="6" t="n">
        <v>5</v>
      </c>
      <c r="AD638" s="6" t="s">
        <v>3938</v>
      </c>
      <c r="AE638" s="6" t="n">
        <v>4</v>
      </c>
      <c r="AF638" s="6" t="s">
        <v>3939</v>
      </c>
      <c r="AG638" s="6" t="n">
        <v>1</v>
      </c>
      <c r="AH638" s="6" t="s">
        <v>3940</v>
      </c>
      <c r="AI638" s="6" t="n">
        <v>1</v>
      </c>
      <c r="AJ638" s="6" t="s">
        <v>3941</v>
      </c>
      <c r="AK638" s="6" t="n">
        <v>1</v>
      </c>
      <c r="AL638" s="6" t="s">
        <v>3942</v>
      </c>
      <c r="AM638" s="6" t="n">
        <v>1</v>
      </c>
      <c r="AN638" s="6" t="s">
        <v>3943</v>
      </c>
      <c r="AO638" s="6" t="n">
        <v>1</v>
      </c>
      <c r="AP638" s="6" t="s">
        <v>3944</v>
      </c>
      <c r="AQ638" s="6" t="n">
        <v>1</v>
      </c>
      <c r="AR638" s="6" t="s">
        <v>3945</v>
      </c>
      <c r="AS638" s="6" t="n">
        <v>1</v>
      </c>
      <c r="AT638" s="6" t="s">
        <v>3942</v>
      </c>
      <c r="AU638" s="6" t="n">
        <v>1</v>
      </c>
      <c r="AV638" s="6" t="s">
        <v>3946</v>
      </c>
      <c r="AW638" s="6" t="n">
        <v>0</v>
      </c>
      <c r="AX638" s="6" t="s">
        <v>3947</v>
      </c>
      <c r="AY638" s="6" t="n">
        <v>0</v>
      </c>
      <c r="AZ638" s="6" t="s">
        <v>3948</v>
      </c>
      <c r="BA638" s="6" t="n">
        <v>0</v>
      </c>
      <c r="BB638" s="6" t="s">
        <v>3949</v>
      </c>
      <c r="BC638" s="6" t="n">
        <v>0</v>
      </c>
      <c r="BD638" s="6" t="s">
        <v>3950</v>
      </c>
      <c r="BE638" s="6" t="n">
        <v>0</v>
      </c>
      <c r="BF638" s="6" t="s">
        <v>3951</v>
      </c>
      <c r="BG638" s="6" t="n">
        <v>0</v>
      </c>
      <c r="BH638" s="6" t="s">
        <v>3948</v>
      </c>
      <c r="BI638" s="6" t="n">
        <v>0</v>
      </c>
    </row>
    <row r="639" customFormat="false" ht="12.8" hidden="false" customHeight="false" outlineLevel="0" collapsed="false">
      <c r="A639" s="6" t="s">
        <v>3952</v>
      </c>
      <c r="B639" s="6" t="n">
        <v>57</v>
      </c>
      <c r="C639" s="6" t="n">
        <v>26</v>
      </c>
      <c r="D639" s="12" t="n">
        <f aca="false">C639/(B639+C639)*100</f>
        <v>31.3253012048193</v>
      </c>
      <c r="E639" s="6" t="n">
        <v>6</v>
      </c>
      <c r="F639" s="6" t="s">
        <v>3953</v>
      </c>
      <c r="G639" s="6" t="n">
        <v>24</v>
      </c>
      <c r="H639" s="6" t="s">
        <v>3954</v>
      </c>
      <c r="I639" s="6" t="n">
        <v>1</v>
      </c>
      <c r="J639" s="6" t="s">
        <v>3955</v>
      </c>
      <c r="K639" s="6" t="n">
        <v>1</v>
      </c>
      <c r="L639" s="6" t="s">
        <v>3956</v>
      </c>
      <c r="M639" s="6" t="n">
        <v>0</v>
      </c>
      <c r="N639" s="6" t="s">
        <v>3957</v>
      </c>
      <c r="O639" s="6" t="n">
        <v>0</v>
      </c>
      <c r="P639" s="6" t="s">
        <v>3958</v>
      </c>
      <c r="Q639" s="6" t="n">
        <v>0</v>
      </c>
    </row>
    <row r="640" customFormat="false" ht="12.8" hidden="false" customHeight="false" outlineLevel="0" collapsed="false">
      <c r="A640" s="6" t="s">
        <v>3959</v>
      </c>
      <c r="B640" s="6" t="n">
        <v>57</v>
      </c>
      <c r="C640" s="6" t="n">
        <v>24</v>
      </c>
      <c r="D640" s="12" t="n">
        <f aca="false">C640/(B640+C640)*100</f>
        <v>29.6296296296296</v>
      </c>
      <c r="E640" s="6" t="n">
        <v>6</v>
      </c>
      <c r="F640" s="6" t="s">
        <v>3960</v>
      </c>
      <c r="G640" s="6" t="n">
        <v>18</v>
      </c>
      <c r="H640" s="6" t="s">
        <v>3961</v>
      </c>
      <c r="I640" s="6" t="n">
        <v>2</v>
      </c>
      <c r="J640" s="6" t="s">
        <v>3962</v>
      </c>
      <c r="K640" s="6" t="n">
        <v>2</v>
      </c>
      <c r="L640" s="6" t="s">
        <v>3963</v>
      </c>
      <c r="M640" s="6" t="n">
        <v>1</v>
      </c>
      <c r="N640" s="6" t="s">
        <v>3964</v>
      </c>
      <c r="O640" s="6" t="n">
        <v>1</v>
      </c>
      <c r="P640" s="6" t="s">
        <v>3965</v>
      </c>
      <c r="Q640" s="6" t="n">
        <v>0</v>
      </c>
    </row>
    <row r="641" customFormat="false" ht="12.8" hidden="false" customHeight="false" outlineLevel="0" collapsed="false">
      <c r="A641" s="6" t="s">
        <v>3966</v>
      </c>
      <c r="B641" s="6" t="n">
        <v>57</v>
      </c>
      <c r="C641" s="6" t="n">
        <v>19</v>
      </c>
      <c r="D641" s="12" t="n">
        <f aca="false">C641/(B641+C641)*100</f>
        <v>25</v>
      </c>
      <c r="E641" s="6" t="n">
        <v>15</v>
      </c>
      <c r="F641" s="6" t="s">
        <v>3967</v>
      </c>
      <c r="G641" s="6" t="n">
        <v>8</v>
      </c>
      <c r="H641" s="6" t="s">
        <v>3968</v>
      </c>
      <c r="I641" s="6" t="n">
        <v>5</v>
      </c>
      <c r="J641" s="6" t="s">
        <v>3969</v>
      </c>
      <c r="K641" s="6" t="n">
        <v>3</v>
      </c>
      <c r="L641" s="6" t="s">
        <v>3970</v>
      </c>
      <c r="M641" s="6" t="n">
        <v>1</v>
      </c>
      <c r="N641" s="6" t="s">
        <v>3971</v>
      </c>
      <c r="O641" s="6" t="n">
        <v>1</v>
      </c>
      <c r="P641" s="6" t="s">
        <v>3972</v>
      </c>
      <c r="Q641" s="6" t="n">
        <v>1</v>
      </c>
      <c r="R641" s="6" t="s">
        <v>3973</v>
      </c>
      <c r="S641" s="6" t="n">
        <v>0</v>
      </c>
      <c r="T641" s="6" t="s">
        <v>3974</v>
      </c>
      <c r="U641" s="6" t="n">
        <v>0</v>
      </c>
      <c r="V641" s="6" t="s">
        <v>3975</v>
      </c>
      <c r="W641" s="6" t="n">
        <v>0</v>
      </c>
      <c r="X641" s="6" t="s">
        <v>3976</v>
      </c>
      <c r="Y641" s="6" t="n">
        <v>0</v>
      </c>
      <c r="Z641" s="6" t="s">
        <v>3977</v>
      </c>
      <c r="AA641" s="6" t="n">
        <v>0</v>
      </c>
      <c r="AB641" s="6" t="s">
        <v>3978</v>
      </c>
      <c r="AC641" s="6" t="n">
        <v>0</v>
      </c>
      <c r="AD641" s="6" t="s">
        <v>3979</v>
      </c>
      <c r="AE641" s="6" t="n">
        <v>0</v>
      </c>
      <c r="AF641" s="6" t="s">
        <v>3980</v>
      </c>
      <c r="AG641" s="6" t="n">
        <v>0</v>
      </c>
      <c r="AH641" s="6" t="s">
        <v>3981</v>
      </c>
      <c r="AI641" s="6" t="n">
        <v>0</v>
      </c>
    </row>
    <row r="642" customFormat="false" ht="12.8" hidden="false" customHeight="false" outlineLevel="0" collapsed="false">
      <c r="A642" s="6" t="s">
        <v>3982</v>
      </c>
      <c r="B642" s="6" t="n">
        <v>57</v>
      </c>
      <c r="C642" s="6" t="n">
        <v>10</v>
      </c>
      <c r="D642" s="12" t="n">
        <f aca="false">C642/(B642+C642)*100</f>
        <v>14.9253731343284</v>
      </c>
      <c r="E642" s="6" t="n">
        <v>3</v>
      </c>
      <c r="F642" s="6" t="s">
        <v>3983</v>
      </c>
      <c r="G642" s="6" t="n">
        <v>8</v>
      </c>
      <c r="H642" s="6" t="s">
        <v>3984</v>
      </c>
      <c r="I642" s="6" t="n">
        <v>1</v>
      </c>
      <c r="J642" s="6" t="s">
        <v>3985</v>
      </c>
      <c r="K642" s="6" t="n">
        <v>1</v>
      </c>
    </row>
    <row r="643" customFormat="false" ht="12.8" hidden="false" customHeight="false" outlineLevel="0" collapsed="false">
      <c r="A643" s="6" t="s">
        <v>3986</v>
      </c>
      <c r="B643" s="6" t="n">
        <v>57</v>
      </c>
      <c r="C643" s="6" t="n">
        <v>9</v>
      </c>
      <c r="D643" s="12" t="n">
        <f aca="false">C643/(B643+C643)*100</f>
        <v>13.6363636363636</v>
      </c>
      <c r="E643" s="6" t="n">
        <v>5</v>
      </c>
      <c r="F643" s="6" t="s">
        <v>3987</v>
      </c>
      <c r="G643" s="6" t="n">
        <v>5</v>
      </c>
      <c r="H643" s="6" t="s">
        <v>3988</v>
      </c>
      <c r="I643" s="6" t="n">
        <v>1</v>
      </c>
      <c r="J643" s="6" t="s">
        <v>3989</v>
      </c>
      <c r="K643" s="6" t="n">
        <v>1</v>
      </c>
      <c r="L643" s="6" t="s">
        <v>3990</v>
      </c>
      <c r="M643" s="6" t="n">
        <v>1</v>
      </c>
      <c r="N643" s="6" t="s">
        <v>3991</v>
      </c>
      <c r="O643" s="6" t="n">
        <v>1</v>
      </c>
    </row>
    <row r="644" customFormat="false" ht="12.8" hidden="false" customHeight="false" outlineLevel="0" collapsed="false">
      <c r="A644" s="6" t="s">
        <v>3992</v>
      </c>
      <c r="B644" s="6" t="n">
        <v>57</v>
      </c>
      <c r="C644" s="6" t="n">
        <v>1</v>
      </c>
      <c r="D644" s="12" t="n">
        <f aca="false">C644/(B644+C644)*100</f>
        <v>1.72413793103448</v>
      </c>
      <c r="E644" s="6" t="n">
        <v>3</v>
      </c>
      <c r="F644" s="6" t="s">
        <v>3993</v>
      </c>
      <c r="G644" s="6" t="n">
        <v>1</v>
      </c>
      <c r="H644" s="6" t="s">
        <v>3994</v>
      </c>
      <c r="I644" s="6" t="n">
        <v>0</v>
      </c>
      <c r="J644" s="6" t="s">
        <v>3995</v>
      </c>
      <c r="K644" s="6" t="n">
        <v>0</v>
      </c>
    </row>
    <row r="645" customFormat="false" ht="12.8" hidden="false" customHeight="false" outlineLevel="0" collapsed="false">
      <c r="A645" s="6" t="s">
        <v>3996</v>
      </c>
      <c r="B645" s="6" t="n">
        <v>57</v>
      </c>
      <c r="C645" s="6" t="n">
        <v>0</v>
      </c>
      <c r="D645" s="12" t="n">
        <f aca="false">C645/(B645+C645)*100</f>
        <v>0</v>
      </c>
      <c r="E645" s="6" t="n">
        <v>1</v>
      </c>
      <c r="F645" s="6" t="s">
        <v>3997</v>
      </c>
      <c r="G645" s="6" t="n">
        <v>0</v>
      </c>
    </row>
    <row r="646" customFormat="false" ht="12.8" hidden="false" customHeight="false" outlineLevel="0" collapsed="false">
      <c r="A646" s="6" t="s">
        <v>3998</v>
      </c>
      <c r="B646" s="6" t="n">
        <v>58</v>
      </c>
      <c r="C646" s="6" t="n">
        <v>137</v>
      </c>
      <c r="D646" s="12" t="n">
        <f aca="false">C646/(B646+C646)*100</f>
        <v>70.2564102564102</v>
      </c>
      <c r="E646" s="6" t="n">
        <v>6</v>
      </c>
      <c r="F646" s="6" t="s">
        <v>3999</v>
      </c>
      <c r="G646" s="6" t="n">
        <v>79</v>
      </c>
      <c r="H646" s="6" t="s">
        <v>4000</v>
      </c>
      <c r="I646" s="6" t="n">
        <v>43</v>
      </c>
      <c r="J646" s="6" t="s">
        <v>4001</v>
      </c>
      <c r="K646" s="6" t="n">
        <v>7</v>
      </c>
      <c r="L646" s="6" t="s">
        <v>4002</v>
      </c>
      <c r="M646" s="6" t="n">
        <v>5</v>
      </c>
      <c r="N646" s="6" t="s">
        <v>4003</v>
      </c>
      <c r="O646" s="6" t="n">
        <v>2</v>
      </c>
      <c r="P646" s="6" t="s">
        <v>4004</v>
      </c>
      <c r="Q646" s="6" t="n">
        <v>1</v>
      </c>
    </row>
    <row r="647" customFormat="false" ht="12.8" hidden="false" customHeight="false" outlineLevel="0" collapsed="false">
      <c r="A647" s="6" t="s">
        <v>4005</v>
      </c>
      <c r="B647" s="6" t="n">
        <v>58</v>
      </c>
      <c r="C647" s="6" t="n">
        <v>60</v>
      </c>
      <c r="D647" s="12" t="n">
        <f aca="false">C647/(B647+C647)*100</f>
        <v>50.8474576271186</v>
      </c>
      <c r="E647" s="6" t="n">
        <v>4</v>
      </c>
      <c r="F647" s="6" t="s">
        <v>4006</v>
      </c>
      <c r="G647" s="6" t="n">
        <v>46</v>
      </c>
      <c r="H647" s="6" t="s">
        <v>4007</v>
      </c>
      <c r="I647" s="6" t="n">
        <v>12</v>
      </c>
      <c r="J647" s="6" t="s">
        <v>4008</v>
      </c>
      <c r="K647" s="6" t="n">
        <v>1</v>
      </c>
      <c r="L647" s="6" t="s">
        <v>4009</v>
      </c>
      <c r="M647" s="6" t="n">
        <v>1</v>
      </c>
    </row>
    <row r="648" customFormat="false" ht="12.8" hidden="false" customHeight="false" outlineLevel="0" collapsed="false">
      <c r="A648" s="6" t="s">
        <v>4010</v>
      </c>
      <c r="B648" s="6" t="n">
        <v>59</v>
      </c>
      <c r="C648" s="6" t="n">
        <v>4</v>
      </c>
      <c r="D648" s="12" t="n">
        <f aca="false">C648/(B648+C648)*100</f>
        <v>6.34920634920635</v>
      </c>
      <c r="E648" s="6" t="n">
        <v>2</v>
      </c>
      <c r="F648" s="6" t="s">
        <v>4011</v>
      </c>
      <c r="G648" s="6" t="n">
        <v>3</v>
      </c>
      <c r="H648" s="6" t="s">
        <v>4012</v>
      </c>
      <c r="I648" s="6" t="n">
        <v>1</v>
      </c>
    </row>
    <row r="649" customFormat="false" ht="12.8" hidden="false" customHeight="false" outlineLevel="0" collapsed="false">
      <c r="A649" s="6" t="s">
        <v>4013</v>
      </c>
      <c r="B649" s="6" t="n">
        <v>60</v>
      </c>
      <c r="C649" s="6" t="n">
        <v>325</v>
      </c>
      <c r="D649" s="12" t="n">
        <f aca="false">C649/(B649+C649)*100</f>
        <v>84.4155844155844</v>
      </c>
      <c r="E649" s="6" t="n">
        <v>20</v>
      </c>
      <c r="F649" s="6" t="s">
        <v>4014</v>
      </c>
      <c r="G649" s="6" t="n">
        <v>191</v>
      </c>
      <c r="H649" s="6" t="s">
        <v>4015</v>
      </c>
      <c r="I649" s="6" t="n">
        <v>103</v>
      </c>
      <c r="J649" s="6" t="s">
        <v>4016</v>
      </c>
      <c r="K649" s="6" t="n">
        <v>9</v>
      </c>
      <c r="L649" s="6" t="s">
        <v>4017</v>
      </c>
      <c r="M649" s="6" t="n">
        <v>7</v>
      </c>
      <c r="N649" s="6" t="s">
        <v>4018</v>
      </c>
      <c r="O649" s="6" t="n">
        <v>3</v>
      </c>
      <c r="P649" s="6" t="s">
        <v>4019</v>
      </c>
      <c r="Q649" s="6" t="n">
        <v>2</v>
      </c>
      <c r="R649" s="6" t="s">
        <v>4020</v>
      </c>
      <c r="S649" s="6" t="n">
        <v>2</v>
      </c>
      <c r="T649" s="6" t="s">
        <v>4021</v>
      </c>
      <c r="U649" s="6" t="n">
        <v>1</v>
      </c>
      <c r="V649" s="6" t="s">
        <v>4022</v>
      </c>
      <c r="W649" s="6" t="n">
        <v>1</v>
      </c>
      <c r="X649" s="6" t="s">
        <v>4023</v>
      </c>
      <c r="Y649" s="6" t="n">
        <v>1</v>
      </c>
      <c r="Z649" s="6" t="s">
        <v>4024</v>
      </c>
      <c r="AA649" s="6" t="n">
        <v>1</v>
      </c>
      <c r="AB649" s="6" t="s">
        <v>4025</v>
      </c>
      <c r="AC649" s="6" t="n">
        <v>1</v>
      </c>
      <c r="AD649" s="6" t="s">
        <v>4026</v>
      </c>
      <c r="AE649" s="6" t="n">
        <v>1</v>
      </c>
      <c r="AF649" s="6" t="s">
        <v>4027</v>
      </c>
      <c r="AG649" s="6" t="n">
        <v>1</v>
      </c>
      <c r="AH649" s="6" t="s">
        <v>4028</v>
      </c>
      <c r="AI649" s="6" t="n">
        <v>1</v>
      </c>
      <c r="AJ649" s="6" t="s">
        <v>4029</v>
      </c>
      <c r="AK649" s="6" t="n">
        <v>0</v>
      </c>
      <c r="AL649" s="6" t="s">
        <v>4030</v>
      </c>
      <c r="AM649" s="6" t="n">
        <v>0</v>
      </c>
      <c r="AN649" s="6" t="s">
        <v>4031</v>
      </c>
      <c r="AO649" s="6" t="n">
        <v>0</v>
      </c>
      <c r="AP649" s="6" t="s">
        <v>4032</v>
      </c>
      <c r="AQ649" s="6" t="n">
        <v>0</v>
      </c>
      <c r="AR649" s="6" t="s">
        <v>4033</v>
      </c>
      <c r="AS649" s="6" t="n">
        <v>0</v>
      </c>
    </row>
    <row r="650" customFormat="false" ht="12.8" hidden="false" customHeight="false" outlineLevel="0" collapsed="false">
      <c r="A650" s="6" t="s">
        <v>4034</v>
      </c>
      <c r="B650" s="6" t="n">
        <v>60</v>
      </c>
      <c r="C650" s="6" t="n">
        <v>29</v>
      </c>
      <c r="D650" s="12" t="n">
        <f aca="false">C650/(B650+C650)*100</f>
        <v>32.5842696629214</v>
      </c>
      <c r="E650" s="6" t="n">
        <v>8</v>
      </c>
      <c r="F650" s="6" t="s">
        <v>4035</v>
      </c>
      <c r="G650" s="6" t="n">
        <v>11</v>
      </c>
      <c r="H650" s="6" t="s">
        <v>4036</v>
      </c>
      <c r="I650" s="6" t="n">
        <v>6</v>
      </c>
      <c r="J650" s="6" t="s">
        <v>4037</v>
      </c>
      <c r="K650" s="6" t="n">
        <v>4</v>
      </c>
      <c r="L650" s="6" t="s">
        <v>4038</v>
      </c>
      <c r="M650" s="6" t="n">
        <v>3</v>
      </c>
      <c r="N650" s="6" t="s">
        <v>4039</v>
      </c>
      <c r="O650" s="6" t="n">
        <v>2</v>
      </c>
      <c r="P650" s="6" t="s">
        <v>4040</v>
      </c>
      <c r="Q650" s="6" t="n">
        <v>2</v>
      </c>
      <c r="R650" s="6" t="s">
        <v>4041</v>
      </c>
      <c r="S650" s="6" t="n">
        <v>1</v>
      </c>
      <c r="T650" s="6" t="s">
        <v>4042</v>
      </c>
      <c r="U650" s="6" t="n">
        <v>0</v>
      </c>
    </row>
    <row r="651" customFormat="false" ht="12.8" hidden="false" customHeight="false" outlineLevel="0" collapsed="false">
      <c r="A651" s="6" t="s">
        <v>4043</v>
      </c>
      <c r="B651" s="6" t="n">
        <v>60</v>
      </c>
      <c r="C651" s="6" t="n">
        <v>13</v>
      </c>
      <c r="D651" s="12" t="n">
        <f aca="false">C651/(B651+C651)*100</f>
        <v>17.8082191780822</v>
      </c>
      <c r="E651" s="6" t="n">
        <v>7</v>
      </c>
      <c r="F651" s="6" t="s">
        <v>4044</v>
      </c>
      <c r="G651" s="6" t="n">
        <v>5</v>
      </c>
      <c r="H651" s="6" t="s">
        <v>4045</v>
      </c>
      <c r="I651" s="6" t="n">
        <v>4</v>
      </c>
      <c r="J651" s="6" t="s">
        <v>4046</v>
      </c>
      <c r="K651" s="6" t="n">
        <v>2</v>
      </c>
      <c r="L651" s="6" t="s">
        <v>4047</v>
      </c>
      <c r="M651" s="6" t="n">
        <v>1</v>
      </c>
      <c r="N651" s="6" t="s">
        <v>4048</v>
      </c>
      <c r="O651" s="6" t="n">
        <v>1</v>
      </c>
      <c r="P651" s="6" t="s">
        <v>4049</v>
      </c>
      <c r="Q651" s="6" t="n">
        <v>0</v>
      </c>
      <c r="R651" s="6" t="s">
        <v>4050</v>
      </c>
      <c r="S651" s="6" t="n">
        <v>0</v>
      </c>
    </row>
    <row r="652" customFormat="false" ht="12.8" hidden="false" customHeight="false" outlineLevel="0" collapsed="false">
      <c r="A652" s="6" t="s">
        <v>4051</v>
      </c>
      <c r="B652" s="6" t="n">
        <v>60</v>
      </c>
      <c r="C652" s="6" t="n">
        <v>6</v>
      </c>
      <c r="D652" s="12" t="n">
        <f aca="false">C652/(B652+C652)*100</f>
        <v>9.09090909090909</v>
      </c>
      <c r="E652" s="6" t="n">
        <v>4</v>
      </c>
      <c r="F652" s="6" t="s">
        <v>4052</v>
      </c>
      <c r="G652" s="6" t="n">
        <v>3</v>
      </c>
      <c r="H652" s="6" t="s">
        <v>4053</v>
      </c>
      <c r="I652" s="6" t="n">
        <v>2</v>
      </c>
      <c r="J652" s="6" t="s">
        <v>4054</v>
      </c>
      <c r="K652" s="6" t="n">
        <v>1</v>
      </c>
      <c r="L652" s="6" t="s">
        <v>4055</v>
      </c>
      <c r="M652" s="6" t="n">
        <v>0</v>
      </c>
    </row>
    <row r="653" customFormat="false" ht="12.8" hidden="false" customHeight="false" outlineLevel="0" collapsed="false">
      <c r="A653" s="6" t="s">
        <v>4056</v>
      </c>
      <c r="B653" s="6" t="n">
        <v>60</v>
      </c>
      <c r="C653" s="6" t="n">
        <v>3</v>
      </c>
      <c r="D653" s="12" t="n">
        <f aca="false">C653/(B653+C653)*100</f>
        <v>4.76190476190476</v>
      </c>
      <c r="E653" s="6" t="n">
        <v>3</v>
      </c>
      <c r="F653" s="6" t="s">
        <v>4057</v>
      </c>
      <c r="G653" s="6" t="n">
        <v>1</v>
      </c>
      <c r="H653" s="6" t="s">
        <v>4058</v>
      </c>
      <c r="I653" s="6" t="n">
        <v>1</v>
      </c>
      <c r="J653" s="6" t="s">
        <v>4059</v>
      </c>
      <c r="K653" s="6" t="n">
        <v>1</v>
      </c>
    </row>
    <row r="654" customFormat="false" ht="12.8" hidden="false" customHeight="false" outlineLevel="0" collapsed="false">
      <c r="A654" s="6" t="s">
        <v>4060</v>
      </c>
      <c r="B654" s="6" t="n">
        <v>61</v>
      </c>
      <c r="C654" s="6" t="n">
        <v>4</v>
      </c>
      <c r="D654" s="12" t="n">
        <f aca="false">C654/(B654+C654)*100</f>
        <v>6.15384615384615</v>
      </c>
      <c r="E654" s="6" t="n">
        <v>3</v>
      </c>
      <c r="F654" s="6" t="s">
        <v>4061</v>
      </c>
      <c r="G654" s="6" t="n">
        <v>3</v>
      </c>
      <c r="H654" s="6" t="s">
        <v>4062</v>
      </c>
      <c r="I654" s="6" t="n">
        <v>1</v>
      </c>
      <c r="J654" s="6" t="s">
        <v>4063</v>
      </c>
      <c r="K654" s="6" t="n">
        <v>0</v>
      </c>
    </row>
    <row r="655" customFormat="false" ht="12.8" hidden="false" customHeight="false" outlineLevel="0" collapsed="false">
      <c r="A655" s="6" t="s">
        <v>4064</v>
      </c>
      <c r="B655" s="6" t="n">
        <v>62</v>
      </c>
      <c r="C655" s="6" t="n">
        <v>9</v>
      </c>
      <c r="D655" s="12" t="n">
        <f aca="false">C655/(B655+C655)*100</f>
        <v>12.6760563380282</v>
      </c>
      <c r="E655" s="6" t="n">
        <v>3</v>
      </c>
      <c r="F655" s="6" t="s">
        <v>4065</v>
      </c>
      <c r="G655" s="6" t="n">
        <v>5</v>
      </c>
      <c r="H655" s="6" t="s">
        <v>4066</v>
      </c>
      <c r="I655" s="6" t="n">
        <v>3</v>
      </c>
      <c r="J655" s="6" t="s">
        <v>4067</v>
      </c>
      <c r="K655" s="6" t="n">
        <v>1</v>
      </c>
    </row>
    <row r="656" customFormat="false" ht="12.8" hidden="false" customHeight="false" outlineLevel="0" collapsed="false">
      <c r="A656" s="6" t="s">
        <v>4068</v>
      </c>
      <c r="B656" s="6" t="n">
        <v>62</v>
      </c>
      <c r="C656" s="6" t="n">
        <v>7</v>
      </c>
      <c r="D656" s="12" t="n">
        <f aca="false">C656/(B656+C656)*100</f>
        <v>10.1449275362319</v>
      </c>
      <c r="E656" s="6" t="n">
        <v>2</v>
      </c>
      <c r="F656" s="6" t="s">
        <v>4069</v>
      </c>
      <c r="G656" s="6" t="n">
        <v>6</v>
      </c>
      <c r="H656" s="6" t="s">
        <v>4070</v>
      </c>
      <c r="I656" s="6" t="n">
        <v>1</v>
      </c>
    </row>
    <row r="657" customFormat="false" ht="12.8" hidden="false" customHeight="false" outlineLevel="0" collapsed="false">
      <c r="A657" s="6" t="s">
        <v>4071</v>
      </c>
      <c r="B657" s="6" t="n">
        <v>62</v>
      </c>
      <c r="C657" s="6" t="n">
        <v>5</v>
      </c>
      <c r="D657" s="12" t="n">
        <f aca="false">C657/(B657+C657)*100</f>
        <v>7.46268656716418</v>
      </c>
      <c r="E657" s="6" t="n">
        <v>2</v>
      </c>
      <c r="F657" s="6" t="s">
        <v>4072</v>
      </c>
      <c r="G657" s="6" t="n">
        <v>4</v>
      </c>
      <c r="H657" s="6" t="s">
        <v>4073</v>
      </c>
      <c r="I657" s="6" t="n">
        <v>1</v>
      </c>
    </row>
    <row r="658" customFormat="false" ht="12.8" hidden="false" customHeight="false" outlineLevel="0" collapsed="false">
      <c r="A658" s="6" t="s">
        <v>4074</v>
      </c>
      <c r="B658" s="6" t="n">
        <v>63</v>
      </c>
      <c r="C658" s="6" t="n">
        <v>47</v>
      </c>
      <c r="D658" s="12" t="n">
        <f aca="false">C658/(B658+C658)*100</f>
        <v>42.7272727272727</v>
      </c>
      <c r="E658" s="6" t="n">
        <v>1</v>
      </c>
      <c r="F658" s="6" t="s">
        <v>4075</v>
      </c>
      <c r="G658" s="6" t="n">
        <v>47</v>
      </c>
    </row>
    <row r="659" customFormat="false" ht="12.8" hidden="false" customHeight="false" outlineLevel="0" collapsed="false">
      <c r="A659" s="6" t="s">
        <v>4076</v>
      </c>
      <c r="B659" s="6" t="n">
        <v>64</v>
      </c>
      <c r="C659" s="6" t="n">
        <v>52</v>
      </c>
      <c r="D659" s="12" t="n">
        <f aca="false">C659/(B659+C659)*100</f>
        <v>44.8275862068966</v>
      </c>
      <c r="E659" s="6" t="n">
        <v>9</v>
      </c>
      <c r="F659" s="6" t="s">
        <v>4077</v>
      </c>
      <c r="G659" s="6" t="n">
        <v>38</v>
      </c>
      <c r="H659" s="6" t="s">
        <v>4078</v>
      </c>
      <c r="I659" s="6" t="n">
        <v>4</v>
      </c>
      <c r="J659" s="6" t="s">
        <v>4079</v>
      </c>
      <c r="K659" s="6" t="n">
        <v>3</v>
      </c>
      <c r="L659" s="6" t="s">
        <v>4080</v>
      </c>
      <c r="M659" s="6" t="n">
        <v>2</v>
      </c>
      <c r="N659" s="6" t="s">
        <v>4081</v>
      </c>
      <c r="O659" s="6" t="n">
        <v>2</v>
      </c>
      <c r="P659" s="6" t="s">
        <v>4082</v>
      </c>
      <c r="Q659" s="6" t="n">
        <v>1</v>
      </c>
      <c r="R659" s="6" t="s">
        <v>4083</v>
      </c>
      <c r="S659" s="6" t="n">
        <v>1</v>
      </c>
      <c r="T659" s="6" t="s">
        <v>4084</v>
      </c>
      <c r="U659" s="6" t="n">
        <v>1</v>
      </c>
      <c r="V659" s="6" t="s">
        <v>4085</v>
      </c>
      <c r="W659" s="6" t="n">
        <v>0</v>
      </c>
    </row>
    <row r="660" customFormat="false" ht="12.8" hidden="false" customHeight="false" outlineLevel="0" collapsed="false">
      <c r="A660" s="6" t="s">
        <v>4086</v>
      </c>
      <c r="B660" s="6" t="n">
        <v>66</v>
      </c>
      <c r="C660" s="6" t="n">
        <v>41</v>
      </c>
      <c r="D660" s="12" t="n">
        <f aca="false">C660/(B660+C660)*100</f>
        <v>38.3177570093458</v>
      </c>
      <c r="E660" s="6" t="n">
        <v>8</v>
      </c>
      <c r="F660" s="6" t="s">
        <v>4087</v>
      </c>
      <c r="G660" s="6" t="n">
        <v>24</v>
      </c>
      <c r="H660" s="6" t="s">
        <v>4088</v>
      </c>
      <c r="I660" s="6" t="n">
        <v>15</v>
      </c>
      <c r="J660" s="6" t="s">
        <v>4089</v>
      </c>
      <c r="K660" s="6" t="n">
        <v>1</v>
      </c>
      <c r="L660" s="6" t="s">
        <v>4090</v>
      </c>
      <c r="M660" s="6" t="n">
        <v>1</v>
      </c>
      <c r="N660" s="6" t="s">
        <v>4091</v>
      </c>
      <c r="O660" s="6" t="n">
        <v>0</v>
      </c>
      <c r="P660" s="6" t="s">
        <v>4092</v>
      </c>
      <c r="Q660" s="6" t="n">
        <v>0</v>
      </c>
      <c r="R660" s="6" t="s">
        <v>4093</v>
      </c>
      <c r="S660" s="6" t="n">
        <v>0</v>
      </c>
      <c r="T660" s="6" t="s">
        <v>4094</v>
      </c>
      <c r="U660" s="6" t="n">
        <v>0</v>
      </c>
    </row>
    <row r="661" customFormat="false" ht="12.8" hidden="false" customHeight="false" outlineLevel="0" collapsed="false">
      <c r="A661" s="6" t="s">
        <v>4095</v>
      </c>
      <c r="B661" s="6" t="n">
        <v>66</v>
      </c>
      <c r="C661" s="6" t="n">
        <v>40</v>
      </c>
      <c r="D661" s="12" t="n">
        <f aca="false">C661/(B661+C661)*100</f>
        <v>37.7358490566038</v>
      </c>
      <c r="E661" s="6" t="n">
        <v>8</v>
      </c>
      <c r="F661" s="6" t="s">
        <v>4096</v>
      </c>
      <c r="G661" s="6" t="n">
        <v>27</v>
      </c>
      <c r="H661" s="6" t="s">
        <v>4097</v>
      </c>
      <c r="I661" s="6" t="n">
        <v>5</v>
      </c>
      <c r="J661" s="6" t="s">
        <v>4098</v>
      </c>
      <c r="K661" s="6" t="n">
        <v>3</v>
      </c>
      <c r="L661" s="6" t="s">
        <v>4099</v>
      </c>
      <c r="M661" s="6" t="n">
        <v>2</v>
      </c>
      <c r="N661" s="6" t="s">
        <v>4100</v>
      </c>
      <c r="O661" s="6" t="n">
        <v>1</v>
      </c>
      <c r="P661" s="6" t="s">
        <v>4101</v>
      </c>
      <c r="Q661" s="6" t="n">
        <v>1</v>
      </c>
      <c r="R661" s="6" t="s">
        <v>4102</v>
      </c>
      <c r="S661" s="6" t="n">
        <v>1</v>
      </c>
      <c r="T661" s="6" t="s">
        <v>4103</v>
      </c>
      <c r="U661" s="6" t="n">
        <v>0</v>
      </c>
    </row>
    <row r="662" customFormat="false" ht="12.8" hidden="false" customHeight="false" outlineLevel="0" collapsed="false">
      <c r="A662" s="6" t="s">
        <v>4104</v>
      </c>
      <c r="B662" s="6" t="n">
        <v>66</v>
      </c>
      <c r="C662" s="6" t="n">
        <v>18</v>
      </c>
      <c r="D662" s="12" t="n">
        <f aca="false">C662/(B662+C662)*100</f>
        <v>21.4285714285714</v>
      </c>
      <c r="E662" s="6" t="n">
        <v>5</v>
      </c>
      <c r="F662" s="6" t="s">
        <v>4105</v>
      </c>
      <c r="G662" s="6" t="n">
        <v>8</v>
      </c>
      <c r="H662" s="6" t="s">
        <v>4106</v>
      </c>
      <c r="I662" s="6" t="n">
        <v>7</v>
      </c>
      <c r="J662" s="6" t="s">
        <v>4107</v>
      </c>
      <c r="K662" s="6" t="n">
        <v>2</v>
      </c>
      <c r="L662" s="6" t="s">
        <v>4108</v>
      </c>
      <c r="M662" s="6" t="n">
        <v>1</v>
      </c>
      <c r="N662" s="6" t="s">
        <v>4109</v>
      </c>
      <c r="O662" s="6" t="n">
        <v>0</v>
      </c>
    </row>
    <row r="663" customFormat="false" ht="12.8" hidden="false" customHeight="false" outlineLevel="0" collapsed="false">
      <c r="A663" s="6" t="s">
        <v>4110</v>
      </c>
      <c r="B663" s="6" t="n">
        <v>66</v>
      </c>
      <c r="C663" s="6" t="n">
        <v>6</v>
      </c>
      <c r="D663" s="12" t="n">
        <f aca="false">C663/(B663+C663)*100</f>
        <v>8.33333333333333</v>
      </c>
      <c r="E663" s="6" t="n">
        <v>6</v>
      </c>
      <c r="F663" s="6" t="s">
        <v>4111</v>
      </c>
      <c r="G663" s="6" t="n">
        <v>3</v>
      </c>
      <c r="H663" s="6" t="s">
        <v>4112</v>
      </c>
      <c r="I663" s="6" t="n">
        <v>1</v>
      </c>
      <c r="J663" s="6" t="s">
        <v>4113</v>
      </c>
      <c r="K663" s="6" t="n">
        <v>1</v>
      </c>
      <c r="L663" s="6" t="s">
        <v>4114</v>
      </c>
      <c r="M663" s="6" t="n">
        <v>1</v>
      </c>
      <c r="N663" s="6" t="s">
        <v>4115</v>
      </c>
      <c r="O663" s="6" t="n">
        <v>0</v>
      </c>
      <c r="P663" s="6" t="s">
        <v>4116</v>
      </c>
      <c r="Q663" s="6" t="n">
        <v>0</v>
      </c>
    </row>
    <row r="664" customFormat="false" ht="12.8" hidden="false" customHeight="false" outlineLevel="0" collapsed="false">
      <c r="A664" s="6" t="s">
        <v>4117</v>
      </c>
      <c r="B664" s="6" t="n">
        <v>66</v>
      </c>
      <c r="C664" s="6" t="n">
        <v>3</v>
      </c>
      <c r="D664" s="12" t="n">
        <f aca="false">C664/(B664+C664)*100</f>
        <v>4.34782608695652</v>
      </c>
      <c r="E664" s="6" t="n">
        <v>2</v>
      </c>
      <c r="F664" s="6" t="s">
        <v>4118</v>
      </c>
      <c r="G664" s="6" t="n">
        <v>2</v>
      </c>
      <c r="H664" s="6" t="s">
        <v>4119</v>
      </c>
      <c r="I664" s="6" t="n">
        <v>1</v>
      </c>
    </row>
    <row r="665" customFormat="false" ht="12.8" hidden="false" customHeight="false" outlineLevel="0" collapsed="false">
      <c r="A665" s="6" t="s">
        <v>4120</v>
      </c>
      <c r="B665" s="6" t="n">
        <v>67</v>
      </c>
      <c r="C665" s="6" t="n">
        <v>35</v>
      </c>
      <c r="D665" s="12" t="n">
        <f aca="false">C665/(B665+C665)*100</f>
        <v>34.3137254901961</v>
      </c>
      <c r="E665" s="6" t="n">
        <v>3</v>
      </c>
      <c r="F665" s="6" t="s">
        <v>4121</v>
      </c>
      <c r="G665" s="6" t="n">
        <v>31</v>
      </c>
      <c r="H665" s="6" t="s">
        <v>4122</v>
      </c>
      <c r="I665" s="6" t="n">
        <v>3</v>
      </c>
      <c r="J665" s="6" t="s">
        <v>4123</v>
      </c>
      <c r="K665" s="6" t="n">
        <v>1</v>
      </c>
    </row>
    <row r="666" customFormat="false" ht="12.8" hidden="false" customHeight="false" outlineLevel="0" collapsed="false">
      <c r="A666" s="6" t="s">
        <v>4124</v>
      </c>
      <c r="B666" s="6" t="n">
        <v>67</v>
      </c>
      <c r="C666" s="6" t="n">
        <v>4</v>
      </c>
      <c r="D666" s="12" t="n">
        <f aca="false">C666/(B666+C666)*100</f>
        <v>5.63380281690141</v>
      </c>
      <c r="E666" s="6" t="n">
        <v>3</v>
      </c>
      <c r="F666" s="6" t="s">
        <v>4125</v>
      </c>
      <c r="G666" s="6" t="n">
        <v>3</v>
      </c>
      <c r="H666" s="6" t="s">
        <v>4126</v>
      </c>
      <c r="I666" s="6" t="n">
        <v>1</v>
      </c>
      <c r="J666" s="6" t="s">
        <v>4127</v>
      </c>
      <c r="K666" s="6" t="n">
        <v>0</v>
      </c>
    </row>
    <row r="667" customFormat="false" ht="12.8" hidden="false" customHeight="false" outlineLevel="0" collapsed="false">
      <c r="A667" s="6" t="s">
        <v>4128</v>
      </c>
      <c r="B667" s="6" t="n">
        <v>67</v>
      </c>
      <c r="C667" s="6" t="n">
        <v>0</v>
      </c>
      <c r="D667" s="12" t="n">
        <f aca="false">C667/(B667+C667)*100</f>
        <v>0</v>
      </c>
      <c r="E667" s="6" t="n">
        <v>1</v>
      </c>
      <c r="F667" s="6" t="s">
        <v>4129</v>
      </c>
      <c r="G667" s="6" t="n">
        <v>0</v>
      </c>
    </row>
    <row r="668" customFormat="false" ht="12.8" hidden="false" customHeight="false" outlineLevel="0" collapsed="false">
      <c r="A668" s="6" t="s">
        <v>4130</v>
      </c>
      <c r="B668" s="6" t="n">
        <v>68</v>
      </c>
      <c r="C668" s="6" t="n">
        <v>50</v>
      </c>
      <c r="D668" s="12" t="n">
        <f aca="false">C668/(B668+C668)*100</f>
        <v>42.3728813559322</v>
      </c>
      <c r="E668" s="6" t="n">
        <v>13</v>
      </c>
      <c r="F668" s="6" t="s">
        <v>4131</v>
      </c>
      <c r="G668" s="6" t="n">
        <v>36</v>
      </c>
      <c r="H668" s="6" t="s">
        <v>4132</v>
      </c>
      <c r="I668" s="6" t="n">
        <v>4</v>
      </c>
      <c r="J668" s="6" t="s">
        <v>4133</v>
      </c>
      <c r="K668" s="6" t="n">
        <v>3</v>
      </c>
      <c r="L668" s="6" t="s">
        <v>4134</v>
      </c>
      <c r="M668" s="6" t="n">
        <v>3</v>
      </c>
      <c r="N668" s="6" t="s">
        <v>4135</v>
      </c>
      <c r="O668" s="6" t="n">
        <v>1</v>
      </c>
      <c r="P668" s="6" t="s">
        <v>4136</v>
      </c>
      <c r="Q668" s="6" t="n">
        <v>1</v>
      </c>
      <c r="R668" s="6" t="s">
        <v>4137</v>
      </c>
      <c r="S668" s="6" t="n">
        <v>1</v>
      </c>
      <c r="T668" s="6" t="s">
        <v>4138</v>
      </c>
      <c r="U668" s="6" t="n">
        <v>1</v>
      </c>
      <c r="V668" s="6" t="s">
        <v>4139</v>
      </c>
      <c r="W668" s="6" t="n">
        <v>0</v>
      </c>
      <c r="X668" s="6" t="s">
        <v>4140</v>
      </c>
      <c r="Y668" s="6" t="n">
        <v>0</v>
      </c>
      <c r="Z668" s="6" t="s">
        <v>4141</v>
      </c>
      <c r="AA668" s="6" t="n">
        <v>0</v>
      </c>
      <c r="AB668" s="6" t="s">
        <v>4142</v>
      </c>
      <c r="AC668" s="6" t="n">
        <v>0</v>
      </c>
      <c r="AD668" s="6" t="s">
        <v>4143</v>
      </c>
      <c r="AE668" s="6" t="n">
        <v>0</v>
      </c>
    </row>
    <row r="669" customFormat="false" ht="12.8" hidden="false" customHeight="false" outlineLevel="0" collapsed="false">
      <c r="A669" s="6" t="s">
        <v>4144</v>
      </c>
      <c r="B669" s="6" t="n">
        <v>68</v>
      </c>
      <c r="C669" s="6" t="n">
        <v>8</v>
      </c>
      <c r="D669" s="12" t="n">
        <f aca="false">C669/(B669+C669)*100</f>
        <v>10.5263157894737</v>
      </c>
      <c r="E669" s="6" t="n">
        <v>4</v>
      </c>
      <c r="F669" s="6" t="s">
        <v>4145</v>
      </c>
      <c r="G669" s="6" t="n">
        <v>5</v>
      </c>
      <c r="H669" s="6" t="s">
        <v>4146</v>
      </c>
      <c r="I669" s="6" t="n">
        <v>1</v>
      </c>
      <c r="J669" s="6" t="s">
        <v>4147</v>
      </c>
      <c r="K669" s="6" t="n">
        <v>1</v>
      </c>
      <c r="L669" s="6" t="s">
        <v>4148</v>
      </c>
      <c r="M669" s="6" t="n">
        <v>1</v>
      </c>
    </row>
    <row r="670" customFormat="false" ht="12.8" hidden="false" customHeight="false" outlineLevel="0" collapsed="false">
      <c r="A670" s="6" t="s">
        <v>4149</v>
      </c>
      <c r="B670" s="6" t="n">
        <v>69</v>
      </c>
      <c r="C670" s="6" t="n">
        <v>77</v>
      </c>
      <c r="D670" s="12" t="n">
        <f aca="false">C670/(B670+C670)*100</f>
        <v>52.7397260273973</v>
      </c>
      <c r="E670" s="6" t="n">
        <v>14</v>
      </c>
      <c r="F670" s="6" t="s">
        <v>4150</v>
      </c>
      <c r="G670" s="6" t="n">
        <v>28</v>
      </c>
      <c r="H670" s="6" t="s">
        <v>4150</v>
      </c>
      <c r="I670" s="6" t="n">
        <v>28</v>
      </c>
      <c r="J670" s="6" t="s">
        <v>4151</v>
      </c>
      <c r="K670" s="6" t="n">
        <v>8</v>
      </c>
      <c r="L670" s="6" t="s">
        <v>4152</v>
      </c>
      <c r="M670" s="6" t="n">
        <v>3</v>
      </c>
      <c r="N670" s="6" t="s">
        <v>4153</v>
      </c>
      <c r="O670" s="6" t="n">
        <v>3</v>
      </c>
      <c r="P670" s="6" t="s">
        <v>4154</v>
      </c>
      <c r="Q670" s="6" t="n">
        <v>1</v>
      </c>
      <c r="R670" s="6" t="s">
        <v>4155</v>
      </c>
      <c r="S670" s="6" t="n">
        <v>1</v>
      </c>
      <c r="T670" s="6" t="s">
        <v>4156</v>
      </c>
      <c r="U670" s="6" t="n">
        <v>1</v>
      </c>
      <c r="V670" s="6" t="s">
        <v>4154</v>
      </c>
      <c r="W670" s="6" t="n">
        <v>1</v>
      </c>
      <c r="X670" s="6" t="s">
        <v>4157</v>
      </c>
      <c r="Y670" s="6" t="n">
        <v>1</v>
      </c>
      <c r="Z670" s="6" t="s">
        <v>4158</v>
      </c>
      <c r="AA670" s="6" t="n">
        <v>1</v>
      </c>
      <c r="AB670" s="6" t="s">
        <v>4159</v>
      </c>
      <c r="AC670" s="6" t="n">
        <v>1</v>
      </c>
      <c r="AD670" s="6" t="s">
        <v>4160</v>
      </c>
      <c r="AE670" s="6" t="n">
        <v>0</v>
      </c>
      <c r="AF670" s="6" t="s">
        <v>4161</v>
      </c>
      <c r="AG670" s="6" t="n">
        <v>0</v>
      </c>
    </row>
    <row r="671" customFormat="false" ht="12.8" hidden="false" customHeight="false" outlineLevel="0" collapsed="false">
      <c r="A671" s="6" t="s">
        <v>4162</v>
      </c>
      <c r="B671" s="6" t="n">
        <v>70</v>
      </c>
      <c r="C671" s="6" t="n">
        <v>315</v>
      </c>
      <c r="D671" s="12" t="n">
        <f aca="false">C671/(B671+C671)*100</f>
        <v>81.8181818181818</v>
      </c>
      <c r="E671" s="6" t="n">
        <v>19</v>
      </c>
      <c r="F671" s="6" t="s">
        <v>4163</v>
      </c>
      <c r="G671" s="6" t="n">
        <v>157</v>
      </c>
      <c r="H671" s="6" t="s">
        <v>4164</v>
      </c>
      <c r="I671" s="6" t="n">
        <v>37</v>
      </c>
      <c r="J671" s="6" t="s">
        <v>4165</v>
      </c>
      <c r="K671" s="6" t="n">
        <v>27</v>
      </c>
      <c r="L671" s="6" t="s">
        <v>4166</v>
      </c>
      <c r="M671" s="6" t="n">
        <v>22</v>
      </c>
      <c r="N671" s="6" t="s">
        <v>4167</v>
      </c>
      <c r="O671" s="6" t="n">
        <v>15</v>
      </c>
      <c r="P671" s="6" t="s">
        <v>4168</v>
      </c>
      <c r="Q671" s="6" t="n">
        <v>15</v>
      </c>
      <c r="R671" s="6" t="s">
        <v>4169</v>
      </c>
      <c r="S671" s="6" t="n">
        <v>12</v>
      </c>
      <c r="T671" s="6" t="s">
        <v>4170</v>
      </c>
      <c r="U671" s="6" t="n">
        <v>10</v>
      </c>
      <c r="V671" s="6" t="s">
        <v>4171</v>
      </c>
      <c r="W671" s="6" t="n">
        <v>6</v>
      </c>
      <c r="X671" s="6" t="s">
        <v>4172</v>
      </c>
      <c r="Y671" s="6" t="n">
        <v>4</v>
      </c>
      <c r="Z671" s="6" t="s">
        <v>4173</v>
      </c>
      <c r="AA671" s="6" t="n">
        <v>3</v>
      </c>
      <c r="AB671" s="6" t="s">
        <v>4174</v>
      </c>
      <c r="AC671" s="6" t="n">
        <v>2</v>
      </c>
      <c r="AD671" s="6" t="s">
        <v>4175</v>
      </c>
      <c r="AE671" s="6" t="n">
        <v>1</v>
      </c>
      <c r="AF671" s="6" t="s">
        <v>4176</v>
      </c>
      <c r="AG671" s="6" t="n">
        <v>1</v>
      </c>
      <c r="AH671" s="6" t="s">
        <v>4177</v>
      </c>
      <c r="AI671" s="6" t="n">
        <v>1</v>
      </c>
      <c r="AJ671" s="6" t="s">
        <v>4178</v>
      </c>
      <c r="AK671" s="6" t="n">
        <v>1</v>
      </c>
      <c r="AL671" s="6" t="s">
        <v>4179</v>
      </c>
      <c r="AM671" s="6" t="n">
        <v>1</v>
      </c>
      <c r="AN671" s="6" t="s">
        <v>4180</v>
      </c>
      <c r="AO671" s="6" t="n">
        <v>0</v>
      </c>
      <c r="AP671" s="6" t="s">
        <v>4181</v>
      </c>
      <c r="AQ671" s="6" t="n">
        <v>0</v>
      </c>
    </row>
    <row r="672" customFormat="false" ht="12.8" hidden="false" customHeight="false" outlineLevel="0" collapsed="false">
      <c r="A672" s="6" t="s">
        <v>4182</v>
      </c>
      <c r="B672" s="6" t="n">
        <v>70</v>
      </c>
      <c r="C672" s="6" t="n">
        <v>0</v>
      </c>
      <c r="D672" s="12" t="n">
        <f aca="false">C672/(B672+C672)*100</f>
        <v>0</v>
      </c>
      <c r="E672" s="6" t="n">
        <v>1</v>
      </c>
      <c r="F672" s="6" t="s">
        <v>4183</v>
      </c>
      <c r="G672" s="6" t="n">
        <v>0</v>
      </c>
    </row>
    <row r="673" customFormat="false" ht="12.8" hidden="false" customHeight="false" outlineLevel="0" collapsed="false">
      <c r="A673" s="6" t="s">
        <v>4184</v>
      </c>
      <c r="B673" s="6" t="n">
        <v>71</v>
      </c>
      <c r="C673" s="6" t="n">
        <v>9</v>
      </c>
      <c r="D673" s="12" t="n">
        <f aca="false">C673/(B673+C673)*100</f>
        <v>11.25</v>
      </c>
      <c r="E673" s="6" t="n">
        <v>4</v>
      </c>
      <c r="F673" s="6" t="s">
        <v>4185</v>
      </c>
      <c r="G673" s="6" t="n">
        <v>5</v>
      </c>
      <c r="H673" s="6" t="s">
        <v>4186</v>
      </c>
      <c r="I673" s="6" t="n">
        <v>2</v>
      </c>
      <c r="J673" s="6" t="s">
        <v>4187</v>
      </c>
      <c r="K673" s="6" t="n">
        <v>1</v>
      </c>
      <c r="L673" s="6" t="s">
        <v>4188</v>
      </c>
      <c r="M673" s="6" t="n">
        <v>1</v>
      </c>
    </row>
    <row r="674" customFormat="false" ht="12.8" hidden="false" customHeight="false" outlineLevel="0" collapsed="false">
      <c r="A674" s="6" t="s">
        <v>4189</v>
      </c>
      <c r="B674" s="6" t="n">
        <v>75</v>
      </c>
      <c r="C674" s="6" t="n">
        <v>17</v>
      </c>
      <c r="D674" s="12" t="n">
        <f aca="false">C674/(B674+C674)*100</f>
        <v>18.4782608695652</v>
      </c>
      <c r="E674" s="6" t="n">
        <v>5</v>
      </c>
      <c r="F674" s="6" t="s">
        <v>4190</v>
      </c>
      <c r="G674" s="6" t="n">
        <v>5</v>
      </c>
      <c r="H674" s="6" t="s">
        <v>4191</v>
      </c>
      <c r="I674" s="6" t="n">
        <v>5</v>
      </c>
      <c r="J674" s="6" t="s">
        <v>4192</v>
      </c>
      <c r="K674" s="6" t="n">
        <v>4</v>
      </c>
      <c r="L674" s="6" t="s">
        <v>4193</v>
      </c>
      <c r="M674" s="6" t="n">
        <v>2</v>
      </c>
      <c r="N674" s="6" t="s">
        <v>4194</v>
      </c>
      <c r="O674" s="6" t="n">
        <v>1</v>
      </c>
    </row>
    <row r="675" customFormat="false" ht="12.8" hidden="false" customHeight="false" outlineLevel="0" collapsed="false">
      <c r="A675" s="6" t="s">
        <v>4195</v>
      </c>
      <c r="B675" s="6" t="n">
        <v>75</v>
      </c>
      <c r="C675" s="6" t="n">
        <v>15</v>
      </c>
      <c r="D675" s="12" t="n">
        <f aca="false">C675/(B675+C675)*100</f>
        <v>16.6666666666667</v>
      </c>
      <c r="E675" s="6" t="n">
        <v>2</v>
      </c>
      <c r="F675" s="6" t="s">
        <v>4196</v>
      </c>
      <c r="G675" s="6" t="n">
        <v>13</v>
      </c>
      <c r="H675" s="6" t="s">
        <v>4197</v>
      </c>
      <c r="I675" s="6" t="n">
        <v>2</v>
      </c>
    </row>
    <row r="676" customFormat="false" ht="12.8" hidden="false" customHeight="false" outlineLevel="0" collapsed="false">
      <c r="A676" s="6" t="s">
        <v>4198</v>
      </c>
      <c r="B676" s="6" t="n">
        <v>76</v>
      </c>
      <c r="C676" s="6" t="n">
        <v>6</v>
      </c>
      <c r="D676" s="12" t="n">
        <f aca="false">C676/(B676+C676)*100</f>
        <v>7.31707317073171</v>
      </c>
      <c r="E676" s="6" t="n">
        <v>2</v>
      </c>
      <c r="F676" s="6" t="s">
        <v>4199</v>
      </c>
      <c r="G676" s="6" t="n">
        <v>4</v>
      </c>
      <c r="H676" s="6" t="s">
        <v>4200</v>
      </c>
      <c r="I676" s="6" t="n">
        <v>2</v>
      </c>
    </row>
    <row r="677" customFormat="false" ht="12.8" hidden="false" customHeight="false" outlineLevel="0" collapsed="false">
      <c r="A677" s="6" t="s">
        <v>4201</v>
      </c>
      <c r="B677" s="6" t="n">
        <v>77</v>
      </c>
      <c r="C677" s="6" t="n">
        <v>56</v>
      </c>
      <c r="D677" s="12" t="n">
        <f aca="false">C677/(B677+C677)*100</f>
        <v>42.1052631578947</v>
      </c>
      <c r="E677" s="6" t="n">
        <v>5</v>
      </c>
      <c r="F677" s="6" t="s">
        <v>4202</v>
      </c>
      <c r="G677" s="6" t="n">
        <v>32</v>
      </c>
      <c r="H677" s="6" t="s">
        <v>4203</v>
      </c>
      <c r="I677" s="6" t="n">
        <v>16</v>
      </c>
      <c r="J677" s="6" t="s">
        <v>4204</v>
      </c>
      <c r="K677" s="6" t="n">
        <v>4</v>
      </c>
      <c r="L677" s="6" t="s">
        <v>4205</v>
      </c>
      <c r="M677" s="6" t="n">
        <v>3</v>
      </c>
      <c r="N677" s="6" t="s">
        <v>4206</v>
      </c>
      <c r="O677" s="6" t="n">
        <v>1</v>
      </c>
    </row>
    <row r="678" customFormat="false" ht="12.8" hidden="false" customHeight="false" outlineLevel="0" collapsed="false">
      <c r="A678" s="6" t="s">
        <v>4207</v>
      </c>
      <c r="B678" s="6" t="n">
        <v>77</v>
      </c>
      <c r="C678" s="6" t="n">
        <v>23</v>
      </c>
      <c r="D678" s="12" t="n">
        <f aca="false">C678/(B678+C678)*100</f>
        <v>23</v>
      </c>
      <c r="E678" s="6" t="n">
        <v>5</v>
      </c>
      <c r="F678" s="6" t="s">
        <v>4208</v>
      </c>
      <c r="G678" s="6" t="n">
        <v>14</v>
      </c>
      <c r="H678" s="6" t="s">
        <v>4209</v>
      </c>
      <c r="I678" s="6" t="n">
        <v>6</v>
      </c>
      <c r="J678" s="6" t="s">
        <v>4210</v>
      </c>
      <c r="K678" s="6" t="n">
        <v>1</v>
      </c>
      <c r="L678" s="6" t="s">
        <v>4211</v>
      </c>
      <c r="M678" s="6" t="n">
        <v>1</v>
      </c>
      <c r="N678" s="6" t="s">
        <v>4212</v>
      </c>
      <c r="O678" s="6" t="n">
        <v>1</v>
      </c>
    </row>
    <row r="679" customFormat="false" ht="12.8" hidden="false" customHeight="false" outlineLevel="0" collapsed="false">
      <c r="A679" s="6" t="s">
        <v>4213</v>
      </c>
      <c r="B679" s="6" t="n">
        <v>77</v>
      </c>
      <c r="C679" s="6" t="n">
        <v>17</v>
      </c>
      <c r="D679" s="12" t="n">
        <f aca="false">C679/(B679+C679)*100</f>
        <v>18.0851063829787</v>
      </c>
      <c r="E679" s="6" t="n">
        <v>4</v>
      </c>
      <c r="F679" s="6" t="s">
        <v>4214</v>
      </c>
      <c r="G679" s="6" t="n">
        <v>8</v>
      </c>
      <c r="H679" s="6" t="s">
        <v>4215</v>
      </c>
      <c r="I679" s="6" t="n">
        <v>5</v>
      </c>
      <c r="J679" s="6" t="s">
        <v>4216</v>
      </c>
      <c r="K679" s="6" t="n">
        <v>3</v>
      </c>
      <c r="L679" s="6" t="s">
        <v>4217</v>
      </c>
      <c r="M679" s="6" t="n">
        <v>1</v>
      </c>
    </row>
    <row r="680" customFormat="false" ht="12.8" hidden="false" customHeight="false" outlineLevel="0" collapsed="false">
      <c r="A680" s="6" t="s">
        <v>4218</v>
      </c>
      <c r="B680" s="6" t="n">
        <v>78</v>
      </c>
      <c r="C680" s="6" t="n">
        <v>911</v>
      </c>
      <c r="D680" s="12" t="n">
        <f aca="false">C680/(B680+C680)*100</f>
        <v>92.11324570273</v>
      </c>
      <c r="E680" s="6" t="n">
        <v>41</v>
      </c>
      <c r="F680" s="6" t="s">
        <v>4219</v>
      </c>
      <c r="G680" s="6" t="n">
        <v>259</v>
      </c>
      <c r="H680" s="6" t="s">
        <v>4220</v>
      </c>
      <c r="I680" s="6" t="n">
        <v>88</v>
      </c>
      <c r="J680" s="6" t="s">
        <v>4220</v>
      </c>
      <c r="K680" s="6" t="n">
        <v>88</v>
      </c>
      <c r="L680" s="6" t="s">
        <v>4221</v>
      </c>
      <c r="M680" s="6" t="n">
        <v>73</v>
      </c>
      <c r="N680" s="6" t="s">
        <v>4221</v>
      </c>
      <c r="O680" s="6" t="n">
        <v>73</v>
      </c>
      <c r="P680" s="6" t="s">
        <v>4222</v>
      </c>
      <c r="Q680" s="6" t="n">
        <v>68</v>
      </c>
      <c r="R680" s="6" t="s">
        <v>4223</v>
      </c>
      <c r="S680" s="6" t="n">
        <v>38</v>
      </c>
      <c r="T680" s="6" t="s">
        <v>4223</v>
      </c>
      <c r="U680" s="6" t="n">
        <v>38</v>
      </c>
      <c r="V680" s="6" t="s">
        <v>4223</v>
      </c>
      <c r="W680" s="6" t="n">
        <v>38</v>
      </c>
      <c r="X680" s="6" t="s">
        <v>4224</v>
      </c>
      <c r="Y680" s="6" t="n">
        <v>23</v>
      </c>
      <c r="Z680" s="6" t="s">
        <v>4225</v>
      </c>
      <c r="AA680" s="6" t="n">
        <v>23</v>
      </c>
      <c r="AB680" s="6" t="s">
        <v>4226</v>
      </c>
      <c r="AC680" s="6" t="n">
        <v>13</v>
      </c>
      <c r="AD680" s="6" t="s">
        <v>4227</v>
      </c>
      <c r="AE680" s="6" t="n">
        <v>11</v>
      </c>
      <c r="AF680" s="6" t="s">
        <v>4227</v>
      </c>
      <c r="AG680" s="6" t="n">
        <v>11</v>
      </c>
      <c r="AH680" s="6" t="s">
        <v>4228</v>
      </c>
      <c r="AI680" s="6" t="n">
        <v>8</v>
      </c>
      <c r="AJ680" s="6" t="s">
        <v>4229</v>
      </c>
      <c r="AK680" s="6" t="n">
        <v>6</v>
      </c>
      <c r="AL680" s="6" t="s">
        <v>4230</v>
      </c>
      <c r="AM680" s="6" t="n">
        <v>6</v>
      </c>
      <c r="AN680" s="6" t="s">
        <v>4229</v>
      </c>
      <c r="AO680" s="6" t="n">
        <v>6</v>
      </c>
      <c r="AP680" s="6" t="s">
        <v>4230</v>
      </c>
      <c r="AQ680" s="6" t="n">
        <v>6</v>
      </c>
      <c r="AR680" s="6" t="s">
        <v>4231</v>
      </c>
      <c r="AS680" s="6" t="n">
        <v>5</v>
      </c>
      <c r="AT680" s="6" t="s">
        <v>4232</v>
      </c>
      <c r="AU680" s="6" t="n">
        <v>5</v>
      </c>
      <c r="AV680" s="6" t="s">
        <v>4232</v>
      </c>
      <c r="AW680" s="6" t="n">
        <v>5</v>
      </c>
      <c r="AX680" s="6" t="s">
        <v>4233</v>
      </c>
      <c r="AY680" s="6" t="n">
        <v>3</v>
      </c>
      <c r="AZ680" s="6" t="s">
        <v>4234</v>
      </c>
      <c r="BA680" s="6" t="n">
        <v>2</v>
      </c>
      <c r="BB680" s="6" t="s">
        <v>4235</v>
      </c>
      <c r="BC680" s="6" t="n">
        <v>2</v>
      </c>
      <c r="BD680" s="6" t="s">
        <v>4235</v>
      </c>
      <c r="BE680" s="6" t="n">
        <v>2</v>
      </c>
      <c r="BF680" s="6" t="s">
        <v>4236</v>
      </c>
      <c r="BG680" s="6" t="n">
        <v>2</v>
      </c>
      <c r="BH680" s="6" t="s">
        <v>4237</v>
      </c>
      <c r="BI680" s="6" t="n">
        <v>1</v>
      </c>
      <c r="BJ680" s="6" t="s">
        <v>4238</v>
      </c>
      <c r="BK680" s="6" t="n">
        <v>1</v>
      </c>
      <c r="BL680" s="6" t="s">
        <v>4239</v>
      </c>
      <c r="BM680" s="6" t="n">
        <v>1</v>
      </c>
      <c r="BN680" s="6" t="s">
        <v>4240</v>
      </c>
      <c r="BO680" s="6" t="n">
        <v>1</v>
      </c>
      <c r="BP680" s="6" t="s">
        <v>4241</v>
      </c>
      <c r="BQ680" s="6" t="n">
        <v>1</v>
      </c>
      <c r="BR680" s="6" t="s">
        <v>4242</v>
      </c>
      <c r="BS680" s="6" t="n">
        <v>1</v>
      </c>
      <c r="BT680" s="6" t="s">
        <v>4237</v>
      </c>
      <c r="BU680" s="6" t="n">
        <v>1</v>
      </c>
      <c r="BV680" s="6" t="s">
        <v>4240</v>
      </c>
      <c r="BW680" s="6" t="n">
        <v>1</v>
      </c>
      <c r="BX680" s="6" t="s">
        <v>4243</v>
      </c>
      <c r="BY680" s="6" t="n">
        <v>1</v>
      </c>
      <c r="BZ680" s="6" t="s">
        <v>4244</v>
      </c>
      <c r="CA680" s="6" t="n">
        <v>0</v>
      </c>
      <c r="CB680" s="6" t="s">
        <v>4245</v>
      </c>
      <c r="CC680" s="6" t="n">
        <v>0</v>
      </c>
      <c r="CD680" s="6" t="s">
        <v>4246</v>
      </c>
      <c r="CE680" s="6" t="n">
        <v>0</v>
      </c>
      <c r="CF680" s="6" t="s">
        <v>4247</v>
      </c>
      <c r="CG680" s="6" t="n">
        <v>0</v>
      </c>
      <c r="CH680" s="6" t="s">
        <v>4248</v>
      </c>
      <c r="CI680" s="6" t="n">
        <v>0</v>
      </c>
    </row>
    <row r="681" customFormat="false" ht="12.8" hidden="false" customHeight="false" outlineLevel="0" collapsed="false">
      <c r="A681" s="6" t="s">
        <v>4249</v>
      </c>
      <c r="B681" s="6" t="n">
        <v>79</v>
      </c>
      <c r="C681" s="6" t="n">
        <v>77</v>
      </c>
      <c r="D681" s="12" t="n">
        <f aca="false">C681/(B681+C681)*100</f>
        <v>49.3589743589744</v>
      </c>
      <c r="E681" s="6" t="n">
        <v>10</v>
      </c>
      <c r="F681" s="6" t="s">
        <v>4250</v>
      </c>
      <c r="G681" s="6" t="n">
        <v>70</v>
      </c>
      <c r="H681" s="6" t="s">
        <v>4251</v>
      </c>
      <c r="I681" s="6" t="n">
        <v>2</v>
      </c>
      <c r="J681" s="6" t="s">
        <v>4252</v>
      </c>
      <c r="K681" s="6" t="n">
        <v>1</v>
      </c>
      <c r="L681" s="6" t="s">
        <v>4253</v>
      </c>
      <c r="M681" s="6" t="n">
        <v>1</v>
      </c>
      <c r="N681" s="6" t="s">
        <v>4254</v>
      </c>
      <c r="O681" s="6" t="n">
        <v>1</v>
      </c>
      <c r="P681" s="6" t="s">
        <v>4255</v>
      </c>
      <c r="Q681" s="6" t="n">
        <v>1</v>
      </c>
      <c r="R681" s="6" t="s">
        <v>4256</v>
      </c>
      <c r="S681" s="6" t="n">
        <v>1</v>
      </c>
      <c r="T681" s="6" t="s">
        <v>4257</v>
      </c>
      <c r="U681" s="6" t="n">
        <v>0</v>
      </c>
      <c r="V681" s="6" t="s">
        <v>4258</v>
      </c>
      <c r="W681" s="6" t="n">
        <v>0</v>
      </c>
      <c r="X681" s="6" t="s">
        <v>4259</v>
      </c>
      <c r="Y681" s="6" t="n">
        <v>0</v>
      </c>
    </row>
    <row r="682" customFormat="false" ht="12.8" hidden="false" customHeight="false" outlineLevel="0" collapsed="false">
      <c r="A682" s="6" t="s">
        <v>4260</v>
      </c>
      <c r="B682" s="6" t="n">
        <v>79</v>
      </c>
      <c r="C682" s="6" t="n">
        <v>11</v>
      </c>
      <c r="D682" s="12" t="n">
        <f aca="false">C682/(B682+C682)*100</f>
        <v>12.2222222222222</v>
      </c>
      <c r="E682" s="6" t="n">
        <v>5</v>
      </c>
      <c r="F682" s="6" t="s">
        <v>4261</v>
      </c>
      <c r="G682" s="6" t="n">
        <v>7</v>
      </c>
      <c r="H682" s="6" t="s">
        <v>4262</v>
      </c>
      <c r="I682" s="6" t="n">
        <v>1</v>
      </c>
      <c r="J682" s="6" t="s">
        <v>4263</v>
      </c>
      <c r="K682" s="6" t="n">
        <v>1</v>
      </c>
      <c r="L682" s="6" t="s">
        <v>4264</v>
      </c>
      <c r="M682" s="6" t="n">
        <v>1</v>
      </c>
      <c r="N682" s="6" t="s">
        <v>4265</v>
      </c>
      <c r="O682" s="6" t="n">
        <v>1</v>
      </c>
    </row>
    <row r="683" customFormat="false" ht="12.8" hidden="false" customHeight="false" outlineLevel="0" collapsed="false">
      <c r="A683" s="6" t="s">
        <v>4266</v>
      </c>
      <c r="B683" s="6" t="n">
        <v>79</v>
      </c>
      <c r="C683" s="6" t="n">
        <v>2</v>
      </c>
      <c r="D683" s="12" t="n">
        <f aca="false">C683/(B683+C683)*100</f>
        <v>2.46913580246914</v>
      </c>
      <c r="E683" s="6" t="n">
        <v>2</v>
      </c>
      <c r="F683" s="6" t="s">
        <v>4267</v>
      </c>
      <c r="G683" s="6" t="n">
        <v>2</v>
      </c>
      <c r="H683" s="6" t="s">
        <v>4268</v>
      </c>
      <c r="I683" s="6" t="n">
        <v>0</v>
      </c>
    </row>
    <row r="684" customFormat="false" ht="12.8" hidden="false" customHeight="false" outlineLevel="0" collapsed="false">
      <c r="A684" s="6" t="s">
        <v>4269</v>
      </c>
      <c r="B684" s="6" t="n">
        <v>81</v>
      </c>
      <c r="C684" s="6" t="n">
        <v>91</v>
      </c>
      <c r="D684" s="12" t="n">
        <f aca="false">C684/(B684+C684)*100</f>
        <v>52.9069767441861</v>
      </c>
      <c r="E684" s="6" t="n">
        <v>5</v>
      </c>
      <c r="F684" s="6" t="s">
        <v>4270</v>
      </c>
      <c r="G684" s="6" t="n">
        <v>86</v>
      </c>
      <c r="H684" s="6" t="s">
        <v>4271</v>
      </c>
      <c r="I684" s="6" t="n">
        <v>3</v>
      </c>
      <c r="J684" s="6" t="s">
        <v>4272</v>
      </c>
      <c r="K684" s="6" t="n">
        <v>1</v>
      </c>
      <c r="L684" s="6" t="s">
        <v>4273</v>
      </c>
      <c r="M684" s="6" t="n">
        <v>1</v>
      </c>
      <c r="N684" s="6" t="s">
        <v>4274</v>
      </c>
      <c r="O684" s="6" t="n">
        <v>0</v>
      </c>
    </row>
    <row r="685" customFormat="false" ht="12.8" hidden="false" customHeight="false" outlineLevel="0" collapsed="false">
      <c r="A685" s="6" t="s">
        <v>4275</v>
      </c>
      <c r="B685" s="6" t="n">
        <v>81</v>
      </c>
      <c r="C685" s="6" t="n">
        <v>1</v>
      </c>
      <c r="D685" s="12" t="n">
        <f aca="false">C685/(B685+C685)*100</f>
        <v>1.21951219512195</v>
      </c>
      <c r="E685" s="6" t="n">
        <v>1</v>
      </c>
      <c r="F685" s="6" t="s">
        <v>4276</v>
      </c>
      <c r="G685" s="6" t="n">
        <v>1</v>
      </c>
    </row>
    <row r="686" customFormat="false" ht="12.8" hidden="false" customHeight="false" outlineLevel="0" collapsed="false">
      <c r="A686" s="6" t="s">
        <v>4277</v>
      </c>
      <c r="B686" s="6" t="n">
        <v>81</v>
      </c>
      <c r="C686" s="6" t="n">
        <v>1</v>
      </c>
      <c r="D686" s="12" t="n">
        <f aca="false">C686/(B686+C686)*100</f>
        <v>1.21951219512195</v>
      </c>
      <c r="E686" s="6" t="n">
        <v>1</v>
      </c>
      <c r="F686" s="6" t="s">
        <v>4278</v>
      </c>
      <c r="G686" s="6" t="n">
        <v>1</v>
      </c>
    </row>
    <row r="687" customFormat="false" ht="12.8" hidden="false" customHeight="false" outlineLevel="0" collapsed="false">
      <c r="A687" s="6" t="s">
        <v>4279</v>
      </c>
      <c r="B687" s="6" t="n">
        <v>82</v>
      </c>
      <c r="C687" s="6" t="n">
        <v>99</v>
      </c>
      <c r="D687" s="12" t="n">
        <f aca="false">C687/(B687+C687)*100</f>
        <v>54.6961325966851</v>
      </c>
      <c r="E687" s="6" t="n">
        <v>17</v>
      </c>
      <c r="F687" s="6" t="s">
        <v>4280</v>
      </c>
      <c r="G687" s="6" t="n">
        <v>47</v>
      </c>
      <c r="H687" s="6" t="s">
        <v>4281</v>
      </c>
      <c r="I687" s="6" t="n">
        <v>10</v>
      </c>
      <c r="J687" s="6" t="s">
        <v>4282</v>
      </c>
      <c r="K687" s="6" t="n">
        <v>9</v>
      </c>
      <c r="L687" s="6" t="s">
        <v>4283</v>
      </c>
      <c r="M687" s="6" t="n">
        <v>7</v>
      </c>
      <c r="N687" s="6" t="s">
        <v>4284</v>
      </c>
      <c r="O687" s="6" t="n">
        <v>5</v>
      </c>
      <c r="P687" s="6" t="s">
        <v>4285</v>
      </c>
      <c r="Q687" s="6" t="n">
        <v>4</v>
      </c>
      <c r="R687" s="6" t="s">
        <v>4286</v>
      </c>
      <c r="S687" s="6" t="n">
        <v>4</v>
      </c>
      <c r="T687" s="6" t="s">
        <v>4287</v>
      </c>
      <c r="U687" s="6" t="n">
        <v>3</v>
      </c>
      <c r="V687" s="6" t="s">
        <v>4288</v>
      </c>
      <c r="W687" s="6" t="n">
        <v>2</v>
      </c>
      <c r="X687" s="6" t="s">
        <v>4289</v>
      </c>
      <c r="Y687" s="6" t="n">
        <v>2</v>
      </c>
      <c r="Z687" s="6" t="s">
        <v>4290</v>
      </c>
      <c r="AA687" s="6" t="n">
        <v>2</v>
      </c>
      <c r="AB687" s="6" t="s">
        <v>4291</v>
      </c>
      <c r="AC687" s="6" t="n">
        <v>1</v>
      </c>
      <c r="AD687" s="6" t="s">
        <v>4292</v>
      </c>
      <c r="AE687" s="6" t="n">
        <v>1</v>
      </c>
      <c r="AF687" s="6" t="s">
        <v>4293</v>
      </c>
      <c r="AG687" s="6" t="n">
        <v>1</v>
      </c>
      <c r="AH687" s="6" t="s">
        <v>4294</v>
      </c>
      <c r="AI687" s="6" t="n">
        <v>1</v>
      </c>
      <c r="AJ687" s="6" t="s">
        <v>4295</v>
      </c>
      <c r="AK687" s="6" t="n">
        <v>0</v>
      </c>
      <c r="AL687" s="6" t="s">
        <v>4296</v>
      </c>
      <c r="AM687" s="6" t="n">
        <v>0</v>
      </c>
    </row>
    <row r="688" customFormat="false" ht="12.8" hidden="false" customHeight="false" outlineLevel="0" collapsed="false">
      <c r="A688" s="6" t="s">
        <v>4297</v>
      </c>
      <c r="B688" s="6" t="n">
        <v>82</v>
      </c>
      <c r="C688" s="6" t="n">
        <v>43</v>
      </c>
      <c r="D688" s="12" t="n">
        <f aca="false">C688/(B688+C688)*100</f>
        <v>34.4</v>
      </c>
      <c r="E688" s="6" t="n">
        <v>5</v>
      </c>
      <c r="F688" s="6" t="s">
        <v>4298</v>
      </c>
      <c r="G688" s="6" t="n">
        <v>38</v>
      </c>
      <c r="H688" s="6" t="s">
        <v>4299</v>
      </c>
      <c r="I688" s="6" t="n">
        <v>2</v>
      </c>
      <c r="J688" s="6" t="s">
        <v>4300</v>
      </c>
      <c r="K688" s="6" t="n">
        <v>1</v>
      </c>
      <c r="L688" s="6" t="s">
        <v>4301</v>
      </c>
      <c r="M688" s="6" t="n">
        <v>1</v>
      </c>
      <c r="N688" s="6" t="s">
        <v>4302</v>
      </c>
      <c r="O688" s="6" t="n">
        <v>1</v>
      </c>
    </row>
    <row r="689" customFormat="false" ht="12.8" hidden="false" customHeight="false" outlineLevel="0" collapsed="false">
      <c r="A689" s="6" t="s">
        <v>4303</v>
      </c>
      <c r="B689" s="6" t="n">
        <v>82</v>
      </c>
      <c r="C689" s="6" t="n">
        <v>39</v>
      </c>
      <c r="D689" s="12" t="n">
        <f aca="false">C689/(B689+C689)*100</f>
        <v>32.2314049586777</v>
      </c>
      <c r="E689" s="6" t="n">
        <v>6</v>
      </c>
      <c r="F689" s="6" t="s">
        <v>4304</v>
      </c>
      <c r="G689" s="6" t="n">
        <v>23</v>
      </c>
      <c r="H689" s="6" t="s">
        <v>4305</v>
      </c>
      <c r="I689" s="6" t="n">
        <v>6</v>
      </c>
      <c r="J689" s="6" t="s">
        <v>4306</v>
      </c>
      <c r="K689" s="6" t="n">
        <v>6</v>
      </c>
      <c r="L689" s="6" t="s">
        <v>4307</v>
      </c>
      <c r="M689" s="6" t="n">
        <v>2</v>
      </c>
      <c r="N689" s="6" t="s">
        <v>4308</v>
      </c>
      <c r="O689" s="6" t="n">
        <v>1</v>
      </c>
      <c r="P689" s="6" t="s">
        <v>4309</v>
      </c>
      <c r="Q689" s="6" t="n">
        <v>1</v>
      </c>
    </row>
    <row r="690" customFormat="false" ht="12.8" hidden="false" customHeight="false" outlineLevel="0" collapsed="false">
      <c r="A690" s="6" t="s">
        <v>4310</v>
      </c>
      <c r="B690" s="6" t="n">
        <v>83</v>
      </c>
      <c r="C690" s="6" t="n">
        <v>1057</v>
      </c>
      <c r="D690" s="12" t="n">
        <f aca="false">C690/(B690+C690)*100</f>
        <v>92.719298245614</v>
      </c>
      <c r="E690" s="6" t="n">
        <v>23</v>
      </c>
      <c r="F690" s="6" t="s">
        <v>4311</v>
      </c>
      <c r="G690" s="6" t="n">
        <v>691</v>
      </c>
      <c r="H690" s="6" t="s">
        <v>4312</v>
      </c>
      <c r="I690" s="6" t="n">
        <v>163</v>
      </c>
      <c r="J690" s="6" t="s">
        <v>4313</v>
      </c>
      <c r="K690" s="6" t="n">
        <v>49</v>
      </c>
      <c r="L690" s="6" t="s">
        <v>4314</v>
      </c>
      <c r="M690" s="6" t="n">
        <v>32</v>
      </c>
      <c r="N690" s="6" t="s">
        <v>4315</v>
      </c>
      <c r="O690" s="6" t="n">
        <v>32</v>
      </c>
      <c r="P690" s="6" t="s">
        <v>4316</v>
      </c>
      <c r="Q690" s="6" t="n">
        <v>29</v>
      </c>
      <c r="R690" s="6" t="s">
        <v>4317</v>
      </c>
      <c r="S690" s="6" t="n">
        <v>16</v>
      </c>
      <c r="T690" s="6" t="s">
        <v>4318</v>
      </c>
      <c r="U690" s="6" t="n">
        <v>13</v>
      </c>
      <c r="V690" s="6" t="s">
        <v>4319</v>
      </c>
      <c r="W690" s="6" t="n">
        <v>10</v>
      </c>
      <c r="X690" s="6" t="s">
        <v>4320</v>
      </c>
      <c r="Y690" s="6" t="n">
        <v>9</v>
      </c>
      <c r="Z690" s="6" t="s">
        <v>4321</v>
      </c>
      <c r="AA690" s="6" t="n">
        <v>6</v>
      </c>
      <c r="AB690" s="6" t="s">
        <v>4322</v>
      </c>
      <c r="AC690" s="6" t="n">
        <v>3</v>
      </c>
      <c r="AD690" s="6" t="s">
        <v>4323</v>
      </c>
      <c r="AE690" s="6" t="n">
        <v>2</v>
      </c>
      <c r="AF690" s="6" t="s">
        <v>4324</v>
      </c>
      <c r="AG690" s="6" t="n">
        <v>1</v>
      </c>
      <c r="AH690" s="6" t="s">
        <v>4325</v>
      </c>
      <c r="AI690" s="6" t="n">
        <v>1</v>
      </c>
      <c r="AJ690" s="6" t="s">
        <v>4326</v>
      </c>
      <c r="AK690" s="6" t="n">
        <v>0</v>
      </c>
      <c r="AL690" s="6" t="s">
        <v>4327</v>
      </c>
      <c r="AM690" s="6" t="n">
        <v>0</v>
      </c>
      <c r="AN690" s="6" t="s">
        <v>4328</v>
      </c>
      <c r="AO690" s="6" t="n">
        <v>0</v>
      </c>
      <c r="AP690" s="6" t="s">
        <v>4329</v>
      </c>
      <c r="AQ690" s="6" t="n">
        <v>0</v>
      </c>
      <c r="AR690" s="6" t="s">
        <v>4330</v>
      </c>
      <c r="AS690" s="6" t="n">
        <v>0</v>
      </c>
      <c r="AT690" s="6" t="s">
        <v>4331</v>
      </c>
      <c r="AU690" s="6" t="n">
        <v>0</v>
      </c>
      <c r="AV690" s="6" t="s">
        <v>4332</v>
      </c>
      <c r="AW690" s="6" t="n">
        <v>0</v>
      </c>
      <c r="AX690" s="6" t="s">
        <v>4333</v>
      </c>
      <c r="AY690" s="6" t="n">
        <v>0</v>
      </c>
    </row>
    <row r="691" customFormat="false" ht="12.8" hidden="false" customHeight="false" outlineLevel="0" collapsed="false">
      <c r="A691" s="6" t="s">
        <v>4334</v>
      </c>
      <c r="B691" s="6" t="n">
        <v>83</v>
      </c>
      <c r="C691" s="6" t="n">
        <v>15</v>
      </c>
      <c r="D691" s="12" t="n">
        <f aca="false">C691/(B691+C691)*100</f>
        <v>15.3061224489796</v>
      </c>
      <c r="E691" s="6" t="n">
        <v>6</v>
      </c>
      <c r="F691" s="6" t="s">
        <v>4335</v>
      </c>
      <c r="G691" s="6" t="n">
        <v>10</v>
      </c>
      <c r="H691" s="6" t="s">
        <v>4336</v>
      </c>
      <c r="I691" s="6" t="n">
        <v>2</v>
      </c>
      <c r="J691" s="6" t="s">
        <v>4337</v>
      </c>
      <c r="K691" s="6" t="n">
        <v>1</v>
      </c>
      <c r="L691" s="6" t="s">
        <v>4338</v>
      </c>
      <c r="M691" s="6" t="n">
        <v>1</v>
      </c>
      <c r="N691" s="6" t="s">
        <v>4339</v>
      </c>
      <c r="O691" s="6" t="n">
        <v>1</v>
      </c>
      <c r="P691" s="6" t="s">
        <v>4340</v>
      </c>
      <c r="Q691" s="6" t="n">
        <v>0</v>
      </c>
    </row>
    <row r="692" customFormat="false" ht="12.8" hidden="false" customHeight="false" outlineLevel="0" collapsed="false">
      <c r="A692" s="6" t="s">
        <v>4341</v>
      </c>
      <c r="B692" s="6" t="n">
        <v>84</v>
      </c>
      <c r="C692" s="6" t="n">
        <v>147</v>
      </c>
      <c r="D692" s="12" t="n">
        <f aca="false">C692/(B692+C692)*100</f>
        <v>63.6363636363636</v>
      </c>
      <c r="E692" s="6" t="n">
        <v>9</v>
      </c>
      <c r="F692" s="6" t="s">
        <v>4342</v>
      </c>
      <c r="G692" s="6" t="n">
        <v>104</v>
      </c>
      <c r="H692" s="6" t="s">
        <v>4343</v>
      </c>
      <c r="I692" s="6" t="n">
        <v>17</v>
      </c>
      <c r="J692" s="6" t="s">
        <v>4344</v>
      </c>
      <c r="K692" s="6" t="n">
        <v>14</v>
      </c>
      <c r="L692" s="6" t="s">
        <v>4345</v>
      </c>
      <c r="M692" s="6" t="n">
        <v>4</v>
      </c>
      <c r="N692" s="6" t="s">
        <v>4346</v>
      </c>
      <c r="O692" s="6" t="n">
        <v>4</v>
      </c>
      <c r="P692" s="6" t="s">
        <v>4347</v>
      </c>
      <c r="Q692" s="6" t="n">
        <v>2</v>
      </c>
      <c r="R692" s="6" t="s">
        <v>4348</v>
      </c>
      <c r="S692" s="6" t="n">
        <v>1</v>
      </c>
      <c r="T692" s="6" t="s">
        <v>4349</v>
      </c>
      <c r="U692" s="6" t="n">
        <v>1</v>
      </c>
      <c r="V692" s="6" t="s">
        <v>4350</v>
      </c>
      <c r="W692" s="6" t="n">
        <v>0</v>
      </c>
    </row>
    <row r="693" customFormat="false" ht="12.8" hidden="false" customHeight="false" outlineLevel="0" collapsed="false">
      <c r="A693" s="6" t="s">
        <v>4351</v>
      </c>
      <c r="B693" s="6" t="n">
        <v>84</v>
      </c>
      <c r="C693" s="6" t="n">
        <v>16</v>
      </c>
      <c r="D693" s="12" t="n">
        <f aca="false">C693/(B693+C693)*100</f>
        <v>16</v>
      </c>
      <c r="E693" s="6" t="n">
        <v>3</v>
      </c>
      <c r="F693" s="6" t="s">
        <v>4352</v>
      </c>
      <c r="G693" s="6" t="n">
        <v>12</v>
      </c>
      <c r="H693" s="6" t="s">
        <v>4353</v>
      </c>
      <c r="I693" s="6" t="n">
        <v>3</v>
      </c>
      <c r="J693" s="6" t="s">
        <v>4354</v>
      </c>
      <c r="K693" s="6" t="n">
        <v>1</v>
      </c>
    </row>
    <row r="694" customFormat="false" ht="12.8" hidden="false" customHeight="false" outlineLevel="0" collapsed="false">
      <c r="A694" s="6" t="s">
        <v>4355</v>
      </c>
      <c r="B694" s="6" t="n">
        <v>85</v>
      </c>
      <c r="C694" s="6" t="n">
        <v>21</v>
      </c>
      <c r="D694" s="12" t="n">
        <f aca="false">C694/(B694+C694)*100</f>
        <v>19.811320754717</v>
      </c>
      <c r="E694" s="6" t="n">
        <v>5</v>
      </c>
      <c r="F694" s="6" t="s">
        <v>4356</v>
      </c>
      <c r="G694" s="6" t="n">
        <v>16</v>
      </c>
      <c r="H694" s="6" t="s">
        <v>4357</v>
      </c>
      <c r="I694" s="6" t="n">
        <v>3</v>
      </c>
      <c r="J694" s="6" t="s">
        <v>4358</v>
      </c>
      <c r="K694" s="6" t="n">
        <v>1</v>
      </c>
      <c r="L694" s="6" t="s">
        <v>4359</v>
      </c>
      <c r="M694" s="6" t="n">
        <v>1</v>
      </c>
      <c r="N694" s="6" t="s">
        <v>4360</v>
      </c>
      <c r="O694" s="6" t="n">
        <v>0</v>
      </c>
    </row>
    <row r="695" customFormat="false" ht="12.8" hidden="false" customHeight="false" outlineLevel="0" collapsed="false">
      <c r="A695" s="6" t="s">
        <v>4361</v>
      </c>
      <c r="B695" s="6" t="n">
        <v>86</v>
      </c>
      <c r="C695" s="6" t="n">
        <v>157</v>
      </c>
      <c r="D695" s="12" t="n">
        <f aca="false">C695/(B695+C695)*100</f>
        <v>64.6090534979424</v>
      </c>
      <c r="E695" s="6" t="n">
        <v>9</v>
      </c>
      <c r="F695" s="6" t="s">
        <v>4362</v>
      </c>
      <c r="G695" s="6" t="n">
        <v>51</v>
      </c>
      <c r="H695" s="6" t="s">
        <v>4363</v>
      </c>
      <c r="I695" s="6" t="n">
        <v>41</v>
      </c>
      <c r="J695" s="6" t="s">
        <v>4364</v>
      </c>
      <c r="K695" s="6" t="n">
        <v>29</v>
      </c>
      <c r="L695" s="6" t="s">
        <v>4365</v>
      </c>
      <c r="M695" s="6" t="n">
        <v>19</v>
      </c>
      <c r="N695" s="6" t="s">
        <v>4366</v>
      </c>
      <c r="O695" s="6" t="n">
        <v>11</v>
      </c>
      <c r="P695" s="6" t="s">
        <v>4367</v>
      </c>
      <c r="Q695" s="6" t="n">
        <v>3</v>
      </c>
      <c r="R695" s="6" t="s">
        <v>4368</v>
      </c>
      <c r="S695" s="6" t="n">
        <v>2</v>
      </c>
      <c r="T695" s="6" t="s">
        <v>4369</v>
      </c>
      <c r="U695" s="6" t="n">
        <v>1</v>
      </c>
      <c r="V695" s="6" t="s">
        <v>4370</v>
      </c>
      <c r="W695" s="6" t="n">
        <v>0</v>
      </c>
    </row>
    <row r="696" customFormat="false" ht="12.8" hidden="false" customHeight="false" outlineLevel="0" collapsed="false">
      <c r="A696" s="6" t="s">
        <v>4371</v>
      </c>
      <c r="B696" s="6" t="n">
        <v>86</v>
      </c>
      <c r="C696" s="6" t="n">
        <v>1</v>
      </c>
      <c r="D696" s="12" t="n">
        <f aca="false">C696/(B696+C696)*100</f>
        <v>1.14942528735632</v>
      </c>
      <c r="E696" s="6" t="n">
        <v>2</v>
      </c>
      <c r="F696" s="6" t="s">
        <v>4372</v>
      </c>
      <c r="G696" s="6" t="n">
        <v>1</v>
      </c>
      <c r="H696" s="6" t="s">
        <v>4373</v>
      </c>
      <c r="I696" s="6" t="n">
        <v>0</v>
      </c>
    </row>
    <row r="697" customFormat="false" ht="12.8" hidden="false" customHeight="false" outlineLevel="0" collapsed="false">
      <c r="A697" s="6" t="s">
        <v>4374</v>
      </c>
      <c r="B697" s="6" t="n">
        <v>87</v>
      </c>
      <c r="C697" s="6" t="n">
        <v>14</v>
      </c>
      <c r="D697" s="12" t="n">
        <f aca="false">C697/(B697+C697)*100</f>
        <v>13.8613861386139</v>
      </c>
      <c r="E697" s="6" t="n">
        <v>7</v>
      </c>
      <c r="F697" s="6" t="s">
        <v>4375</v>
      </c>
      <c r="G697" s="6" t="n">
        <v>5</v>
      </c>
      <c r="H697" s="6" t="s">
        <v>4376</v>
      </c>
      <c r="I697" s="6" t="n">
        <v>3</v>
      </c>
      <c r="J697" s="6" t="s">
        <v>4377</v>
      </c>
      <c r="K697" s="6" t="n">
        <v>2</v>
      </c>
      <c r="L697" s="6" t="s">
        <v>4378</v>
      </c>
      <c r="M697" s="6" t="n">
        <v>1</v>
      </c>
      <c r="N697" s="6" t="s">
        <v>4379</v>
      </c>
      <c r="O697" s="6" t="n">
        <v>1</v>
      </c>
      <c r="P697" s="6" t="s">
        <v>4380</v>
      </c>
      <c r="Q697" s="6" t="n">
        <v>1</v>
      </c>
      <c r="R697" s="6" t="s">
        <v>4381</v>
      </c>
      <c r="S697" s="6" t="n">
        <v>1</v>
      </c>
    </row>
    <row r="698" customFormat="false" ht="12.8" hidden="false" customHeight="false" outlineLevel="0" collapsed="false">
      <c r="A698" s="6" t="s">
        <v>4382</v>
      </c>
      <c r="B698" s="6" t="n">
        <v>87</v>
      </c>
      <c r="C698" s="6" t="n">
        <v>7</v>
      </c>
      <c r="D698" s="12" t="n">
        <f aca="false">C698/(B698+C698)*100</f>
        <v>7.4468085106383</v>
      </c>
      <c r="E698" s="6" t="n">
        <v>3</v>
      </c>
      <c r="F698" s="6" t="s">
        <v>4383</v>
      </c>
      <c r="G698" s="6" t="n">
        <v>6</v>
      </c>
      <c r="H698" s="6" t="s">
        <v>4384</v>
      </c>
      <c r="I698" s="6" t="n">
        <v>1</v>
      </c>
      <c r="J698" s="6" t="s">
        <v>4385</v>
      </c>
      <c r="K698" s="6" t="n">
        <v>0</v>
      </c>
    </row>
    <row r="699" customFormat="false" ht="12.8" hidden="false" customHeight="false" outlineLevel="0" collapsed="false">
      <c r="A699" s="6" t="s">
        <v>4386</v>
      </c>
      <c r="B699" s="6" t="n">
        <v>87</v>
      </c>
      <c r="C699" s="6" t="n">
        <v>1</v>
      </c>
      <c r="D699" s="12" t="n">
        <f aca="false">C699/(B699+C699)*100</f>
        <v>1.13636363636364</v>
      </c>
      <c r="E699" s="6" t="n">
        <v>2</v>
      </c>
      <c r="F699" s="6" t="s">
        <v>4387</v>
      </c>
      <c r="G699" s="6" t="n">
        <v>1</v>
      </c>
      <c r="H699" s="6" t="s">
        <v>4388</v>
      </c>
      <c r="I699" s="6" t="n">
        <v>0</v>
      </c>
    </row>
    <row r="700" customFormat="false" ht="12.8" hidden="false" customHeight="false" outlineLevel="0" collapsed="false">
      <c r="A700" s="6" t="s">
        <v>4389</v>
      </c>
      <c r="B700" s="6" t="n">
        <v>88</v>
      </c>
      <c r="C700" s="6" t="n">
        <v>11</v>
      </c>
      <c r="D700" s="12" t="n">
        <f aca="false">C700/(B700+C700)*100</f>
        <v>11.1111111111111</v>
      </c>
      <c r="E700" s="6" t="n">
        <v>3</v>
      </c>
      <c r="F700" s="6" t="s">
        <v>4390</v>
      </c>
      <c r="G700" s="6" t="n">
        <v>8</v>
      </c>
      <c r="H700" s="6" t="s">
        <v>4391</v>
      </c>
      <c r="I700" s="6" t="n">
        <v>2</v>
      </c>
      <c r="J700" s="6" t="s">
        <v>4392</v>
      </c>
      <c r="K700" s="6" t="n">
        <v>1</v>
      </c>
    </row>
    <row r="701" customFormat="false" ht="12.8" hidden="false" customHeight="false" outlineLevel="0" collapsed="false">
      <c r="A701" s="6" t="s">
        <v>4393</v>
      </c>
      <c r="B701" s="6" t="n">
        <v>88</v>
      </c>
      <c r="C701" s="6" t="n">
        <v>4</v>
      </c>
      <c r="D701" s="12" t="n">
        <f aca="false">C701/(B701+C701)*100</f>
        <v>4.34782608695652</v>
      </c>
      <c r="E701" s="6" t="n">
        <v>2</v>
      </c>
      <c r="F701" s="6" t="s">
        <v>4394</v>
      </c>
      <c r="G701" s="6" t="n">
        <v>3</v>
      </c>
      <c r="H701" s="6" t="s">
        <v>4395</v>
      </c>
      <c r="I701" s="6" t="n">
        <v>1</v>
      </c>
    </row>
    <row r="702" customFormat="false" ht="12.8" hidden="false" customHeight="false" outlineLevel="0" collapsed="false">
      <c r="A702" s="6" t="s">
        <v>4396</v>
      </c>
      <c r="B702" s="6" t="n">
        <v>89</v>
      </c>
      <c r="C702" s="6" t="n">
        <v>59</v>
      </c>
      <c r="D702" s="12" t="n">
        <f aca="false">C702/(B702+C702)*100</f>
        <v>39.8648648648649</v>
      </c>
      <c r="E702" s="6" t="n">
        <v>11</v>
      </c>
      <c r="F702" s="6" t="s">
        <v>4397</v>
      </c>
      <c r="G702" s="6" t="n">
        <v>35</v>
      </c>
      <c r="H702" s="6" t="s">
        <v>4398</v>
      </c>
      <c r="I702" s="6" t="n">
        <v>7</v>
      </c>
      <c r="J702" s="6" t="s">
        <v>4399</v>
      </c>
      <c r="K702" s="6" t="n">
        <v>6</v>
      </c>
      <c r="L702" s="6" t="s">
        <v>4400</v>
      </c>
      <c r="M702" s="6" t="n">
        <v>3</v>
      </c>
      <c r="N702" s="6" t="s">
        <v>4401</v>
      </c>
      <c r="O702" s="6" t="n">
        <v>3</v>
      </c>
      <c r="P702" s="6" t="s">
        <v>4402</v>
      </c>
      <c r="Q702" s="6" t="n">
        <v>2</v>
      </c>
      <c r="R702" s="6" t="s">
        <v>4403</v>
      </c>
      <c r="S702" s="6" t="n">
        <v>2</v>
      </c>
      <c r="T702" s="6" t="s">
        <v>4404</v>
      </c>
      <c r="U702" s="6" t="n">
        <v>1</v>
      </c>
      <c r="V702" s="6" t="s">
        <v>4405</v>
      </c>
      <c r="W702" s="6" t="n">
        <v>0</v>
      </c>
      <c r="X702" s="6" t="s">
        <v>4406</v>
      </c>
      <c r="Y702" s="6" t="n">
        <v>0</v>
      </c>
      <c r="Z702" s="6" t="s">
        <v>4407</v>
      </c>
      <c r="AA702" s="6" t="n">
        <v>0</v>
      </c>
    </row>
    <row r="703" customFormat="false" ht="12.8" hidden="false" customHeight="false" outlineLevel="0" collapsed="false">
      <c r="A703" s="6" t="s">
        <v>4408</v>
      </c>
      <c r="B703" s="6" t="n">
        <v>89</v>
      </c>
      <c r="C703" s="6" t="n">
        <v>1</v>
      </c>
      <c r="D703" s="12" t="n">
        <f aca="false">C703/(B703+C703)*100</f>
        <v>1.11111111111111</v>
      </c>
      <c r="E703" s="6" t="n">
        <v>2</v>
      </c>
      <c r="F703" s="6" t="s">
        <v>4409</v>
      </c>
      <c r="G703" s="6" t="n">
        <v>1</v>
      </c>
      <c r="H703" s="6" t="s">
        <v>4410</v>
      </c>
      <c r="I703" s="6" t="n">
        <v>0</v>
      </c>
    </row>
    <row r="704" customFormat="false" ht="12.8" hidden="false" customHeight="false" outlineLevel="0" collapsed="false">
      <c r="A704" s="6" t="s">
        <v>4411</v>
      </c>
      <c r="B704" s="6" t="n">
        <v>89</v>
      </c>
      <c r="C704" s="6" t="n">
        <v>0</v>
      </c>
      <c r="D704" s="12" t="n">
        <f aca="false">C704/(B704+C704)*100</f>
        <v>0</v>
      </c>
      <c r="E704" s="6" t="n">
        <v>3</v>
      </c>
      <c r="F704" s="6" t="s">
        <v>4412</v>
      </c>
      <c r="G704" s="6" t="n">
        <v>0</v>
      </c>
      <c r="H704" s="6" t="s">
        <v>4413</v>
      </c>
      <c r="I704" s="6" t="n">
        <v>0</v>
      </c>
      <c r="J704" s="6" t="s">
        <v>4414</v>
      </c>
      <c r="K704" s="6" t="n">
        <v>0</v>
      </c>
    </row>
    <row r="705" customFormat="false" ht="12.8" hidden="false" customHeight="false" outlineLevel="0" collapsed="false">
      <c r="A705" s="6" t="s">
        <v>4415</v>
      </c>
      <c r="B705" s="6" t="n">
        <v>90</v>
      </c>
      <c r="C705" s="6" t="n">
        <v>131</v>
      </c>
      <c r="D705" s="12" t="n">
        <f aca="false">C705/(B705+C705)*100</f>
        <v>59.2760180995475</v>
      </c>
      <c r="E705" s="6" t="n">
        <v>13</v>
      </c>
      <c r="F705" s="6" t="s">
        <v>4416</v>
      </c>
      <c r="G705" s="6" t="n">
        <v>36</v>
      </c>
      <c r="H705" s="6" t="s">
        <v>4417</v>
      </c>
      <c r="I705" s="6" t="n">
        <v>25</v>
      </c>
      <c r="J705" s="6" t="s">
        <v>4418</v>
      </c>
      <c r="K705" s="6" t="n">
        <v>16</v>
      </c>
      <c r="L705" s="6" t="s">
        <v>4419</v>
      </c>
      <c r="M705" s="6" t="n">
        <v>15</v>
      </c>
      <c r="N705" s="6" t="s">
        <v>4420</v>
      </c>
      <c r="O705" s="6" t="n">
        <v>15</v>
      </c>
      <c r="P705" s="6" t="s">
        <v>4421</v>
      </c>
      <c r="Q705" s="6" t="n">
        <v>12</v>
      </c>
      <c r="R705" s="6" t="s">
        <v>4422</v>
      </c>
      <c r="S705" s="6" t="n">
        <v>3</v>
      </c>
      <c r="T705" s="6" t="s">
        <v>4423</v>
      </c>
      <c r="U705" s="6" t="n">
        <v>3</v>
      </c>
      <c r="V705" s="6" t="s">
        <v>4424</v>
      </c>
      <c r="W705" s="6" t="n">
        <v>2</v>
      </c>
      <c r="X705" s="6" t="s">
        <v>4425</v>
      </c>
      <c r="Y705" s="6" t="n">
        <v>2</v>
      </c>
      <c r="Z705" s="6" t="s">
        <v>4426</v>
      </c>
      <c r="AA705" s="6" t="n">
        <v>1</v>
      </c>
      <c r="AB705" s="6" t="s">
        <v>4427</v>
      </c>
      <c r="AC705" s="6" t="n">
        <v>1</v>
      </c>
      <c r="AD705" s="6" t="s">
        <v>4428</v>
      </c>
      <c r="AE705" s="6" t="n">
        <v>0</v>
      </c>
    </row>
    <row r="706" customFormat="false" ht="12.8" hidden="false" customHeight="false" outlineLevel="0" collapsed="false">
      <c r="A706" s="6" t="s">
        <v>4429</v>
      </c>
      <c r="B706" s="6" t="n">
        <v>90</v>
      </c>
      <c r="C706" s="6" t="n">
        <v>63</v>
      </c>
      <c r="D706" s="12" t="n">
        <f aca="false">C706/(B706+C706)*100</f>
        <v>41.1764705882353</v>
      </c>
      <c r="E706" s="6" t="n">
        <v>11</v>
      </c>
      <c r="F706" s="6" t="s">
        <v>4430</v>
      </c>
      <c r="G706" s="6" t="n">
        <v>25</v>
      </c>
      <c r="H706" s="6" t="s">
        <v>4431</v>
      </c>
      <c r="I706" s="6" t="n">
        <v>11</v>
      </c>
      <c r="J706" s="6" t="s">
        <v>4432</v>
      </c>
      <c r="K706" s="6" t="n">
        <v>8</v>
      </c>
      <c r="L706" s="6" t="s">
        <v>4433</v>
      </c>
      <c r="M706" s="6" t="n">
        <v>6</v>
      </c>
      <c r="N706" s="6" t="s">
        <v>4434</v>
      </c>
      <c r="O706" s="6" t="n">
        <v>5</v>
      </c>
      <c r="P706" s="6" t="s">
        <v>4435</v>
      </c>
      <c r="Q706" s="6" t="n">
        <v>3</v>
      </c>
      <c r="R706" s="6" t="s">
        <v>4436</v>
      </c>
      <c r="S706" s="6" t="n">
        <v>2</v>
      </c>
      <c r="T706" s="6" t="s">
        <v>4437</v>
      </c>
      <c r="U706" s="6" t="n">
        <v>2</v>
      </c>
      <c r="V706" s="6" t="s">
        <v>4438</v>
      </c>
      <c r="W706" s="6" t="n">
        <v>1</v>
      </c>
      <c r="X706" s="6" t="s">
        <v>4439</v>
      </c>
      <c r="Y706" s="6" t="n">
        <v>0</v>
      </c>
      <c r="Z706" s="6" t="s">
        <v>4440</v>
      </c>
      <c r="AA706" s="6" t="n">
        <v>0</v>
      </c>
    </row>
    <row r="707" customFormat="false" ht="12.8" hidden="false" customHeight="false" outlineLevel="0" collapsed="false">
      <c r="A707" s="6" t="s">
        <v>4441</v>
      </c>
      <c r="B707" s="6" t="n">
        <v>92</v>
      </c>
      <c r="C707" s="6" t="n">
        <v>0</v>
      </c>
      <c r="D707" s="12" t="n">
        <f aca="false">C707/(B707+C707)*100</f>
        <v>0</v>
      </c>
      <c r="E707" s="6" t="n">
        <v>1</v>
      </c>
      <c r="F707" s="6" t="s">
        <v>4442</v>
      </c>
      <c r="G707" s="6" t="n">
        <v>0</v>
      </c>
    </row>
    <row r="708" customFormat="false" ht="12.8" hidden="false" customHeight="false" outlineLevel="0" collapsed="false">
      <c r="A708" s="6" t="s">
        <v>4443</v>
      </c>
      <c r="B708" s="6" t="n">
        <v>93</v>
      </c>
      <c r="C708" s="6" t="n">
        <v>41</v>
      </c>
      <c r="D708" s="12" t="n">
        <f aca="false">C708/(B708+C708)*100</f>
        <v>30.5970149253731</v>
      </c>
      <c r="E708" s="6" t="n">
        <v>4</v>
      </c>
      <c r="F708" s="6" t="s">
        <v>4444</v>
      </c>
      <c r="G708" s="6" t="n">
        <v>23</v>
      </c>
      <c r="H708" s="6" t="s">
        <v>4445</v>
      </c>
      <c r="I708" s="6" t="n">
        <v>10</v>
      </c>
      <c r="J708" s="6" t="s">
        <v>4446</v>
      </c>
      <c r="K708" s="6" t="n">
        <v>6</v>
      </c>
      <c r="L708" s="6" t="s">
        <v>4447</v>
      </c>
      <c r="M708" s="6" t="n">
        <v>2</v>
      </c>
    </row>
    <row r="709" customFormat="false" ht="12.8" hidden="false" customHeight="false" outlineLevel="0" collapsed="false">
      <c r="A709" s="6" t="s">
        <v>4448</v>
      </c>
      <c r="B709" s="6" t="n">
        <v>94</v>
      </c>
      <c r="C709" s="6" t="n">
        <v>1</v>
      </c>
      <c r="D709" s="12" t="n">
        <f aca="false">C709/(B709+C709)*100</f>
        <v>1.05263157894737</v>
      </c>
      <c r="E709" s="6" t="n">
        <v>2</v>
      </c>
      <c r="F709" s="6" t="s">
        <v>4449</v>
      </c>
      <c r="G709" s="6" t="n">
        <v>1</v>
      </c>
      <c r="H709" s="6" t="s">
        <v>4450</v>
      </c>
      <c r="I709" s="6" t="n">
        <v>0</v>
      </c>
    </row>
    <row r="710" customFormat="false" ht="12.8" hidden="false" customHeight="false" outlineLevel="0" collapsed="false">
      <c r="A710" s="6" t="s">
        <v>4451</v>
      </c>
      <c r="B710" s="6" t="n">
        <v>95</v>
      </c>
      <c r="C710" s="6" t="n">
        <v>218</v>
      </c>
      <c r="D710" s="12" t="n">
        <f aca="false">C710/(B710+C710)*100</f>
        <v>69.6485623003195</v>
      </c>
      <c r="E710" s="6" t="n">
        <v>15</v>
      </c>
      <c r="F710" s="6" t="s">
        <v>4452</v>
      </c>
      <c r="G710" s="6" t="n">
        <v>109</v>
      </c>
      <c r="H710" s="6" t="s">
        <v>4453</v>
      </c>
      <c r="I710" s="6" t="n">
        <v>50</v>
      </c>
      <c r="J710" s="6" t="s">
        <v>4454</v>
      </c>
      <c r="K710" s="6" t="n">
        <v>17</v>
      </c>
      <c r="L710" s="6" t="s">
        <v>4455</v>
      </c>
      <c r="M710" s="6" t="n">
        <v>14</v>
      </c>
      <c r="N710" s="6" t="s">
        <v>4456</v>
      </c>
      <c r="O710" s="6" t="n">
        <v>10</v>
      </c>
      <c r="P710" s="6" t="s">
        <v>4457</v>
      </c>
      <c r="Q710" s="6" t="n">
        <v>6</v>
      </c>
      <c r="R710" s="6" t="s">
        <v>4458</v>
      </c>
      <c r="S710" s="6" t="n">
        <v>5</v>
      </c>
      <c r="T710" s="6" t="s">
        <v>4459</v>
      </c>
      <c r="U710" s="6" t="n">
        <v>2</v>
      </c>
      <c r="V710" s="6" t="s">
        <v>4460</v>
      </c>
      <c r="W710" s="6" t="n">
        <v>1</v>
      </c>
      <c r="X710" s="6" t="s">
        <v>4461</v>
      </c>
      <c r="Y710" s="6" t="n">
        <v>1</v>
      </c>
      <c r="Z710" s="6" t="s">
        <v>4462</v>
      </c>
      <c r="AA710" s="6" t="n">
        <v>1</v>
      </c>
      <c r="AB710" s="6" t="s">
        <v>4463</v>
      </c>
      <c r="AC710" s="6" t="n">
        <v>1</v>
      </c>
      <c r="AD710" s="6" t="s">
        <v>4464</v>
      </c>
      <c r="AE710" s="6" t="n">
        <v>1</v>
      </c>
      <c r="AF710" s="6" t="s">
        <v>4465</v>
      </c>
      <c r="AG710" s="6" t="n">
        <v>0</v>
      </c>
      <c r="AH710" s="6" t="s">
        <v>4466</v>
      </c>
      <c r="AI710" s="6" t="n">
        <v>0</v>
      </c>
    </row>
    <row r="711" customFormat="false" ht="12.8" hidden="false" customHeight="false" outlineLevel="0" collapsed="false">
      <c r="A711" s="6" t="s">
        <v>4467</v>
      </c>
      <c r="B711" s="6" t="n">
        <v>96</v>
      </c>
      <c r="C711" s="6" t="n">
        <v>28</v>
      </c>
      <c r="D711" s="12" t="n">
        <f aca="false">C711/(B711+C711)*100</f>
        <v>22.5806451612903</v>
      </c>
      <c r="E711" s="6" t="n">
        <v>13</v>
      </c>
      <c r="F711" s="6" t="s">
        <v>4468</v>
      </c>
      <c r="G711" s="6" t="n">
        <v>8</v>
      </c>
      <c r="H711" s="6" t="s">
        <v>4469</v>
      </c>
      <c r="I711" s="6" t="n">
        <v>4</v>
      </c>
      <c r="J711" s="6" t="s">
        <v>4470</v>
      </c>
      <c r="K711" s="6" t="n">
        <v>3</v>
      </c>
      <c r="L711" s="6" t="s">
        <v>4471</v>
      </c>
      <c r="M711" s="6" t="n">
        <v>3</v>
      </c>
      <c r="N711" s="6" t="s">
        <v>4472</v>
      </c>
      <c r="O711" s="6" t="n">
        <v>2</v>
      </c>
      <c r="P711" s="6" t="s">
        <v>4473</v>
      </c>
      <c r="Q711" s="6" t="n">
        <v>2</v>
      </c>
      <c r="R711" s="6" t="s">
        <v>4474</v>
      </c>
      <c r="S711" s="6" t="n">
        <v>2</v>
      </c>
      <c r="T711" s="6" t="s">
        <v>4475</v>
      </c>
      <c r="U711" s="6" t="n">
        <v>1</v>
      </c>
      <c r="V711" s="6" t="s">
        <v>4476</v>
      </c>
      <c r="W711" s="6" t="n">
        <v>1</v>
      </c>
      <c r="X711" s="6" t="s">
        <v>4477</v>
      </c>
      <c r="Y711" s="6" t="n">
        <v>1</v>
      </c>
      <c r="Z711" s="6" t="s">
        <v>4478</v>
      </c>
      <c r="AA711" s="6" t="n">
        <v>1</v>
      </c>
      <c r="AB711" s="6" t="s">
        <v>4479</v>
      </c>
      <c r="AC711" s="6" t="n">
        <v>0</v>
      </c>
      <c r="AD711" s="6" t="s">
        <v>4480</v>
      </c>
      <c r="AE711" s="6" t="n">
        <v>0</v>
      </c>
    </row>
    <row r="712" customFormat="false" ht="12.8" hidden="false" customHeight="false" outlineLevel="0" collapsed="false">
      <c r="A712" s="6" t="s">
        <v>4481</v>
      </c>
      <c r="B712" s="6" t="n">
        <v>96</v>
      </c>
      <c r="C712" s="6" t="n">
        <v>12</v>
      </c>
      <c r="D712" s="12" t="n">
        <f aca="false">C712/(B712+C712)*100</f>
        <v>11.1111111111111</v>
      </c>
      <c r="E712" s="6" t="n">
        <v>6</v>
      </c>
      <c r="F712" s="6" t="s">
        <v>4482</v>
      </c>
      <c r="G712" s="6" t="n">
        <v>6</v>
      </c>
      <c r="H712" s="6" t="s">
        <v>4483</v>
      </c>
      <c r="I712" s="6" t="n">
        <v>2</v>
      </c>
      <c r="J712" s="6" t="s">
        <v>4484</v>
      </c>
      <c r="K712" s="6" t="n">
        <v>2</v>
      </c>
      <c r="L712" s="6" t="s">
        <v>4485</v>
      </c>
      <c r="M712" s="6" t="n">
        <v>1</v>
      </c>
      <c r="N712" s="6" t="s">
        <v>4486</v>
      </c>
      <c r="O712" s="6" t="n">
        <v>1</v>
      </c>
      <c r="P712" s="6" t="s">
        <v>4487</v>
      </c>
      <c r="Q712" s="6" t="n">
        <v>0</v>
      </c>
    </row>
    <row r="713" customFormat="false" ht="12.8" hidden="false" customHeight="false" outlineLevel="0" collapsed="false">
      <c r="A713" s="6" t="s">
        <v>4488</v>
      </c>
      <c r="B713" s="6" t="n">
        <v>97</v>
      </c>
      <c r="C713" s="6" t="n">
        <v>54</v>
      </c>
      <c r="D713" s="12" t="n">
        <f aca="false">C713/(B713+C713)*100</f>
        <v>35.7615894039735</v>
      </c>
      <c r="E713" s="6" t="n">
        <v>6</v>
      </c>
      <c r="F713" s="6" t="s">
        <v>4489</v>
      </c>
      <c r="G713" s="6" t="n">
        <v>42</v>
      </c>
      <c r="H713" s="6" t="s">
        <v>4490</v>
      </c>
      <c r="I713" s="6" t="n">
        <v>4</v>
      </c>
      <c r="J713" s="6" t="s">
        <v>4491</v>
      </c>
      <c r="K713" s="6" t="n">
        <v>3</v>
      </c>
      <c r="L713" s="6" t="s">
        <v>4492</v>
      </c>
      <c r="M713" s="6" t="n">
        <v>3</v>
      </c>
      <c r="N713" s="6" t="s">
        <v>4493</v>
      </c>
      <c r="O713" s="6" t="n">
        <v>1</v>
      </c>
      <c r="P713" s="6" t="s">
        <v>4494</v>
      </c>
      <c r="Q713" s="6" t="n">
        <v>1</v>
      </c>
    </row>
    <row r="714" customFormat="false" ht="12.8" hidden="false" customHeight="false" outlineLevel="0" collapsed="false">
      <c r="A714" s="6" t="s">
        <v>4495</v>
      </c>
      <c r="B714" s="6" t="n">
        <v>97</v>
      </c>
      <c r="C714" s="6" t="n">
        <v>44</v>
      </c>
      <c r="D714" s="12" t="n">
        <f aca="false">C714/(B714+C714)*100</f>
        <v>31.2056737588652</v>
      </c>
      <c r="E714" s="6" t="n">
        <v>5</v>
      </c>
      <c r="F714" s="6" t="s">
        <v>4496</v>
      </c>
      <c r="G714" s="6" t="n">
        <v>37</v>
      </c>
      <c r="H714" s="6" t="s">
        <v>4497</v>
      </c>
      <c r="I714" s="6" t="n">
        <v>3</v>
      </c>
      <c r="J714" s="6" t="s">
        <v>4498</v>
      </c>
      <c r="K714" s="6" t="n">
        <v>2</v>
      </c>
      <c r="L714" s="6" t="s">
        <v>4499</v>
      </c>
      <c r="M714" s="6" t="n">
        <v>1</v>
      </c>
      <c r="N714" s="6" t="s">
        <v>4500</v>
      </c>
      <c r="O714" s="6" t="n">
        <v>1</v>
      </c>
    </row>
    <row r="715" customFormat="false" ht="12.8" hidden="false" customHeight="false" outlineLevel="0" collapsed="false">
      <c r="A715" s="6" t="s">
        <v>4501</v>
      </c>
      <c r="B715" s="6" t="n">
        <v>97</v>
      </c>
      <c r="C715" s="6" t="n">
        <v>39</v>
      </c>
      <c r="D715" s="12" t="n">
        <f aca="false">C715/(B715+C715)*100</f>
        <v>28.6764705882353</v>
      </c>
      <c r="E715" s="6" t="n">
        <v>1</v>
      </c>
      <c r="F715" s="6" t="s">
        <v>4502</v>
      </c>
      <c r="G715" s="6" t="n">
        <v>39</v>
      </c>
    </row>
    <row r="716" customFormat="false" ht="12.8" hidden="false" customHeight="false" outlineLevel="0" collapsed="false">
      <c r="A716" s="6" t="s">
        <v>4503</v>
      </c>
      <c r="B716" s="6" t="n">
        <v>97</v>
      </c>
      <c r="C716" s="6" t="n">
        <v>0</v>
      </c>
      <c r="D716" s="12" t="n">
        <f aca="false">C716/(B716+C716)*100</f>
        <v>0</v>
      </c>
      <c r="E716" s="6" t="n">
        <v>1</v>
      </c>
      <c r="F716" s="6" t="s">
        <v>4504</v>
      </c>
      <c r="G716" s="6" t="n">
        <v>0</v>
      </c>
    </row>
    <row r="717" customFormat="false" ht="12.8" hidden="false" customHeight="false" outlineLevel="0" collapsed="false">
      <c r="A717" s="6" t="s">
        <v>4505</v>
      </c>
      <c r="B717" s="6" t="n">
        <v>98</v>
      </c>
      <c r="C717" s="6" t="n">
        <v>16</v>
      </c>
      <c r="D717" s="12" t="n">
        <f aca="false">C717/(B717+C717)*100</f>
        <v>14.0350877192982</v>
      </c>
      <c r="E717" s="6" t="n">
        <v>2</v>
      </c>
      <c r="F717" s="6" t="s">
        <v>4506</v>
      </c>
      <c r="G717" s="6" t="n">
        <v>14</v>
      </c>
      <c r="H717" s="6" t="s">
        <v>4507</v>
      </c>
      <c r="I717" s="6" t="n">
        <v>2</v>
      </c>
    </row>
    <row r="718" customFormat="false" ht="12.8" hidden="false" customHeight="false" outlineLevel="0" collapsed="false">
      <c r="A718" s="6" t="s">
        <v>4508</v>
      </c>
      <c r="B718" s="6" t="n">
        <v>99</v>
      </c>
      <c r="C718" s="6" t="n">
        <v>705</v>
      </c>
      <c r="D718" s="12" t="n">
        <f aca="false">C718/(B718+C718)*100</f>
        <v>87.6865671641791</v>
      </c>
      <c r="E718" s="6" t="n">
        <v>24</v>
      </c>
      <c r="F718" s="6" t="s">
        <v>4509</v>
      </c>
      <c r="G718" s="6" t="n">
        <v>387</v>
      </c>
      <c r="H718" s="6" t="s">
        <v>4510</v>
      </c>
      <c r="I718" s="6" t="n">
        <v>133</v>
      </c>
      <c r="J718" s="6" t="s">
        <v>4511</v>
      </c>
      <c r="K718" s="6" t="n">
        <v>57</v>
      </c>
      <c r="L718" s="6" t="s">
        <v>4512</v>
      </c>
      <c r="M718" s="6" t="n">
        <v>44</v>
      </c>
      <c r="N718" s="6" t="s">
        <v>4513</v>
      </c>
      <c r="O718" s="6" t="n">
        <v>33</v>
      </c>
      <c r="P718" s="6" t="s">
        <v>4514</v>
      </c>
      <c r="Q718" s="6" t="n">
        <v>17</v>
      </c>
      <c r="R718" s="6" t="s">
        <v>4515</v>
      </c>
      <c r="S718" s="6" t="n">
        <v>8</v>
      </c>
      <c r="T718" s="6" t="s">
        <v>4516</v>
      </c>
      <c r="U718" s="6" t="n">
        <v>7</v>
      </c>
      <c r="V718" s="6" t="s">
        <v>4517</v>
      </c>
      <c r="W718" s="6" t="n">
        <v>6</v>
      </c>
      <c r="X718" s="6" t="s">
        <v>4518</v>
      </c>
      <c r="Y718" s="6" t="n">
        <v>2</v>
      </c>
      <c r="Z718" s="6" t="s">
        <v>4519</v>
      </c>
      <c r="AA718" s="6" t="n">
        <v>1</v>
      </c>
      <c r="AB718" s="6" t="s">
        <v>4520</v>
      </c>
      <c r="AC718" s="6" t="n">
        <v>1</v>
      </c>
      <c r="AD718" s="6" t="s">
        <v>4521</v>
      </c>
      <c r="AE718" s="6" t="n">
        <v>1</v>
      </c>
      <c r="AF718" s="6" t="s">
        <v>4522</v>
      </c>
      <c r="AG718" s="6" t="n">
        <v>1</v>
      </c>
      <c r="AH718" s="6" t="s">
        <v>4523</v>
      </c>
      <c r="AI718" s="6" t="n">
        <v>1</v>
      </c>
      <c r="AJ718" s="6" t="s">
        <v>4524</v>
      </c>
      <c r="AK718" s="6" t="n">
        <v>1</v>
      </c>
      <c r="AL718" s="6" t="s">
        <v>4525</v>
      </c>
      <c r="AM718" s="6" t="n">
        <v>1</v>
      </c>
      <c r="AN718" s="6" t="s">
        <v>4526</v>
      </c>
      <c r="AO718" s="6" t="n">
        <v>1</v>
      </c>
      <c r="AP718" s="6" t="s">
        <v>4527</v>
      </c>
      <c r="AQ718" s="6" t="n">
        <v>1</v>
      </c>
      <c r="AR718" s="6" t="s">
        <v>4528</v>
      </c>
      <c r="AS718" s="6" t="n">
        <v>1</v>
      </c>
      <c r="AT718" s="6" t="s">
        <v>4529</v>
      </c>
      <c r="AU718" s="6" t="n">
        <v>1</v>
      </c>
      <c r="AV718" s="6" t="s">
        <v>4530</v>
      </c>
      <c r="AW718" s="6" t="n">
        <v>0</v>
      </c>
      <c r="AX718" s="6" t="s">
        <v>4531</v>
      </c>
      <c r="AY718" s="6" t="n">
        <v>0</v>
      </c>
      <c r="AZ718" s="6" t="s">
        <v>4532</v>
      </c>
      <c r="BA718" s="6" t="n">
        <v>0</v>
      </c>
    </row>
    <row r="719" customFormat="false" ht="12.8" hidden="false" customHeight="false" outlineLevel="0" collapsed="false">
      <c r="A719" s="6" t="s">
        <v>4533</v>
      </c>
      <c r="B719" s="6" t="n">
        <v>99</v>
      </c>
      <c r="C719" s="6" t="n">
        <v>122</v>
      </c>
      <c r="D719" s="12" t="n">
        <f aca="false">C719/(B719+C719)*100</f>
        <v>55.2036199095023</v>
      </c>
      <c r="E719" s="6" t="n">
        <v>8</v>
      </c>
      <c r="F719" s="6" t="s">
        <v>4534</v>
      </c>
      <c r="G719" s="6" t="n">
        <v>112</v>
      </c>
      <c r="H719" s="6" t="s">
        <v>4535</v>
      </c>
      <c r="I719" s="6" t="n">
        <v>3</v>
      </c>
      <c r="J719" s="6" t="s">
        <v>4536</v>
      </c>
      <c r="K719" s="6" t="n">
        <v>3</v>
      </c>
      <c r="L719" s="6" t="s">
        <v>4537</v>
      </c>
      <c r="M719" s="6" t="n">
        <v>1</v>
      </c>
      <c r="N719" s="6" t="s">
        <v>4538</v>
      </c>
      <c r="O719" s="6" t="n">
        <v>1</v>
      </c>
      <c r="P719" s="6" t="s">
        <v>4539</v>
      </c>
      <c r="Q719" s="6" t="n">
        <v>1</v>
      </c>
      <c r="R719" s="6" t="s">
        <v>4540</v>
      </c>
      <c r="S719" s="6" t="n">
        <v>1</v>
      </c>
      <c r="T719" s="6" t="s">
        <v>4541</v>
      </c>
      <c r="U719" s="6" t="n">
        <v>0</v>
      </c>
    </row>
    <row r="720" customFormat="false" ht="12.8" hidden="false" customHeight="false" outlineLevel="0" collapsed="false">
      <c r="A720" s="6" t="s">
        <v>4542</v>
      </c>
      <c r="B720" s="6" t="n">
        <v>99</v>
      </c>
      <c r="C720" s="6" t="n">
        <v>9</v>
      </c>
      <c r="D720" s="12" t="n">
        <f aca="false">C720/(B720+C720)*100</f>
        <v>8.33333333333333</v>
      </c>
      <c r="E720" s="6" t="n">
        <v>5</v>
      </c>
      <c r="F720" s="6" t="s">
        <v>4543</v>
      </c>
      <c r="G720" s="6" t="n">
        <v>7</v>
      </c>
      <c r="H720" s="6" t="s">
        <v>4544</v>
      </c>
      <c r="I720" s="6" t="n">
        <v>1</v>
      </c>
      <c r="J720" s="6" t="s">
        <v>4545</v>
      </c>
      <c r="K720" s="6" t="n">
        <v>1</v>
      </c>
      <c r="L720" s="6" t="s">
        <v>4546</v>
      </c>
      <c r="M720" s="6" t="n">
        <v>0</v>
      </c>
      <c r="N720" s="6" t="s">
        <v>4547</v>
      </c>
      <c r="O720" s="6" t="n">
        <v>0</v>
      </c>
    </row>
    <row r="721" customFormat="false" ht="12.8" hidden="false" customHeight="false" outlineLevel="0" collapsed="false">
      <c r="A721" s="6" t="s">
        <v>4548</v>
      </c>
      <c r="B721" s="6" t="n">
        <v>100</v>
      </c>
      <c r="C721" s="6" t="n">
        <v>171</v>
      </c>
      <c r="D721" s="12" t="n">
        <f aca="false">C721/(B721+C721)*100</f>
        <v>63.09963099631</v>
      </c>
      <c r="E721" s="6" t="n">
        <v>9</v>
      </c>
      <c r="F721" s="6" t="s">
        <v>4549</v>
      </c>
      <c r="G721" s="6" t="n">
        <v>89</v>
      </c>
      <c r="H721" s="6" t="s">
        <v>4550</v>
      </c>
      <c r="I721" s="6" t="n">
        <v>34</v>
      </c>
      <c r="J721" s="6" t="s">
        <v>4551</v>
      </c>
      <c r="K721" s="6" t="n">
        <v>19</v>
      </c>
      <c r="L721" s="6" t="s">
        <v>4552</v>
      </c>
      <c r="M721" s="6" t="n">
        <v>8</v>
      </c>
      <c r="N721" s="6" t="s">
        <v>4553</v>
      </c>
      <c r="O721" s="6" t="n">
        <v>8</v>
      </c>
      <c r="P721" s="6" t="s">
        <v>4554</v>
      </c>
      <c r="Q721" s="6" t="n">
        <v>5</v>
      </c>
      <c r="R721" s="6" t="s">
        <v>4555</v>
      </c>
      <c r="S721" s="6" t="n">
        <v>3</v>
      </c>
      <c r="T721" s="6" t="s">
        <v>4556</v>
      </c>
      <c r="U721" s="6" t="n">
        <v>3</v>
      </c>
      <c r="V721" s="6" t="s">
        <v>4557</v>
      </c>
      <c r="W721" s="6" t="n">
        <v>2</v>
      </c>
    </row>
    <row r="722" customFormat="false" ht="12.8" hidden="false" customHeight="false" outlineLevel="0" collapsed="false">
      <c r="A722" s="6" t="s">
        <v>463</v>
      </c>
      <c r="B722" s="6" t="n">
        <v>102</v>
      </c>
      <c r="C722" s="6" t="n">
        <v>76</v>
      </c>
      <c r="D722" s="12" t="n">
        <f aca="false">C722/(B722+C722)*100</f>
        <v>42.6966292134831</v>
      </c>
      <c r="E722" s="6" t="n">
        <v>10</v>
      </c>
      <c r="F722" s="6" t="s">
        <v>4558</v>
      </c>
      <c r="G722" s="6" t="n">
        <v>27</v>
      </c>
      <c r="H722" s="6" t="s">
        <v>4559</v>
      </c>
      <c r="I722" s="6" t="n">
        <v>17</v>
      </c>
      <c r="J722" s="6" t="s">
        <v>4560</v>
      </c>
      <c r="K722" s="6" t="n">
        <v>9</v>
      </c>
      <c r="L722" s="6" t="s">
        <v>4561</v>
      </c>
      <c r="M722" s="6" t="n">
        <v>7</v>
      </c>
      <c r="N722" s="6" t="s">
        <v>4562</v>
      </c>
      <c r="O722" s="6" t="n">
        <v>7</v>
      </c>
      <c r="P722" s="6" t="s">
        <v>4563</v>
      </c>
      <c r="Q722" s="6" t="n">
        <v>5</v>
      </c>
      <c r="R722" s="6" t="s">
        <v>4564</v>
      </c>
      <c r="S722" s="6" t="n">
        <v>2</v>
      </c>
      <c r="T722" s="6" t="s">
        <v>4565</v>
      </c>
      <c r="U722" s="6" t="n">
        <v>1</v>
      </c>
      <c r="V722" s="6" t="s">
        <v>4566</v>
      </c>
      <c r="W722" s="6" t="n">
        <v>1</v>
      </c>
      <c r="X722" s="6" t="s">
        <v>4567</v>
      </c>
      <c r="Y722" s="6" t="n">
        <v>0</v>
      </c>
    </row>
    <row r="723" customFormat="false" ht="12.8" hidden="false" customHeight="false" outlineLevel="0" collapsed="false">
      <c r="A723" s="6" t="s">
        <v>4568</v>
      </c>
      <c r="B723" s="6" t="n">
        <v>103</v>
      </c>
      <c r="C723" s="6" t="n">
        <v>423</v>
      </c>
      <c r="D723" s="12" t="n">
        <f aca="false">C723/(B723+C723)*100</f>
        <v>80.4182509505704</v>
      </c>
      <c r="E723" s="6" t="n">
        <v>9</v>
      </c>
      <c r="F723" s="6" t="s">
        <v>4569</v>
      </c>
      <c r="G723" s="6" t="n">
        <v>333</v>
      </c>
      <c r="H723" s="6" t="s">
        <v>4570</v>
      </c>
      <c r="I723" s="6" t="n">
        <v>67</v>
      </c>
      <c r="J723" s="6" t="s">
        <v>4571</v>
      </c>
      <c r="K723" s="6" t="n">
        <v>14</v>
      </c>
      <c r="L723" s="6" t="s">
        <v>4572</v>
      </c>
      <c r="M723" s="6" t="n">
        <v>4</v>
      </c>
      <c r="N723" s="6" t="s">
        <v>4573</v>
      </c>
      <c r="O723" s="6" t="n">
        <v>2</v>
      </c>
      <c r="P723" s="6" t="s">
        <v>4574</v>
      </c>
      <c r="Q723" s="6" t="n">
        <v>2</v>
      </c>
      <c r="R723" s="6" t="s">
        <v>4575</v>
      </c>
      <c r="S723" s="6" t="n">
        <v>1</v>
      </c>
      <c r="T723" s="6" t="s">
        <v>4576</v>
      </c>
      <c r="U723" s="6" t="n">
        <v>0</v>
      </c>
      <c r="V723" s="6" t="s">
        <v>4577</v>
      </c>
      <c r="W723" s="6" t="n">
        <v>0</v>
      </c>
    </row>
    <row r="724" customFormat="false" ht="12.8" hidden="false" customHeight="false" outlineLevel="0" collapsed="false">
      <c r="A724" s="6" t="s">
        <v>4578</v>
      </c>
      <c r="B724" s="6" t="n">
        <v>103</v>
      </c>
      <c r="C724" s="6" t="n">
        <v>334</v>
      </c>
      <c r="D724" s="12" t="n">
        <f aca="false">C724/(B724+C724)*100</f>
        <v>76.4302059496568</v>
      </c>
      <c r="E724" s="6" t="n">
        <v>39</v>
      </c>
      <c r="F724" s="6" t="s">
        <v>4579</v>
      </c>
      <c r="G724" s="6" t="n">
        <v>104</v>
      </c>
      <c r="H724" s="6" t="s">
        <v>4580</v>
      </c>
      <c r="I724" s="6" t="n">
        <v>52</v>
      </c>
      <c r="J724" s="6" t="s">
        <v>4581</v>
      </c>
      <c r="K724" s="6" t="n">
        <v>44</v>
      </c>
      <c r="L724" s="6" t="s">
        <v>4582</v>
      </c>
      <c r="M724" s="6" t="n">
        <v>38</v>
      </c>
      <c r="N724" s="6" t="s">
        <v>4583</v>
      </c>
      <c r="O724" s="6" t="n">
        <v>26</v>
      </c>
      <c r="P724" s="6" t="s">
        <v>4584</v>
      </c>
      <c r="Q724" s="6" t="n">
        <v>10</v>
      </c>
      <c r="R724" s="6" t="s">
        <v>4585</v>
      </c>
      <c r="S724" s="6" t="n">
        <v>9</v>
      </c>
      <c r="T724" s="6" t="s">
        <v>4586</v>
      </c>
      <c r="U724" s="6" t="n">
        <v>9</v>
      </c>
      <c r="V724" s="6" t="s">
        <v>4587</v>
      </c>
      <c r="W724" s="6" t="n">
        <v>6</v>
      </c>
      <c r="X724" s="6" t="s">
        <v>4588</v>
      </c>
      <c r="Y724" s="6" t="n">
        <v>5</v>
      </c>
      <c r="Z724" s="6" t="s">
        <v>4589</v>
      </c>
      <c r="AA724" s="6" t="n">
        <v>5</v>
      </c>
      <c r="AB724" s="6" t="s">
        <v>4590</v>
      </c>
      <c r="AC724" s="6" t="n">
        <v>4</v>
      </c>
      <c r="AD724" s="6" t="s">
        <v>4591</v>
      </c>
      <c r="AE724" s="6" t="n">
        <v>3</v>
      </c>
      <c r="AF724" s="6" t="s">
        <v>4592</v>
      </c>
      <c r="AG724" s="6" t="n">
        <v>3</v>
      </c>
      <c r="AH724" s="6" t="s">
        <v>4593</v>
      </c>
      <c r="AI724" s="6" t="n">
        <v>2</v>
      </c>
      <c r="AJ724" s="6" t="s">
        <v>4594</v>
      </c>
      <c r="AK724" s="6" t="n">
        <v>2</v>
      </c>
      <c r="AL724" s="6" t="s">
        <v>4595</v>
      </c>
      <c r="AM724" s="6" t="n">
        <v>2</v>
      </c>
      <c r="AN724" s="6" t="s">
        <v>4596</v>
      </c>
      <c r="AO724" s="6" t="n">
        <v>2</v>
      </c>
      <c r="AP724" s="6" t="s">
        <v>4597</v>
      </c>
      <c r="AQ724" s="6" t="n">
        <v>1</v>
      </c>
      <c r="AR724" s="6" t="s">
        <v>4598</v>
      </c>
      <c r="AS724" s="6" t="n">
        <v>1</v>
      </c>
      <c r="AT724" s="6" t="s">
        <v>4599</v>
      </c>
      <c r="AU724" s="6" t="n">
        <v>1</v>
      </c>
      <c r="AV724" s="6" t="s">
        <v>4600</v>
      </c>
      <c r="AW724" s="6" t="n">
        <v>1</v>
      </c>
      <c r="AX724" s="6" t="s">
        <v>4601</v>
      </c>
      <c r="AY724" s="6" t="n">
        <v>1</v>
      </c>
      <c r="AZ724" s="6" t="s">
        <v>4602</v>
      </c>
      <c r="BA724" s="6" t="n">
        <v>1</v>
      </c>
      <c r="BB724" s="6" t="s">
        <v>4603</v>
      </c>
      <c r="BC724" s="6" t="n">
        <v>1</v>
      </c>
      <c r="BD724" s="6" t="s">
        <v>4604</v>
      </c>
      <c r="BE724" s="6" t="n">
        <v>1</v>
      </c>
      <c r="BF724" s="6" t="s">
        <v>4605</v>
      </c>
      <c r="BG724" s="6" t="n">
        <v>0</v>
      </c>
      <c r="BH724" s="6" t="s">
        <v>4606</v>
      </c>
      <c r="BI724" s="6" t="n">
        <v>0</v>
      </c>
      <c r="BJ724" s="6" t="s">
        <v>4607</v>
      </c>
      <c r="BK724" s="6" t="n">
        <v>0</v>
      </c>
      <c r="BL724" s="6" t="s">
        <v>4608</v>
      </c>
      <c r="BM724" s="6" t="n">
        <v>0</v>
      </c>
      <c r="BN724" s="6" t="s">
        <v>4609</v>
      </c>
      <c r="BO724" s="6" t="n">
        <v>0</v>
      </c>
      <c r="BP724" s="6" t="s">
        <v>4610</v>
      </c>
      <c r="BQ724" s="6" t="n">
        <v>0</v>
      </c>
      <c r="BR724" s="6" t="s">
        <v>4611</v>
      </c>
      <c r="BS724" s="6" t="n">
        <v>0</v>
      </c>
      <c r="BT724" s="6" t="s">
        <v>4612</v>
      </c>
      <c r="BU724" s="6" t="n">
        <v>0</v>
      </c>
      <c r="BV724" s="6" t="s">
        <v>4613</v>
      </c>
      <c r="BW724" s="6" t="n">
        <v>0</v>
      </c>
      <c r="BX724" s="6" t="s">
        <v>4614</v>
      </c>
      <c r="BY724" s="6" t="n">
        <v>0</v>
      </c>
      <c r="BZ724" s="6" t="s">
        <v>4615</v>
      </c>
      <c r="CA724" s="6" t="n">
        <v>0</v>
      </c>
      <c r="CB724" s="6" t="s">
        <v>4616</v>
      </c>
      <c r="CC724" s="6" t="n">
        <v>0</v>
      </c>
      <c r="CD724" s="6" t="s">
        <v>4617</v>
      </c>
      <c r="CE724" s="6" t="n">
        <v>0</v>
      </c>
    </row>
    <row r="725" customFormat="false" ht="12.8" hidden="false" customHeight="false" outlineLevel="0" collapsed="false">
      <c r="A725" s="6" t="s">
        <v>4618</v>
      </c>
      <c r="B725" s="6" t="n">
        <v>103</v>
      </c>
      <c r="C725" s="6" t="n">
        <v>24</v>
      </c>
      <c r="D725" s="12" t="n">
        <f aca="false">C725/(B725+C725)*100</f>
        <v>18.8976377952756</v>
      </c>
      <c r="E725" s="6" t="n">
        <v>8</v>
      </c>
      <c r="F725" s="6" t="s">
        <v>4619</v>
      </c>
      <c r="G725" s="6" t="n">
        <v>15</v>
      </c>
      <c r="H725" s="6" t="s">
        <v>4620</v>
      </c>
      <c r="I725" s="6" t="n">
        <v>3</v>
      </c>
      <c r="J725" s="6" t="s">
        <v>4621</v>
      </c>
      <c r="K725" s="6" t="n">
        <v>2</v>
      </c>
      <c r="L725" s="6" t="s">
        <v>4622</v>
      </c>
      <c r="M725" s="6" t="n">
        <v>1</v>
      </c>
      <c r="N725" s="6" t="s">
        <v>4623</v>
      </c>
      <c r="O725" s="6" t="n">
        <v>1</v>
      </c>
      <c r="P725" s="6" t="s">
        <v>4624</v>
      </c>
      <c r="Q725" s="6" t="n">
        <v>1</v>
      </c>
      <c r="R725" s="6" t="s">
        <v>4625</v>
      </c>
      <c r="S725" s="6" t="n">
        <v>1</v>
      </c>
      <c r="T725" s="6" t="s">
        <v>4626</v>
      </c>
      <c r="U725" s="6" t="n">
        <v>0</v>
      </c>
    </row>
    <row r="726" customFormat="false" ht="12.8" hidden="false" customHeight="false" outlineLevel="0" collapsed="false">
      <c r="A726" s="6" t="s">
        <v>4627</v>
      </c>
      <c r="B726" s="6" t="n">
        <v>104</v>
      </c>
      <c r="C726" s="6" t="n">
        <v>1939</v>
      </c>
      <c r="D726" s="12" t="n">
        <f aca="false">C726/(B726+C726)*100</f>
        <v>94.9094468918257</v>
      </c>
      <c r="E726" s="6" t="n">
        <v>20</v>
      </c>
      <c r="F726" s="6" t="s">
        <v>4628</v>
      </c>
      <c r="G726" s="6" t="n">
        <v>1000</v>
      </c>
      <c r="H726" s="6" t="s">
        <v>4629</v>
      </c>
      <c r="I726" s="6" t="n">
        <v>472</v>
      </c>
      <c r="J726" s="6" t="s">
        <v>4630</v>
      </c>
      <c r="K726" s="6" t="n">
        <v>299</v>
      </c>
      <c r="L726" s="6" t="s">
        <v>4631</v>
      </c>
      <c r="M726" s="6" t="n">
        <v>54</v>
      </c>
      <c r="N726" s="6" t="s">
        <v>4632</v>
      </c>
      <c r="O726" s="6" t="n">
        <v>36</v>
      </c>
      <c r="P726" s="6" t="s">
        <v>4633</v>
      </c>
      <c r="Q726" s="6" t="n">
        <v>19</v>
      </c>
      <c r="R726" s="6" t="s">
        <v>4634</v>
      </c>
      <c r="S726" s="6" t="n">
        <v>12</v>
      </c>
      <c r="T726" s="6" t="s">
        <v>4635</v>
      </c>
      <c r="U726" s="6" t="n">
        <v>11</v>
      </c>
      <c r="V726" s="6" t="s">
        <v>4636</v>
      </c>
      <c r="W726" s="6" t="n">
        <v>9</v>
      </c>
      <c r="X726" s="6" t="s">
        <v>4637</v>
      </c>
      <c r="Y726" s="6" t="n">
        <v>8</v>
      </c>
      <c r="Z726" s="6" t="s">
        <v>4638</v>
      </c>
      <c r="AA726" s="6" t="n">
        <v>6</v>
      </c>
      <c r="AB726" s="6" t="s">
        <v>4639</v>
      </c>
      <c r="AC726" s="6" t="n">
        <v>4</v>
      </c>
      <c r="AD726" s="6" t="s">
        <v>4640</v>
      </c>
      <c r="AE726" s="6" t="n">
        <v>2</v>
      </c>
      <c r="AF726" s="6" t="s">
        <v>4641</v>
      </c>
      <c r="AG726" s="6" t="n">
        <v>2</v>
      </c>
      <c r="AH726" s="6" t="s">
        <v>4642</v>
      </c>
      <c r="AI726" s="6" t="n">
        <v>2</v>
      </c>
      <c r="AJ726" s="6" t="s">
        <v>4643</v>
      </c>
      <c r="AK726" s="6" t="n">
        <v>1</v>
      </c>
      <c r="AL726" s="6" t="s">
        <v>4644</v>
      </c>
      <c r="AM726" s="6" t="n">
        <v>1</v>
      </c>
      <c r="AN726" s="6" t="s">
        <v>4645</v>
      </c>
      <c r="AO726" s="6" t="n">
        <v>1</v>
      </c>
      <c r="AP726" s="6" t="s">
        <v>4646</v>
      </c>
      <c r="AQ726" s="6" t="n">
        <v>0</v>
      </c>
      <c r="AR726" s="6" t="s">
        <v>4647</v>
      </c>
      <c r="AS726" s="6" t="n">
        <v>0</v>
      </c>
    </row>
    <row r="727" customFormat="false" ht="12.8" hidden="false" customHeight="false" outlineLevel="0" collapsed="false">
      <c r="A727" s="6" t="s">
        <v>4648</v>
      </c>
      <c r="B727" s="6" t="n">
        <v>104</v>
      </c>
      <c r="C727" s="6" t="n">
        <v>78</v>
      </c>
      <c r="D727" s="12" t="n">
        <f aca="false">C727/(B727+C727)*100</f>
        <v>42.8571428571429</v>
      </c>
      <c r="E727" s="6" t="n">
        <v>3</v>
      </c>
      <c r="F727" s="6" t="s">
        <v>4649</v>
      </c>
      <c r="G727" s="6" t="n">
        <v>75</v>
      </c>
      <c r="H727" s="6" t="s">
        <v>4650</v>
      </c>
      <c r="I727" s="6" t="n">
        <v>3</v>
      </c>
      <c r="J727" s="6" t="s">
        <v>4651</v>
      </c>
      <c r="K727" s="6" t="n">
        <v>0</v>
      </c>
    </row>
    <row r="728" customFormat="false" ht="12.8" hidden="false" customHeight="false" outlineLevel="0" collapsed="false">
      <c r="A728" s="6" t="s">
        <v>4652</v>
      </c>
      <c r="B728" s="6" t="n">
        <v>104</v>
      </c>
      <c r="C728" s="6" t="n">
        <v>1</v>
      </c>
      <c r="D728" s="12" t="n">
        <f aca="false">C728/(B728+C728)*100</f>
        <v>0.952380952380952</v>
      </c>
      <c r="E728" s="6" t="n">
        <v>1</v>
      </c>
      <c r="F728" s="6" t="s">
        <v>4653</v>
      </c>
      <c r="G728" s="6" t="n">
        <v>1</v>
      </c>
    </row>
    <row r="729" customFormat="false" ht="12.8" hidden="false" customHeight="false" outlineLevel="0" collapsed="false">
      <c r="A729" s="6" t="s">
        <v>4654</v>
      </c>
      <c r="B729" s="6" t="n">
        <v>105</v>
      </c>
      <c r="C729" s="6" t="n">
        <v>30</v>
      </c>
      <c r="D729" s="12" t="n">
        <f aca="false">C729/(B729+C729)*100</f>
        <v>22.2222222222222</v>
      </c>
      <c r="E729" s="6" t="n">
        <v>4</v>
      </c>
      <c r="F729" s="6" t="s">
        <v>4655</v>
      </c>
      <c r="G729" s="6" t="n">
        <v>25</v>
      </c>
      <c r="H729" s="6" t="s">
        <v>4656</v>
      </c>
      <c r="I729" s="6" t="n">
        <v>2</v>
      </c>
      <c r="J729" s="6" t="s">
        <v>4657</v>
      </c>
      <c r="K729" s="6" t="n">
        <v>2</v>
      </c>
      <c r="L729" s="6" t="s">
        <v>4658</v>
      </c>
      <c r="M729" s="6" t="n">
        <v>1</v>
      </c>
    </row>
    <row r="730" customFormat="false" ht="12.8" hidden="false" customHeight="false" outlineLevel="0" collapsed="false">
      <c r="A730" s="6" t="s">
        <v>4659</v>
      </c>
      <c r="B730" s="6" t="n">
        <v>106</v>
      </c>
      <c r="C730" s="6" t="n">
        <v>8</v>
      </c>
      <c r="D730" s="12" t="n">
        <f aca="false">C730/(B730+C730)*100</f>
        <v>7.01754385964912</v>
      </c>
      <c r="E730" s="6" t="n">
        <v>5</v>
      </c>
      <c r="F730" s="6" t="s">
        <v>4660</v>
      </c>
      <c r="G730" s="6" t="n">
        <v>8</v>
      </c>
      <c r="H730" s="6" t="s">
        <v>4661</v>
      </c>
      <c r="I730" s="6" t="n">
        <v>0</v>
      </c>
      <c r="J730" s="6" t="s">
        <v>4662</v>
      </c>
      <c r="K730" s="6" t="n">
        <v>0</v>
      </c>
      <c r="L730" s="6" t="s">
        <v>4663</v>
      </c>
      <c r="M730" s="6" t="n">
        <v>0</v>
      </c>
      <c r="N730" s="6" t="s">
        <v>4664</v>
      </c>
      <c r="O730" s="6" t="n">
        <v>0</v>
      </c>
    </row>
    <row r="731" customFormat="false" ht="12.8" hidden="false" customHeight="false" outlineLevel="0" collapsed="false">
      <c r="A731" s="6" t="s">
        <v>4665</v>
      </c>
      <c r="B731" s="6" t="n">
        <v>107</v>
      </c>
      <c r="C731" s="6" t="n">
        <v>999</v>
      </c>
      <c r="D731" s="12" t="n">
        <f aca="false">C731/(B731+C731)*100</f>
        <v>90.3254972875226</v>
      </c>
      <c r="E731" s="6" t="n">
        <v>17</v>
      </c>
      <c r="F731" s="6" t="s">
        <v>4666</v>
      </c>
      <c r="G731" s="6" t="n">
        <v>795</v>
      </c>
      <c r="H731" s="6" t="s">
        <v>4667</v>
      </c>
      <c r="I731" s="6" t="n">
        <v>82</v>
      </c>
      <c r="J731" s="6" t="s">
        <v>4668</v>
      </c>
      <c r="K731" s="6" t="n">
        <v>45</v>
      </c>
      <c r="L731" s="6" t="s">
        <v>4669</v>
      </c>
      <c r="M731" s="6" t="n">
        <v>27</v>
      </c>
      <c r="N731" s="6" t="s">
        <v>4670</v>
      </c>
      <c r="O731" s="6" t="n">
        <v>12</v>
      </c>
      <c r="P731" s="6" t="s">
        <v>4671</v>
      </c>
      <c r="Q731" s="6" t="n">
        <v>12</v>
      </c>
      <c r="R731" s="6" t="s">
        <v>4672</v>
      </c>
      <c r="S731" s="6" t="n">
        <v>8</v>
      </c>
      <c r="T731" s="6" t="s">
        <v>4673</v>
      </c>
      <c r="U731" s="6" t="n">
        <v>7</v>
      </c>
      <c r="V731" s="6" t="s">
        <v>4674</v>
      </c>
      <c r="W731" s="6" t="n">
        <v>3</v>
      </c>
      <c r="X731" s="6" t="s">
        <v>4675</v>
      </c>
      <c r="Y731" s="6" t="n">
        <v>2</v>
      </c>
      <c r="Z731" s="6" t="s">
        <v>4676</v>
      </c>
      <c r="AA731" s="6" t="n">
        <v>1</v>
      </c>
      <c r="AB731" s="6" t="s">
        <v>4677</v>
      </c>
      <c r="AC731" s="6" t="n">
        <v>1</v>
      </c>
      <c r="AD731" s="6" t="s">
        <v>4678</v>
      </c>
      <c r="AE731" s="6" t="n">
        <v>1</v>
      </c>
      <c r="AF731" s="6" t="s">
        <v>4679</v>
      </c>
      <c r="AG731" s="6" t="n">
        <v>1</v>
      </c>
      <c r="AH731" s="6" t="s">
        <v>4680</v>
      </c>
      <c r="AI731" s="6" t="n">
        <v>1</v>
      </c>
      <c r="AJ731" s="6" t="s">
        <v>4681</v>
      </c>
      <c r="AK731" s="6" t="n">
        <v>1</v>
      </c>
      <c r="AL731" s="6" t="s">
        <v>4682</v>
      </c>
      <c r="AM731" s="6" t="n">
        <v>0</v>
      </c>
    </row>
    <row r="732" customFormat="false" ht="12.8" hidden="false" customHeight="false" outlineLevel="0" collapsed="false">
      <c r="A732" s="6" t="s">
        <v>4683</v>
      </c>
      <c r="B732" s="6" t="n">
        <v>107</v>
      </c>
      <c r="C732" s="6" t="n">
        <v>4</v>
      </c>
      <c r="D732" s="12" t="n">
        <f aca="false">C732/(B732+C732)*100</f>
        <v>3.6036036036036</v>
      </c>
      <c r="E732" s="6" t="n">
        <v>2</v>
      </c>
      <c r="F732" s="6" t="s">
        <v>4684</v>
      </c>
      <c r="G732" s="6" t="n">
        <v>3</v>
      </c>
      <c r="H732" s="6" t="s">
        <v>4685</v>
      </c>
      <c r="I732" s="6" t="n">
        <v>1</v>
      </c>
    </row>
    <row r="733" customFormat="false" ht="12.8" hidden="false" customHeight="false" outlineLevel="0" collapsed="false">
      <c r="A733" s="6" t="s">
        <v>4686</v>
      </c>
      <c r="B733" s="6" t="n">
        <v>108</v>
      </c>
      <c r="C733" s="6" t="n">
        <v>538</v>
      </c>
      <c r="D733" s="12" t="n">
        <f aca="false">C733/(B733+C733)*100</f>
        <v>83.28173374613</v>
      </c>
      <c r="E733" s="6" t="n">
        <v>16</v>
      </c>
      <c r="F733" s="6" t="s">
        <v>4687</v>
      </c>
      <c r="G733" s="6" t="n">
        <v>450</v>
      </c>
      <c r="H733" s="6" t="s">
        <v>4688</v>
      </c>
      <c r="I733" s="6" t="n">
        <v>30</v>
      </c>
      <c r="J733" s="6" t="s">
        <v>4689</v>
      </c>
      <c r="K733" s="6" t="n">
        <v>23</v>
      </c>
      <c r="L733" s="6" t="s">
        <v>4690</v>
      </c>
      <c r="M733" s="6" t="n">
        <v>14</v>
      </c>
      <c r="N733" s="6" t="s">
        <v>4691</v>
      </c>
      <c r="O733" s="6" t="n">
        <v>5</v>
      </c>
      <c r="P733" s="6" t="s">
        <v>4692</v>
      </c>
      <c r="Q733" s="6" t="n">
        <v>3</v>
      </c>
      <c r="R733" s="6" t="s">
        <v>4693</v>
      </c>
      <c r="S733" s="6" t="n">
        <v>3</v>
      </c>
      <c r="T733" s="6" t="s">
        <v>4694</v>
      </c>
      <c r="U733" s="6" t="n">
        <v>3</v>
      </c>
      <c r="V733" s="6" t="s">
        <v>4695</v>
      </c>
      <c r="W733" s="6" t="n">
        <v>2</v>
      </c>
      <c r="X733" s="6" t="s">
        <v>4696</v>
      </c>
      <c r="Y733" s="6" t="n">
        <v>1</v>
      </c>
      <c r="Z733" s="6" t="s">
        <v>4697</v>
      </c>
      <c r="AA733" s="6" t="n">
        <v>1</v>
      </c>
      <c r="AB733" s="6" t="s">
        <v>4698</v>
      </c>
      <c r="AC733" s="6" t="n">
        <v>1</v>
      </c>
      <c r="AD733" s="6" t="s">
        <v>4699</v>
      </c>
      <c r="AE733" s="6" t="n">
        <v>1</v>
      </c>
      <c r="AF733" s="6" t="s">
        <v>4700</v>
      </c>
      <c r="AG733" s="6" t="n">
        <v>1</v>
      </c>
      <c r="AH733" s="6" t="s">
        <v>4701</v>
      </c>
      <c r="AI733" s="6" t="n">
        <v>0</v>
      </c>
      <c r="AJ733" s="6" t="s">
        <v>4702</v>
      </c>
      <c r="AK733" s="6" t="n">
        <v>0</v>
      </c>
    </row>
    <row r="734" customFormat="false" ht="12.8" hidden="false" customHeight="false" outlineLevel="0" collapsed="false">
      <c r="A734" s="6" t="s">
        <v>4703</v>
      </c>
      <c r="B734" s="6" t="n">
        <v>108</v>
      </c>
      <c r="C734" s="6" t="n">
        <v>499</v>
      </c>
      <c r="D734" s="12" t="n">
        <f aca="false">C734/(B734+C734)*100</f>
        <v>82.2075782537068</v>
      </c>
      <c r="E734" s="6" t="n">
        <v>8</v>
      </c>
      <c r="F734" s="6" t="s">
        <v>4704</v>
      </c>
      <c r="G734" s="6" t="n">
        <v>390</v>
      </c>
      <c r="H734" s="6" t="s">
        <v>4705</v>
      </c>
      <c r="I734" s="6" t="n">
        <v>63</v>
      </c>
      <c r="J734" s="6" t="s">
        <v>4706</v>
      </c>
      <c r="K734" s="6" t="n">
        <v>33</v>
      </c>
      <c r="L734" s="6" t="s">
        <v>4707</v>
      </c>
      <c r="M734" s="6" t="n">
        <v>8</v>
      </c>
      <c r="N734" s="6" t="s">
        <v>4708</v>
      </c>
      <c r="O734" s="6" t="n">
        <v>2</v>
      </c>
      <c r="P734" s="6" t="s">
        <v>4709</v>
      </c>
      <c r="Q734" s="6" t="n">
        <v>2</v>
      </c>
      <c r="R734" s="6" t="s">
        <v>4710</v>
      </c>
      <c r="S734" s="6" t="n">
        <v>1</v>
      </c>
      <c r="T734" s="6" t="s">
        <v>4711</v>
      </c>
      <c r="U734" s="6" t="n">
        <v>0</v>
      </c>
    </row>
    <row r="735" customFormat="false" ht="12.8" hidden="false" customHeight="false" outlineLevel="0" collapsed="false">
      <c r="A735" s="6" t="s">
        <v>4712</v>
      </c>
      <c r="B735" s="6" t="n">
        <v>108</v>
      </c>
      <c r="C735" s="6" t="n">
        <v>17</v>
      </c>
      <c r="D735" s="12" t="n">
        <f aca="false">C735/(B735+C735)*100</f>
        <v>13.6</v>
      </c>
      <c r="E735" s="6" t="n">
        <v>7</v>
      </c>
      <c r="F735" s="6" t="s">
        <v>4713</v>
      </c>
      <c r="G735" s="6" t="n">
        <v>8</v>
      </c>
      <c r="H735" s="6" t="s">
        <v>4714</v>
      </c>
      <c r="I735" s="6" t="n">
        <v>4</v>
      </c>
      <c r="J735" s="6" t="s">
        <v>4715</v>
      </c>
      <c r="K735" s="6" t="n">
        <v>3</v>
      </c>
      <c r="L735" s="6" t="s">
        <v>4716</v>
      </c>
      <c r="M735" s="6" t="n">
        <v>1</v>
      </c>
      <c r="N735" s="6" t="s">
        <v>4717</v>
      </c>
      <c r="O735" s="6" t="n">
        <v>1</v>
      </c>
      <c r="P735" s="6" t="s">
        <v>4718</v>
      </c>
      <c r="Q735" s="6" t="n">
        <v>0</v>
      </c>
      <c r="R735" s="6" t="s">
        <v>4719</v>
      </c>
      <c r="S735" s="6" t="n">
        <v>0</v>
      </c>
    </row>
    <row r="736" customFormat="false" ht="12.8" hidden="false" customHeight="false" outlineLevel="0" collapsed="false">
      <c r="A736" s="6" t="s">
        <v>4720</v>
      </c>
      <c r="B736" s="6" t="n">
        <v>109</v>
      </c>
      <c r="C736" s="6" t="n">
        <v>74</v>
      </c>
      <c r="D736" s="12" t="n">
        <f aca="false">C736/(B736+C736)*100</f>
        <v>40.4371584699454</v>
      </c>
      <c r="E736" s="6" t="n">
        <v>3</v>
      </c>
      <c r="F736" s="6" t="s">
        <v>4721</v>
      </c>
      <c r="G736" s="6" t="n">
        <v>46</v>
      </c>
      <c r="H736" s="6" t="s">
        <v>4722</v>
      </c>
      <c r="I736" s="6" t="n">
        <v>26</v>
      </c>
      <c r="J736" s="6" t="s">
        <v>4723</v>
      </c>
      <c r="K736" s="6" t="n">
        <v>2</v>
      </c>
    </row>
    <row r="737" customFormat="false" ht="12.8" hidden="false" customHeight="false" outlineLevel="0" collapsed="false">
      <c r="A737" s="6" t="s">
        <v>4724</v>
      </c>
      <c r="B737" s="6" t="n">
        <v>110</v>
      </c>
      <c r="C737" s="6" t="n">
        <v>31</v>
      </c>
      <c r="D737" s="12" t="n">
        <f aca="false">C737/(B737+C737)*100</f>
        <v>21.9858156028369</v>
      </c>
      <c r="E737" s="6" t="n">
        <v>8</v>
      </c>
      <c r="F737" s="6" t="s">
        <v>4725</v>
      </c>
      <c r="G737" s="6" t="n">
        <v>17</v>
      </c>
      <c r="H737" s="6" t="s">
        <v>4726</v>
      </c>
      <c r="I737" s="6" t="n">
        <v>8</v>
      </c>
      <c r="J737" s="6" t="s">
        <v>4727</v>
      </c>
      <c r="K737" s="6" t="n">
        <v>2</v>
      </c>
      <c r="L737" s="6" t="s">
        <v>4728</v>
      </c>
      <c r="M737" s="6" t="n">
        <v>2</v>
      </c>
      <c r="N737" s="6" t="s">
        <v>4729</v>
      </c>
      <c r="O737" s="6" t="n">
        <v>1</v>
      </c>
      <c r="P737" s="6" t="s">
        <v>4730</v>
      </c>
      <c r="Q737" s="6" t="n">
        <v>1</v>
      </c>
      <c r="R737" s="6" t="s">
        <v>4731</v>
      </c>
      <c r="S737" s="6" t="n">
        <v>0</v>
      </c>
      <c r="T737" s="6" t="s">
        <v>4732</v>
      </c>
      <c r="U737" s="6" t="n">
        <v>0</v>
      </c>
    </row>
    <row r="738" customFormat="false" ht="12.8" hidden="false" customHeight="false" outlineLevel="0" collapsed="false">
      <c r="A738" s="6" t="s">
        <v>4733</v>
      </c>
      <c r="B738" s="6" t="n">
        <v>111</v>
      </c>
      <c r="C738" s="6" t="n">
        <v>462</v>
      </c>
      <c r="D738" s="12" t="n">
        <f aca="false">C738/(B738+C738)*100</f>
        <v>80.6282722513089</v>
      </c>
      <c r="E738" s="6" t="n">
        <v>22</v>
      </c>
      <c r="F738" s="6" t="s">
        <v>4734</v>
      </c>
      <c r="G738" s="6" t="n">
        <v>101</v>
      </c>
      <c r="H738" s="6" t="s">
        <v>4735</v>
      </c>
      <c r="I738" s="6" t="n">
        <v>52</v>
      </c>
      <c r="J738" s="6" t="s">
        <v>4735</v>
      </c>
      <c r="K738" s="6" t="n">
        <v>52</v>
      </c>
      <c r="L738" s="6" t="s">
        <v>4736</v>
      </c>
      <c r="M738" s="6" t="n">
        <v>50</v>
      </c>
      <c r="N738" s="6" t="s">
        <v>4737</v>
      </c>
      <c r="O738" s="6" t="n">
        <v>45</v>
      </c>
      <c r="P738" s="6" t="s">
        <v>4738</v>
      </c>
      <c r="Q738" s="6" t="n">
        <v>41</v>
      </c>
      <c r="R738" s="6" t="s">
        <v>4739</v>
      </c>
      <c r="S738" s="6" t="n">
        <v>37</v>
      </c>
      <c r="T738" s="6" t="s">
        <v>4740</v>
      </c>
      <c r="U738" s="6" t="n">
        <v>35</v>
      </c>
      <c r="V738" s="6" t="s">
        <v>4741</v>
      </c>
      <c r="W738" s="6" t="n">
        <v>13</v>
      </c>
      <c r="X738" s="6" t="s">
        <v>4742</v>
      </c>
      <c r="Y738" s="6" t="n">
        <v>7</v>
      </c>
      <c r="Z738" s="6" t="s">
        <v>4743</v>
      </c>
      <c r="AA738" s="6" t="n">
        <v>7</v>
      </c>
      <c r="AB738" s="6" t="s">
        <v>4744</v>
      </c>
      <c r="AC738" s="6" t="n">
        <v>6</v>
      </c>
      <c r="AD738" s="6" t="s">
        <v>4745</v>
      </c>
      <c r="AE738" s="6" t="n">
        <v>3</v>
      </c>
      <c r="AF738" s="6" t="s">
        <v>4745</v>
      </c>
      <c r="AG738" s="6" t="n">
        <v>3</v>
      </c>
      <c r="AH738" s="6" t="s">
        <v>4746</v>
      </c>
      <c r="AI738" s="6" t="n">
        <v>3</v>
      </c>
      <c r="AJ738" s="6" t="s">
        <v>4747</v>
      </c>
      <c r="AK738" s="6" t="n">
        <v>2</v>
      </c>
      <c r="AL738" s="6" t="s">
        <v>4748</v>
      </c>
      <c r="AM738" s="6" t="n">
        <v>1</v>
      </c>
      <c r="AN738" s="6" t="s">
        <v>4749</v>
      </c>
      <c r="AO738" s="6" t="n">
        <v>1</v>
      </c>
      <c r="AP738" s="6" t="s">
        <v>4750</v>
      </c>
      <c r="AQ738" s="6" t="n">
        <v>1</v>
      </c>
      <c r="AR738" s="6" t="s">
        <v>4751</v>
      </c>
      <c r="AS738" s="6" t="n">
        <v>1</v>
      </c>
      <c r="AT738" s="6" t="s">
        <v>4752</v>
      </c>
      <c r="AU738" s="6" t="n">
        <v>1</v>
      </c>
      <c r="AV738" s="6" t="s">
        <v>4753</v>
      </c>
      <c r="AW738" s="6" t="n">
        <v>0</v>
      </c>
    </row>
    <row r="739" customFormat="false" ht="12.8" hidden="false" customHeight="false" outlineLevel="0" collapsed="false">
      <c r="A739" s="6" t="s">
        <v>4754</v>
      </c>
      <c r="B739" s="6" t="n">
        <v>111</v>
      </c>
      <c r="C739" s="6" t="n">
        <v>328</v>
      </c>
      <c r="D739" s="12" t="n">
        <f aca="false">C739/(B739+C739)*100</f>
        <v>74.7152619589977</v>
      </c>
      <c r="E739" s="6" t="n">
        <v>12</v>
      </c>
      <c r="F739" s="6" t="s">
        <v>4755</v>
      </c>
      <c r="G739" s="6" t="n">
        <v>122</v>
      </c>
      <c r="H739" s="6" t="s">
        <v>4756</v>
      </c>
      <c r="I739" s="6" t="n">
        <v>94</v>
      </c>
      <c r="J739" s="6" t="s">
        <v>4757</v>
      </c>
      <c r="K739" s="6" t="n">
        <v>65</v>
      </c>
      <c r="L739" s="6" t="s">
        <v>4758</v>
      </c>
      <c r="M739" s="6" t="n">
        <v>18</v>
      </c>
      <c r="N739" s="6" t="s">
        <v>4759</v>
      </c>
      <c r="O739" s="6" t="n">
        <v>6</v>
      </c>
      <c r="P739" s="6" t="s">
        <v>4760</v>
      </c>
      <c r="Q739" s="6" t="n">
        <v>5</v>
      </c>
      <c r="R739" s="6" t="s">
        <v>4761</v>
      </c>
      <c r="S739" s="6" t="n">
        <v>5</v>
      </c>
      <c r="T739" s="6" t="s">
        <v>4762</v>
      </c>
      <c r="U739" s="6" t="n">
        <v>5</v>
      </c>
      <c r="V739" s="6" t="s">
        <v>4763</v>
      </c>
      <c r="W739" s="6" t="n">
        <v>4</v>
      </c>
      <c r="X739" s="6" t="s">
        <v>4764</v>
      </c>
      <c r="Y739" s="6" t="n">
        <v>3</v>
      </c>
      <c r="Z739" s="6" t="s">
        <v>4765</v>
      </c>
      <c r="AA739" s="6" t="n">
        <v>1</v>
      </c>
      <c r="AB739" s="6" t="s">
        <v>4766</v>
      </c>
      <c r="AC739" s="6" t="n">
        <v>0</v>
      </c>
    </row>
    <row r="740" customFormat="false" ht="12.8" hidden="false" customHeight="false" outlineLevel="0" collapsed="false">
      <c r="A740" s="6" t="s">
        <v>4767</v>
      </c>
      <c r="B740" s="6" t="n">
        <v>111</v>
      </c>
      <c r="C740" s="6" t="n">
        <v>59</v>
      </c>
      <c r="D740" s="12" t="n">
        <f aca="false">C740/(B740+C740)*100</f>
        <v>34.7058823529412</v>
      </c>
      <c r="E740" s="6" t="n">
        <v>5</v>
      </c>
      <c r="F740" s="6" t="s">
        <v>4768</v>
      </c>
      <c r="G740" s="6" t="n">
        <v>50</v>
      </c>
      <c r="H740" s="6" t="s">
        <v>4769</v>
      </c>
      <c r="I740" s="6" t="n">
        <v>6</v>
      </c>
      <c r="J740" s="6" t="s">
        <v>4770</v>
      </c>
      <c r="K740" s="6" t="n">
        <v>2</v>
      </c>
      <c r="L740" s="6" t="s">
        <v>4771</v>
      </c>
      <c r="M740" s="6" t="n">
        <v>1</v>
      </c>
      <c r="N740" s="6" t="s">
        <v>4772</v>
      </c>
      <c r="O740" s="6" t="n">
        <v>0</v>
      </c>
    </row>
    <row r="741" customFormat="false" ht="12.8" hidden="false" customHeight="false" outlineLevel="0" collapsed="false">
      <c r="A741" s="6" t="s">
        <v>4773</v>
      </c>
      <c r="B741" s="6" t="n">
        <v>111</v>
      </c>
      <c r="C741" s="6" t="n">
        <v>58</v>
      </c>
      <c r="D741" s="12" t="n">
        <f aca="false">C741/(B741+C741)*100</f>
        <v>34.3195266272189</v>
      </c>
      <c r="E741" s="6" t="n">
        <v>8</v>
      </c>
      <c r="F741" s="6" t="s">
        <v>4774</v>
      </c>
      <c r="G741" s="6" t="n">
        <v>31</v>
      </c>
      <c r="H741" s="6" t="s">
        <v>4775</v>
      </c>
      <c r="I741" s="6" t="n">
        <v>13</v>
      </c>
      <c r="J741" s="6" t="s">
        <v>4776</v>
      </c>
      <c r="K741" s="6" t="n">
        <v>4</v>
      </c>
      <c r="L741" s="6" t="s">
        <v>4777</v>
      </c>
      <c r="M741" s="6" t="n">
        <v>3</v>
      </c>
      <c r="N741" s="6" t="s">
        <v>4778</v>
      </c>
      <c r="O741" s="6" t="n">
        <v>3</v>
      </c>
      <c r="P741" s="6" t="s">
        <v>4779</v>
      </c>
      <c r="Q741" s="6" t="n">
        <v>2</v>
      </c>
      <c r="R741" s="6" t="s">
        <v>4780</v>
      </c>
      <c r="S741" s="6" t="n">
        <v>1</v>
      </c>
      <c r="T741" s="6" t="s">
        <v>4781</v>
      </c>
      <c r="U741" s="6" t="n">
        <v>1</v>
      </c>
    </row>
    <row r="742" customFormat="false" ht="12.8" hidden="false" customHeight="false" outlineLevel="0" collapsed="false">
      <c r="A742" s="6" t="s">
        <v>4782</v>
      </c>
      <c r="B742" s="6" t="n">
        <v>112</v>
      </c>
      <c r="C742" s="6" t="n">
        <v>11</v>
      </c>
      <c r="D742" s="12" t="n">
        <f aca="false">C742/(B742+C742)*100</f>
        <v>8.94308943089431</v>
      </c>
      <c r="E742" s="6" t="n">
        <v>4</v>
      </c>
      <c r="F742" s="6" t="s">
        <v>4783</v>
      </c>
      <c r="G742" s="6" t="n">
        <v>6</v>
      </c>
      <c r="H742" s="6" t="s">
        <v>4784</v>
      </c>
      <c r="I742" s="6" t="n">
        <v>3</v>
      </c>
      <c r="J742" s="6" t="s">
        <v>4785</v>
      </c>
      <c r="K742" s="6" t="n">
        <v>1</v>
      </c>
      <c r="L742" s="6" t="s">
        <v>4786</v>
      </c>
      <c r="M742" s="6" t="n">
        <v>1</v>
      </c>
    </row>
    <row r="743" customFormat="false" ht="12.8" hidden="false" customHeight="false" outlineLevel="0" collapsed="false">
      <c r="A743" s="6" t="s">
        <v>4787</v>
      </c>
      <c r="B743" s="6" t="n">
        <v>113</v>
      </c>
      <c r="C743" s="6" t="n">
        <v>143</v>
      </c>
      <c r="D743" s="12" t="n">
        <f aca="false">C743/(B743+C743)*100</f>
        <v>55.859375</v>
      </c>
      <c r="E743" s="6" t="n">
        <v>11</v>
      </c>
      <c r="F743" s="6" t="s">
        <v>4788</v>
      </c>
      <c r="G743" s="6" t="n">
        <v>65</v>
      </c>
      <c r="H743" s="6" t="s">
        <v>4789</v>
      </c>
      <c r="I743" s="6" t="n">
        <v>38</v>
      </c>
      <c r="J743" s="6" t="s">
        <v>4790</v>
      </c>
      <c r="K743" s="6" t="n">
        <v>18</v>
      </c>
      <c r="L743" s="6" t="s">
        <v>4791</v>
      </c>
      <c r="M743" s="6" t="n">
        <v>8</v>
      </c>
      <c r="N743" s="6" t="s">
        <v>4792</v>
      </c>
      <c r="O743" s="6" t="n">
        <v>6</v>
      </c>
      <c r="P743" s="6" t="s">
        <v>4793</v>
      </c>
      <c r="Q743" s="6" t="n">
        <v>3</v>
      </c>
      <c r="R743" s="6" t="s">
        <v>4794</v>
      </c>
      <c r="S743" s="6" t="n">
        <v>3</v>
      </c>
      <c r="T743" s="6" t="s">
        <v>4795</v>
      </c>
      <c r="U743" s="6" t="n">
        <v>1</v>
      </c>
      <c r="V743" s="6" t="s">
        <v>4796</v>
      </c>
      <c r="W743" s="6" t="n">
        <v>1</v>
      </c>
      <c r="X743" s="6" t="s">
        <v>4797</v>
      </c>
      <c r="Y743" s="6" t="n">
        <v>0</v>
      </c>
      <c r="Z743" s="6" t="s">
        <v>4798</v>
      </c>
      <c r="AA743" s="6" t="n">
        <v>0</v>
      </c>
    </row>
    <row r="744" customFormat="false" ht="12.8" hidden="false" customHeight="false" outlineLevel="0" collapsed="false">
      <c r="A744" s="6" t="s">
        <v>4799</v>
      </c>
      <c r="B744" s="6" t="n">
        <v>114</v>
      </c>
      <c r="C744" s="6" t="n">
        <v>60</v>
      </c>
      <c r="D744" s="12" t="n">
        <f aca="false">C744/(B744+C744)*100</f>
        <v>34.4827586206897</v>
      </c>
      <c r="E744" s="6" t="n">
        <v>8</v>
      </c>
      <c r="F744" s="6" t="s">
        <v>4800</v>
      </c>
      <c r="G744" s="6" t="n">
        <v>38</v>
      </c>
      <c r="H744" s="6" t="s">
        <v>4801</v>
      </c>
      <c r="I744" s="6" t="n">
        <v>7</v>
      </c>
      <c r="J744" s="6" t="s">
        <v>4802</v>
      </c>
      <c r="K744" s="6" t="n">
        <v>6</v>
      </c>
      <c r="L744" s="6" t="s">
        <v>4803</v>
      </c>
      <c r="M744" s="6" t="n">
        <v>6</v>
      </c>
      <c r="N744" s="6" t="s">
        <v>4804</v>
      </c>
      <c r="O744" s="6" t="n">
        <v>1</v>
      </c>
      <c r="P744" s="6" t="s">
        <v>4805</v>
      </c>
      <c r="Q744" s="6" t="n">
        <v>1</v>
      </c>
      <c r="R744" s="6" t="s">
        <v>4806</v>
      </c>
      <c r="S744" s="6" t="n">
        <v>1</v>
      </c>
      <c r="T744" s="6" t="s">
        <v>4807</v>
      </c>
      <c r="U744" s="6" t="n">
        <v>0</v>
      </c>
    </row>
    <row r="745" customFormat="false" ht="12.8" hidden="false" customHeight="false" outlineLevel="0" collapsed="false">
      <c r="A745" s="6" t="s">
        <v>4808</v>
      </c>
      <c r="B745" s="6" t="n">
        <v>114</v>
      </c>
      <c r="C745" s="6" t="n">
        <v>33</v>
      </c>
      <c r="D745" s="12" t="n">
        <f aca="false">C745/(B745+C745)*100</f>
        <v>22.4489795918367</v>
      </c>
      <c r="E745" s="6" t="n">
        <v>8</v>
      </c>
      <c r="F745" s="6" t="s">
        <v>4809</v>
      </c>
      <c r="G745" s="6" t="n">
        <v>11</v>
      </c>
      <c r="H745" s="6" t="s">
        <v>4810</v>
      </c>
      <c r="I745" s="6" t="n">
        <v>9</v>
      </c>
      <c r="J745" s="6" t="s">
        <v>4811</v>
      </c>
      <c r="K745" s="6" t="n">
        <v>6</v>
      </c>
      <c r="L745" s="6" t="s">
        <v>4812</v>
      </c>
      <c r="M745" s="6" t="n">
        <v>4</v>
      </c>
      <c r="N745" s="6" t="s">
        <v>4813</v>
      </c>
      <c r="O745" s="6" t="n">
        <v>1</v>
      </c>
      <c r="P745" s="6" t="s">
        <v>4814</v>
      </c>
      <c r="Q745" s="6" t="n">
        <v>1</v>
      </c>
      <c r="R745" s="6" t="s">
        <v>4815</v>
      </c>
      <c r="S745" s="6" t="n">
        <v>1</v>
      </c>
      <c r="T745" s="6" t="s">
        <v>4816</v>
      </c>
      <c r="U745" s="6" t="n">
        <v>0</v>
      </c>
    </row>
    <row r="746" customFormat="false" ht="12.8" hidden="false" customHeight="false" outlineLevel="0" collapsed="false">
      <c r="A746" s="6" t="s">
        <v>4817</v>
      </c>
      <c r="B746" s="6" t="n">
        <v>117</v>
      </c>
      <c r="C746" s="6" t="n">
        <v>51</v>
      </c>
      <c r="D746" s="12" t="n">
        <f aca="false">C746/(B746+C746)*100</f>
        <v>30.3571428571429</v>
      </c>
      <c r="E746" s="6" t="n">
        <v>8</v>
      </c>
      <c r="F746" s="6" t="s">
        <v>4818</v>
      </c>
      <c r="G746" s="6" t="n">
        <v>40</v>
      </c>
      <c r="H746" s="6" t="s">
        <v>4819</v>
      </c>
      <c r="I746" s="6" t="n">
        <v>5</v>
      </c>
      <c r="J746" s="6" t="s">
        <v>4820</v>
      </c>
      <c r="K746" s="6" t="n">
        <v>4</v>
      </c>
      <c r="L746" s="6" t="s">
        <v>4821</v>
      </c>
      <c r="M746" s="6" t="n">
        <v>2</v>
      </c>
      <c r="N746" s="6" t="s">
        <v>4822</v>
      </c>
      <c r="O746" s="6" t="n">
        <v>0</v>
      </c>
      <c r="P746" s="6" t="s">
        <v>4823</v>
      </c>
      <c r="Q746" s="6" t="n">
        <v>0</v>
      </c>
      <c r="R746" s="6" t="s">
        <v>4824</v>
      </c>
      <c r="S746" s="6" t="n">
        <v>0</v>
      </c>
      <c r="T746" s="6" t="s">
        <v>4825</v>
      </c>
      <c r="U746" s="6" t="n">
        <v>0</v>
      </c>
    </row>
    <row r="747" customFormat="false" ht="12.8" hidden="false" customHeight="false" outlineLevel="0" collapsed="false">
      <c r="A747" s="6" t="s">
        <v>4826</v>
      </c>
      <c r="B747" s="6" t="n">
        <v>117</v>
      </c>
      <c r="C747" s="6" t="n">
        <v>9</v>
      </c>
      <c r="D747" s="12" t="n">
        <f aca="false">C747/(B747+C747)*100</f>
        <v>7.14285714285714</v>
      </c>
      <c r="E747" s="6" t="n">
        <v>3</v>
      </c>
      <c r="F747" s="6" t="s">
        <v>4827</v>
      </c>
      <c r="G747" s="6" t="n">
        <v>5</v>
      </c>
      <c r="H747" s="6" t="s">
        <v>4828</v>
      </c>
      <c r="I747" s="6" t="n">
        <v>3</v>
      </c>
      <c r="J747" s="6" t="s">
        <v>4829</v>
      </c>
      <c r="K747" s="6" t="n">
        <v>1</v>
      </c>
    </row>
    <row r="748" customFormat="false" ht="12.8" hidden="false" customHeight="false" outlineLevel="0" collapsed="false">
      <c r="A748" s="6" t="s">
        <v>4830</v>
      </c>
      <c r="B748" s="6" t="n">
        <v>117</v>
      </c>
      <c r="C748" s="6" t="n">
        <v>8</v>
      </c>
      <c r="D748" s="12" t="n">
        <f aca="false">C748/(B748+C748)*100</f>
        <v>6.4</v>
      </c>
      <c r="E748" s="6" t="n">
        <v>5</v>
      </c>
      <c r="F748" s="6" t="s">
        <v>4831</v>
      </c>
      <c r="G748" s="6" t="n">
        <v>5</v>
      </c>
      <c r="H748" s="6" t="s">
        <v>4832</v>
      </c>
      <c r="I748" s="6" t="n">
        <v>2</v>
      </c>
      <c r="J748" s="6" t="s">
        <v>4833</v>
      </c>
      <c r="K748" s="6" t="n">
        <v>1</v>
      </c>
      <c r="L748" s="6" t="s">
        <v>4834</v>
      </c>
      <c r="M748" s="6" t="n">
        <v>0</v>
      </c>
      <c r="N748" s="6" t="s">
        <v>4835</v>
      </c>
      <c r="O748" s="6" t="n">
        <v>0</v>
      </c>
    </row>
    <row r="749" customFormat="false" ht="12.8" hidden="false" customHeight="false" outlineLevel="0" collapsed="false">
      <c r="A749" s="6" t="s">
        <v>4836</v>
      </c>
      <c r="B749" s="6" t="n">
        <v>117</v>
      </c>
      <c r="C749" s="6" t="n">
        <v>1</v>
      </c>
      <c r="D749" s="12" t="n">
        <f aca="false">C749/(B749+C749)*100</f>
        <v>0.847457627118644</v>
      </c>
      <c r="E749" s="6" t="n">
        <v>1</v>
      </c>
      <c r="F749" s="6" t="s">
        <v>4837</v>
      </c>
      <c r="G749" s="6" t="n">
        <v>1</v>
      </c>
    </row>
    <row r="750" customFormat="false" ht="12.8" hidden="false" customHeight="false" outlineLevel="0" collapsed="false">
      <c r="A750" s="6" t="s">
        <v>4838</v>
      </c>
      <c r="B750" s="6" t="n">
        <v>118</v>
      </c>
      <c r="C750" s="6" t="n">
        <v>635</v>
      </c>
      <c r="D750" s="12" t="n">
        <f aca="false">C750/(B750+C750)*100</f>
        <v>84.3293492695883</v>
      </c>
      <c r="E750" s="6" t="n">
        <v>20</v>
      </c>
      <c r="F750" s="6" t="s">
        <v>4839</v>
      </c>
      <c r="G750" s="6" t="n">
        <v>250</v>
      </c>
      <c r="H750" s="6" t="s">
        <v>4840</v>
      </c>
      <c r="I750" s="6" t="n">
        <v>121</v>
      </c>
      <c r="J750" s="6" t="s">
        <v>4841</v>
      </c>
      <c r="K750" s="6" t="n">
        <v>80</v>
      </c>
      <c r="L750" s="6" t="s">
        <v>4842</v>
      </c>
      <c r="M750" s="6" t="n">
        <v>58</v>
      </c>
      <c r="N750" s="6" t="s">
        <v>4843</v>
      </c>
      <c r="O750" s="6" t="n">
        <v>43</v>
      </c>
      <c r="P750" s="6" t="s">
        <v>4844</v>
      </c>
      <c r="Q750" s="6" t="n">
        <v>31</v>
      </c>
      <c r="R750" s="6" t="s">
        <v>4845</v>
      </c>
      <c r="S750" s="6" t="n">
        <v>28</v>
      </c>
      <c r="T750" s="6" t="s">
        <v>4846</v>
      </c>
      <c r="U750" s="6" t="n">
        <v>5</v>
      </c>
      <c r="V750" s="6" t="s">
        <v>4847</v>
      </c>
      <c r="W750" s="6" t="n">
        <v>4</v>
      </c>
      <c r="X750" s="6" t="s">
        <v>4848</v>
      </c>
      <c r="Y750" s="6" t="n">
        <v>3</v>
      </c>
      <c r="Z750" s="6" t="s">
        <v>4849</v>
      </c>
      <c r="AA750" s="6" t="n">
        <v>3</v>
      </c>
      <c r="AB750" s="6" t="s">
        <v>4850</v>
      </c>
      <c r="AC750" s="6" t="n">
        <v>3</v>
      </c>
      <c r="AD750" s="6" t="s">
        <v>4851</v>
      </c>
      <c r="AE750" s="6" t="n">
        <v>1</v>
      </c>
      <c r="AF750" s="6" t="s">
        <v>4852</v>
      </c>
      <c r="AG750" s="6" t="n">
        <v>1</v>
      </c>
      <c r="AH750" s="6" t="s">
        <v>4853</v>
      </c>
      <c r="AI750" s="6" t="n">
        <v>1</v>
      </c>
      <c r="AJ750" s="6" t="s">
        <v>4854</v>
      </c>
      <c r="AK750" s="6" t="n">
        <v>1</v>
      </c>
      <c r="AL750" s="6" t="s">
        <v>4855</v>
      </c>
      <c r="AM750" s="6" t="n">
        <v>1</v>
      </c>
      <c r="AN750" s="6" t="s">
        <v>4856</v>
      </c>
      <c r="AO750" s="6" t="n">
        <v>1</v>
      </c>
      <c r="AP750" s="6" t="s">
        <v>4857</v>
      </c>
      <c r="AQ750" s="6" t="n">
        <v>0</v>
      </c>
      <c r="AR750" s="6" t="s">
        <v>4858</v>
      </c>
      <c r="AS750" s="6" t="n">
        <v>0</v>
      </c>
    </row>
    <row r="751" customFormat="false" ht="12.8" hidden="false" customHeight="false" outlineLevel="0" collapsed="false">
      <c r="A751" s="6" t="s">
        <v>4859</v>
      </c>
      <c r="B751" s="6" t="n">
        <v>118</v>
      </c>
      <c r="C751" s="6" t="n">
        <v>139</v>
      </c>
      <c r="D751" s="12" t="n">
        <f aca="false">C751/(B751+C751)*100</f>
        <v>54.0856031128405</v>
      </c>
      <c r="E751" s="6" t="n">
        <v>15</v>
      </c>
      <c r="F751" s="6" t="s">
        <v>4860</v>
      </c>
      <c r="G751" s="6" t="n">
        <v>82</v>
      </c>
      <c r="H751" s="6" t="s">
        <v>4861</v>
      </c>
      <c r="I751" s="6" t="n">
        <v>18</v>
      </c>
      <c r="J751" s="6" t="s">
        <v>4862</v>
      </c>
      <c r="K751" s="6" t="n">
        <v>16</v>
      </c>
      <c r="L751" s="6" t="s">
        <v>4863</v>
      </c>
      <c r="M751" s="6" t="n">
        <v>7</v>
      </c>
      <c r="N751" s="6" t="s">
        <v>4864</v>
      </c>
      <c r="O751" s="6" t="n">
        <v>5</v>
      </c>
      <c r="P751" s="6" t="s">
        <v>4865</v>
      </c>
      <c r="Q751" s="6" t="n">
        <v>2</v>
      </c>
      <c r="R751" s="6" t="s">
        <v>4866</v>
      </c>
      <c r="S751" s="6" t="n">
        <v>2</v>
      </c>
      <c r="T751" s="6" t="s">
        <v>4867</v>
      </c>
      <c r="U751" s="6" t="n">
        <v>1</v>
      </c>
      <c r="V751" s="6" t="s">
        <v>4868</v>
      </c>
      <c r="W751" s="6" t="n">
        <v>1</v>
      </c>
      <c r="X751" s="6" t="s">
        <v>4869</v>
      </c>
      <c r="Y751" s="6" t="n">
        <v>1</v>
      </c>
      <c r="Z751" s="6" t="s">
        <v>4870</v>
      </c>
      <c r="AA751" s="6" t="n">
        <v>1</v>
      </c>
      <c r="AB751" s="6" t="s">
        <v>4871</v>
      </c>
      <c r="AC751" s="6" t="n">
        <v>1</v>
      </c>
      <c r="AD751" s="6" t="s">
        <v>4872</v>
      </c>
      <c r="AE751" s="6" t="n">
        <v>1</v>
      </c>
      <c r="AF751" s="6" t="s">
        <v>4873</v>
      </c>
      <c r="AG751" s="6" t="n">
        <v>1</v>
      </c>
      <c r="AH751" s="6" t="s">
        <v>4874</v>
      </c>
      <c r="AI751" s="6" t="n">
        <v>0</v>
      </c>
    </row>
    <row r="752" customFormat="false" ht="12.8" hidden="false" customHeight="false" outlineLevel="0" collapsed="false">
      <c r="A752" s="6" t="s">
        <v>4875</v>
      </c>
      <c r="B752" s="6" t="n">
        <v>120</v>
      </c>
      <c r="C752" s="6" t="n">
        <v>55</v>
      </c>
      <c r="D752" s="12" t="n">
        <f aca="false">C752/(B752+C752)*100</f>
        <v>31.4285714285714</v>
      </c>
      <c r="E752" s="6" t="n">
        <v>4</v>
      </c>
      <c r="F752" s="6" t="s">
        <v>4876</v>
      </c>
      <c r="G752" s="6" t="n">
        <v>26</v>
      </c>
      <c r="H752" s="6" t="s">
        <v>4877</v>
      </c>
      <c r="I752" s="6" t="n">
        <v>21</v>
      </c>
      <c r="J752" s="6" t="s">
        <v>4878</v>
      </c>
      <c r="K752" s="6" t="n">
        <v>5</v>
      </c>
      <c r="L752" s="6" t="s">
        <v>4879</v>
      </c>
      <c r="M752" s="6" t="n">
        <v>3</v>
      </c>
    </row>
    <row r="753" customFormat="false" ht="12.8" hidden="false" customHeight="false" outlineLevel="0" collapsed="false">
      <c r="A753" s="6" t="s">
        <v>4880</v>
      </c>
      <c r="B753" s="6" t="n">
        <v>122</v>
      </c>
      <c r="C753" s="6" t="n">
        <v>20</v>
      </c>
      <c r="D753" s="12" t="n">
        <f aca="false">C753/(B753+C753)*100</f>
        <v>14.0845070422535</v>
      </c>
      <c r="E753" s="6" t="n">
        <v>4</v>
      </c>
      <c r="F753" s="6" t="s">
        <v>4881</v>
      </c>
      <c r="G753" s="6" t="n">
        <v>15</v>
      </c>
      <c r="H753" s="6" t="s">
        <v>4882</v>
      </c>
      <c r="I753" s="6" t="n">
        <v>2</v>
      </c>
      <c r="J753" s="6" t="s">
        <v>4883</v>
      </c>
      <c r="K753" s="6" t="n">
        <v>2</v>
      </c>
      <c r="L753" s="6" t="s">
        <v>4884</v>
      </c>
      <c r="M753" s="6" t="n">
        <v>1</v>
      </c>
    </row>
    <row r="754" customFormat="false" ht="12.8" hidden="false" customHeight="false" outlineLevel="0" collapsed="false">
      <c r="A754" s="6" t="s">
        <v>4885</v>
      </c>
      <c r="B754" s="6" t="n">
        <v>123</v>
      </c>
      <c r="C754" s="6" t="n">
        <v>32</v>
      </c>
      <c r="D754" s="12" t="n">
        <f aca="false">C754/(B754+C754)*100</f>
        <v>20.6451612903226</v>
      </c>
      <c r="E754" s="6" t="n">
        <v>9</v>
      </c>
      <c r="F754" s="6" t="s">
        <v>4886</v>
      </c>
      <c r="G754" s="6" t="n">
        <v>21</v>
      </c>
      <c r="H754" s="6" t="s">
        <v>4887</v>
      </c>
      <c r="I754" s="6" t="n">
        <v>7</v>
      </c>
      <c r="J754" s="6" t="s">
        <v>4888</v>
      </c>
      <c r="K754" s="6" t="n">
        <v>2</v>
      </c>
      <c r="L754" s="6" t="s">
        <v>4889</v>
      </c>
      <c r="M754" s="6" t="n">
        <v>1</v>
      </c>
      <c r="N754" s="6" t="s">
        <v>4890</v>
      </c>
      <c r="O754" s="6" t="n">
        <v>1</v>
      </c>
      <c r="P754" s="6" t="s">
        <v>4891</v>
      </c>
      <c r="Q754" s="6" t="n">
        <v>0</v>
      </c>
      <c r="R754" s="6" t="s">
        <v>4892</v>
      </c>
      <c r="S754" s="6" t="n">
        <v>0</v>
      </c>
      <c r="T754" s="6" t="s">
        <v>4893</v>
      </c>
      <c r="U754" s="6" t="n">
        <v>0</v>
      </c>
      <c r="V754" s="6" t="s">
        <v>4894</v>
      </c>
      <c r="W754" s="6" t="n">
        <v>0</v>
      </c>
    </row>
    <row r="755" customFormat="false" ht="12.8" hidden="false" customHeight="false" outlineLevel="0" collapsed="false">
      <c r="A755" s="6" t="s">
        <v>4895</v>
      </c>
      <c r="B755" s="6" t="n">
        <v>123</v>
      </c>
      <c r="C755" s="6" t="n">
        <v>16</v>
      </c>
      <c r="D755" s="12" t="n">
        <f aca="false">C755/(B755+C755)*100</f>
        <v>11.5107913669065</v>
      </c>
      <c r="E755" s="6" t="n">
        <v>2</v>
      </c>
      <c r="F755" s="6" t="s">
        <v>4896</v>
      </c>
      <c r="G755" s="6" t="n">
        <v>9</v>
      </c>
      <c r="H755" s="6" t="s">
        <v>4897</v>
      </c>
      <c r="I755" s="6" t="n">
        <v>7</v>
      </c>
    </row>
    <row r="756" customFormat="false" ht="12.8" hidden="false" customHeight="false" outlineLevel="0" collapsed="false">
      <c r="A756" s="6" t="s">
        <v>4898</v>
      </c>
      <c r="B756" s="6" t="n">
        <v>124</v>
      </c>
      <c r="C756" s="6" t="n">
        <v>15</v>
      </c>
      <c r="D756" s="12" t="n">
        <f aca="false">C756/(B756+C756)*100</f>
        <v>10.7913669064748</v>
      </c>
      <c r="E756" s="6" t="n">
        <v>3</v>
      </c>
      <c r="F756" s="6" t="s">
        <v>4899</v>
      </c>
      <c r="G756" s="6" t="n">
        <v>15</v>
      </c>
      <c r="H756" s="6" t="s">
        <v>4900</v>
      </c>
      <c r="I756" s="6" t="n">
        <v>0</v>
      </c>
      <c r="J756" s="6" t="s">
        <v>4901</v>
      </c>
      <c r="K756" s="6" t="n">
        <v>0</v>
      </c>
    </row>
    <row r="757" customFormat="false" ht="12.8" hidden="false" customHeight="false" outlineLevel="0" collapsed="false">
      <c r="A757" s="6" t="s">
        <v>4902</v>
      </c>
      <c r="B757" s="6" t="n">
        <v>125</v>
      </c>
      <c r="C757" s="6" t="n">
        <v>46</v>
      </c>
      <c r="D757" s="12" t="n">
        <f aca="false">C757/(B757+C757)*100</f>
        <v>26.9005847953216</v>
      </c>
      <c r="E757" s="6" t="n">
        <v>10</v>
      </c>
      <c r="F757" s="6" t="s">
        <v>4903</v>
      </c>
      <c r="G757" s="6" t="n">
        <v>25</v>
      </c>
      <c r="H757" s="6" t="s">
        <v>4904</v>
      </c>
      <c r="I757" s="6" t="n">
        <v>6</v>
      </c>
      <c r="J757" s="6" t="s">
        <v>4905</v>
      </c>
      <c r="K757" s="6" t="n">
        <v>5</v>
      </c>
      <c r="L757" s="6" t="s">
        <v>4906</v>
      </c>
      <c r="M757" s="6" t="n">
        <v>5</v>
      </c>
      <c r="N757" s="6" t="s">
        <v>4907</v>
      </c>
      <c r="O757" s="6" t="n">
        <v>5</v>
      </c>
      <c r="P757" s="6" t="s">
        <v>4908</v>
      </c>
      <c r="Q757" s="6" t="n">
        <v>0</v>
      </c>
      <c r="R757" s="6" t="s">
        <v>4909</v>
      </c>
      <c r="S757" s="6" t="n">
        <v>0</v>
      </c>
      <c r="T757" s="6" t="s">
        <v>4910</v>
      </c>
      <c r="U757" s="6" t="n">
        <v>0</v>
      </c>
      <c r="V757" s="6" t="s">
        <v>4911</v>
      </c>
      <c r="W757" s="6" t="n">
        <v>0</v>
      </c>
      <c r="X757" s="6" t="s">
        <v>4912</v>
      </c>
      <c r="Y757" s="6" t="n">
        <v>0</v>
      </c>
    </row>
    <row r="758" customFormat="false" ht="12.8" hidden="false" customHeight="false" outlineLevel="0" collapsed="false">
      <c r="A758" s="6" t="s">
        <v>4913</v>
      </c>
      <c r="B758" s="6" t="n">
        <v>125</v>
      </c>
      <c r="C758" s="6" t="n">
        <v>26</v>
      </c>
      <c r="D758" s="12" t="n">
        <f aca="false">C758/(B758+C758)*100</f>
        <v>17.2185430463576</v>
      </c>
      <c r="E758" s="6" t="n">
        <v>8</v>
      </c>
      <c r="F758" s="6" t="s">
        <v>4914</v>
      </c>
      <c r="G758" s="6" t="n">
        <v>10</v>
      </c>
      <c r="H758" s="6" t="s">
        <v>4915</v>
      </c>
      <c r="I758" s="6" t="n">
        <v>9</v>
      </c>
      <c r="J758" s="6" t="s">
        <v>4916</v>
      </c>
      <c r="K758" s="6" t="n">
        <v>5</v>
      </c>
      <c r="L758" s="6" t="s">
        <v>4917</v>
      </c>
      <c r="M758" s="6" t="n">
        <v>1</v>
      </c>
      <c r="N758" s="6" t="s">
        <v>4918</v>
      </c>
      <c r="O758" s="6" t="n">
        <v>1</v>
      </c>
      <c r="P758" s="6" t="s">
        <v>4919</v>
      </c>
      <c r="Q758" s="6" t="n">
        <v>0</v>
      </c>
      <c r="R758" s="6" t="s">
        <v>4920</v>
      </c>
      <c r="S758" s="6" t="n">
        <v>0</v>
      </c>
      <c r="T758" s="6" t="s">
        <v>4921</v>
      </c>
      <c r="U758" s="6" t="n">
        <v>0</v>
      </c>
    </row>
    <row r="759" customFormat="false" ht="14.4" hidden="false" customHeight="false" outlineLevel="0" collapsed="false">
      <c r="A759" s="6" t="s">
        <v>4922</v>
      </c>
      <c r="B759" s="6" t="n">
        <v>127</v>
      </c>
      <c r="C759" s="6" t="n">
        <v>100</v>
      </c>
      <c r="D759" s="12" t="n">
        <f aca="false">C759/(B759+C759)*100</f>
        <v>44.0528634361233</v>
      </c>
      <c r="E759" s="6" t="n">
        <v>15</v>
      </c>
      <c r="F759" s="6" t="s">
        <v>4923</v>
      </c>
      <c r="G759" s="6" t="n">
        <v>63</v>
      </c>
      <c r="H759" s="6" t="s">
        <v>4924</v>
      </c>
      <c r="I759" s="6" t="n">
        <v>17</v>
      </c>
      <c r="J759" s="6" t="s">
        <v>4925</v>
      </c>
      <c r="K759" s="6" t="n">
        <v>7</v>
      </c>
      <c r="L759" s="6" t="s">
        <v>4926</v>
      </c>
      <c r="M759" s="6" t="n">
        <v>4</v>
      </c>
      <c r="N759" s="6" t="s">
        <v>4927</v>
      </c>
      <c r="O759" s="6" t="n">
        <v>2</v>
      </c>
      <c r="P759" s="6" t="s">
        <v>4927</v>
      </c>
      <c r="Q759" s="6" t="n">
        <v>2</v>
      </c>
      <c r="R759" s="6" t="s">
        <v>4928</v>
      </c>
      <c r="S759" s="6" t="n">
        <v>1</v>
      </c>
      <c r="T759" s="6" t="s">
        <v>4929</v>
      </c>
      <c r="U759" s="6" t="n">
        <v>1</v>
      </c>
      <c r="V759" s="6" t="s">
        <v>4930</v>
      </c>
      <c r="W759" s="6" t="n">
        <v>1</v>
      </c>
      <c r="X759" s="6" t="s">
        <v>4931</v>
      </c>
      <c r="Y759" s="6" t="n">
        <v>1</v>
      </c>
      <c r="Z759" s="6" t="s">
        <v>4932</v>
      </c>
      <c r="AA759" s="6" t="n">
        <v>1</v>
      </c>
      <c r="AB759" s="6" t="s">
        <v>4933</v>
      </c>
      <c r="AC759" s="6" t="n">
        <v>0</v>
      </c>
      <c r="AD759" s="6" t="s">
        <v>4934</v>
      </c>
      <c r="AE759" s="6" t="n">
        <v>0</v>
      </c>
      <c r="AF759" s="6" t="s">
        <v>4935</v>
      </c>
      <c r="AG759" s="6" t="n">
        <v>0</v>
      </c>
      <c r="AH759" s="6" t="s">
        <v>4936</v>
      </c>
      <c r="AI759" s="6" t="n">
        <v>0</v>
      </c>
    </row>
    <row r="760" customFormat="false" ht="12.8" hidden="false" customHeight="false" outlineLevel="0" collapsed="false">
      <c r="A760" s="6" t="s">
        <v>4937</v>
      </c>
      <c r="B760" s="6" t="n">
        <v>127</v>
      </c>
      <c r="C760" s="6" t="n">
        <v>7</v>
      </c>
      <c r="D760" s="12" t="n">
        <f aca="false">C760/(B760+C760)*100</f>
        <v>5.22388059701493</v>
      </c>
      <c r="E760" s="6" t="n">
        <v>8</v>
      </c>
      <c r="F760" s="6" t="s">
        <v>4938</v>
      </c>
      <c r="G760" s="6" t="n">
        <v>2</v>
      </c>
      <c r="H760" s="6" t="s">
        <v>4939</v>
      </c>
      <c r="I760" s="6" t="n">
        <v>1</v>
      </c>
      <c r="J760" s="6" t="s">
        <v>4940</v>
      </c>
      <c r="K760" s="6" t="n">
        <v>1</v>
      </c>
      <c r="L760" s="6" t="s">
        <v>4941</v>
      </c>
      <c r="M760" s="6" t="n">
        <v>1</v>
      </c>
      <c r="N760" s="6" t="s">
        <v>4942</v>
      </c>
      <c r="O760" s="6" t="n">
        <v>1</v>
      </c>
      <c r="P760" s="6" t="s">
        <v>4943</v>
      </c>
      <c r="Q760" s="6" t="n">
        <v>1</v>
      </c>
      <c r="R760" s="6" t="s">
        <v>4944</v>
      </c>
      <c r="S760" s="6" t="n">
        <v>0</v>
      </c>
      <c r="T760" s="6" t="s">
        <v>4945</v>
      </c>
      <c r="U760" s="6" t="n">
        <v>0</v>
      </c>
    </row>
    <row r="761" customFormat="false" ht="12.8" hidden="false" customHeight="false" outlineLevel="0" collapsed="false">
      <c r="A761" s="6" t="s">
        <v>4946</v>
      </c>
      <c r="B761" s="6" t="n">
        <v>128</v>
      </c>
      <c r="C761" s="6" t="n">
        <v>468</v>
      </c>
      <c r="D761" s="12" t="n">
        <f aca="false">C761/(B761+C761)*100</f>
        <v>78.5234899328859</v>
      </c>
      <c r="E761" s="6" t="n">
        <v>12</v>
      </c>
      <c r="F761" s="6" t="s">
        <v>4947</v>
      </c>
      <c r="G761" s="6" t="n">
        <v>202</v>
      </c>
      <c r="H761" s="6" t="s">
        <v>4948</v>
      </c>
      <c r="I761" s="6" t="n">
        <v>101</v>
      </c>
      <c r="J761" s="6" t="s">
        <v>4949</v>
      </c>
      <c r="K761" s="6" t="n">
        <v>88</v>
      </c>
      <c r="L761" s="6" t="s">
        <v>4950</v>
      </c>
      <c r="M761" s="6" t="n">
        <v>67</v>
      </c>
      <c r="N761" s="6" t="s">
        <v>4951</v>
      </c>
      <c r="O761" s="6" t="n">
        <v>5</v>
      </c>
      <c r="P761" s="6" t="s">
        <v>4952</v>
      </c>
      <c r="Q761" s="6" t="n">
        <v>1</v>
      </c>
      <c r="R761" s="6" t="s">
        <v>4953</v>
      </c>
      <c r="S761" s="6" t="n">
        <v>1</v>
      </c>
      <c r="T761" s="6" t="s">
        <v>4954</v>
      </c>
      <c r="U761" s="6" t="n">
        <v>1</v>
      </c>
      <c r="V761" s="6" t="s">
        <v>4955</v>
      </c>
      <c r="W761" s="6" t="n">
        <v>1</v>
      </c>
      <c r="X761" s="6" t="s">
        <v>4956</v>
      </c>
      <c r="Y761" s="6" t="n">
        <v>1</v>
      </c>
      <c r="Z761" s="6" t="s">
        <v>4957</v>
      </c>
      <c r="AA761" s="6" t="n">
        <v>0</v>
      </c>
      <c r="AB761" s="6" t="s">
        <v>4958</v>
      </c>
      <c r="AC761" s="6" t="n">
        <v>0</v>
      </c>
    </row>
    <row r="762" customFormat="false" ht="12.8" hidden="false" customHeight="false" outlineLevel="0" collapsed="false">
      <c r="A762" s="6" t="s">
        <v>4959</v>
      </c>
      <c r="B762" s="6" t="n">
        <v>128</v>
      </c>
      <c r="C762" s="6" t="n">
        <v>12</v>
      </c>
      <c r="D762" s="12" t="n">
        <f aca="false">C762/(B762+C762)*100</f>
        <v>8.57142857142857</v>
      </c>
      <c r="E762" s="6" t="n">
        <v>6</v>
      </c>
      <c r="F762" s="6" t="s">
        <v>4960</v>
      </c>
      <c r="G762" s="6" t="n">
        <v>4</v>
      </c>
      <c r="H762" s="6" t="s">
        <v>4961</v>
      </c>
      <c r="I762" s="6" t="n">
        <v>4</v>
      </c>
      <c r="J762" s="6" t="s">
        <v>4962</v>
      </c>
      <c r="K762" s="6" t="n">
        <v>2</v>
      </c>
      <c r="L762" s="6" t="s">
        <v>4963</v>
      </c>
      <c r="M762" s="6" t="n">
        <v>1</v>
      </c>
      <c r="N762" s="6" t="s">
        <v>4964</v>
      </c>
      <c r="O762" s="6" t="n">
        <v>1</v>
      </c>
      <c r="P762" s="6" t="s">
        <v>4965</v>
      </c>
      <c r="Q762" s="6" t="n">
        <v>0</v>
      </c>
    </row>
    <row r="763" customFormat="false" ht="12.8" hidden="false" customHeight="false" outlineLevel="0" collapsed="false">
      <c r="A763" s="6" t="s">
        <v>4966</v>
      </c>
      <c r="B763" s="6" t="n">
        <v>129</v>
      </c>
      <c r="C763" s="6" t="n">
        <v>1</v>
      </c>
      <c r="D763" s="12" t="n">
        <f aca="false">C763/(B763+C763)*100</f>
        <v>0.769230769230769</v>
      </c>
      <c r="E763" s="6" t="n">
        <v>4</v>
      </c>
      <c r="F763" s="6" t="s">
        <v>4967</v>
      </c>
      <c r="G763" s="6" t="n">
        <v>1</v>
      </c>
      <c r="H763" s="6" t="s">
        <v>4968</v>
      </c>
      <c r="I763" s="6" t="n">
        <v>0</v>
      </c>
      <c r="J763" s="6" t="s">
        <v>4969</v>
      </c>
      <c r="K763" s="6" t="n">
        <v>0</v>
      </c>
      <c r="L763" s="6" t="s">
        <v>4970</v>
      </c>
      <c r="M763" s="6" t="n">
        <v>0</v>
      </c>
    </row>
    <row r="764" customFormat="false" ht="12.8" hidden="false" customHeight="false" outlineLevel="0" collapsed="false">
      <c r="A764" s="6" t="s">
        <v>4971</v>
      </c>
      <c r="B764" s="6" t="n">
        <v>130</v>
      </c>
      <c r="C764" s="6" t="n">
        <v>10</v>
      </c>
      <c r="D764" s="12" t="n">
        <f aca="false">C764/(B764+C764)*100</f>
        <v>7.14285714285714</v>
      </c>
      <c r="E764" s="6" t="n">
        <v>1</v>
      </c>
      <c r="F764" s="6" t="s">
        <v>4972</v>
      </c>
      <c r="G764" s="6" t="n">
        <v>10</v>
      </c>
    </row>
    <row r="765" customFormat="false" ht="12.8" hidden="false" customHeight="false" outlineLevel="0" collapsed="false">
      <c r="A765" s="6" t="s">
        <v>4973</v>
      </c>
      <c r="B765" s="6" t="n">
        <v>132</v>
      </c>
      <c r="C765" s="6" t="n">
        <v>48</v>
      </c>
      <c r="D765" s="12" t="n">
        <f aca="false">C765/(B765+C765)*100</f>
        <v>26.6666666666667</v>
      </c>
      <c r="E765" s="6" t="n">
        <v>7</v>
      </c>
      <c r="F765" s="6" t="s">
        <v>4974</v>
      </c>
      <c r="G765" s="6" t="n">
        <v>39</v>
      </c>
      <c r="H765" s="6" t="s">
        <v>4975</v>
      </c>
      <c r="I765" s="6" t="n">
        <v>6</v>
      </c>
      <c r="J765" s="6" t="s">
        <v>4976</v>
      </c>
      <c r="K765" s="6" t="n">
        <v>3</v>
      </c>
      <c r="L765" s="6" t="s">
        <v>4977</v>
      </c>
      <c r="M765" s="6" t="n">
        <v>0</v>
      </c>
      <c r="N765" s="6" t="s">
        <v>4978</v>
      </c>
      <c r="O765" s="6" t="n">
        <v>0</v>
      </c>
      <c r="P765" s="6" t="s">
        <v>4979</v>
      </c>
      <c r="Q765" s="6" t="n">
        <v>0</v>
      </c>
      <c r="R765" s="6" t="s">
        <v>4980</v>
      </c>
      <c r="S765" s="6" t="n">
        <v>0</v>
      </c>
    </row>
    <row r="766" customFormat="false" ht="12.8" hidden="false" customHeight="false" outlineLevel="0" collapsed="false">
      <c r="A766" s="6" t="s">
        <v>4981</v>
      </c>
      <c r="B766" s="6" t="n">
        <v>132</v>
      </c>
      <c r="C766" s="6" t="n">
        <v>17</v>
      </c>
      <c r="D766" s="12" t="n">
        <f aca="false">C766/(B766+C766)*100</f>
        <v>11.4093959731544</v>
      </c>
      <c r="E766" s="6" t="n">
        <v>6</v>
      </c>
      <c r="F766" s="6" t="s">
        <v>4982</v>
      </c>
      <c r="G766" s="6" t="n">
        <v>5</v>
      </c>
      <c r="H766" s="6" t="s">
        <v>4983</v>
      </c>
      <c r="I766" s="6" t="n">
        <v>4</v>
      </c>
      <c r="J766" s="6" t="s">
        <v>4984</v>
      </c>
      <c r="K766" s="6" t="n">
        <v>3</v>
      </c>
      <c r="L766" s="6" t="s">
        <v>4985</v>
      </c>
      <c r="M766" s="6" t="n">
        <v>3</v>
      </c>
      <c r="N766" s="6" t="s">
        <v>4986</v>
      </c>
      <c r="O766" s="6" t="n">
        <v>1</v>
      </c>
      <c r="P766" s="6" t="s">
        <v>4987</v>
      </c>
      <c r="Q766" s="6" t="n">
        <v>1</v>
      </c>
    </row>
    <row r="767" customFormat="false" ht="12.8" hidden="false" customHeight="false" outlineLevel="0" collapsed="false">
      <c r="A767" s="6" t="s">
        <v>4988</v>
      </c>
      <c r="B767" s="6" t="n">
        <v>132</v>
      </c>
      <c r="C767" s="6" t="n">
        <v>10</v>
      </c>
      <c r="D767" s="12" t="n">
        <f aca="false">C767/(B767+C767)*100</f>
        <v>7.04225352112676</v>
      </c>
      <c r="E767" s="6" t="n">
        <v>4</v>
      </c>
      <c r="F767" s="6" t="s">
        <v>4989</v>
      </c>
      <c r="G767" s="6" t="n">
        <v>5</v>
      </c>
      <c r="H767" s="6" t="s">
        <v>4990</v>
      </c>
      <c r="I767" s="6" t="n">
        <v>2</v>
      </c>
      <c r="J767" s="6" t="s">
        <v>4991</v>
      </c>
      <c r="K767" s="6" t="n">
        <v>2</v>
      </c>
      <c r="L767" s="6" t="s">
        <v>4992</v>
      </c>
      <c r="M767" s="6" t="n">
        <v>1</v>
      </c>
    </row>
    <row r="768" customFormat="false" ht="12.8" hidden="false" customHeight="false" outlineLevel="0" collapsed="false">
      <c r="A768" s="6" t="s">
        <v>4993</v>
      </c>
      <c r="B768" s="6" t="n">
        <v>132</v>
      </c>
      <c r="C768" s="6" t="n">
        <v>4</v>
      </c>
      <c r="D768" s="12" t="n">
        <f aca="false">C768/(B768+C768)*100</f>
        <v>2.94117647058823</v>
      </c>
      <c r="E768" s="6" t="n">
        <v>4</v>
      </c>
      <c r="F768" s="6" t="s">
        <v>4994</v>
      </c>
      <c r="G768" s="6" t="n">
        <v>2</v>
      </c>
      <c r="H768" s="6" t="s">
        <v>4995</v>
      </c>
      <c r="I768" s="6" t="n">
        <v>1</v>
      </c>
      <c r="J768" s="6" t="s">
        <v>4996</v>
      </c>
      <c r="K768" s="6" t="n">
        <v>1</v>
      </c>
      <c r="L768" s="6" t="s">
        <v>4997</v>
      </c>
      <c r="M768" s="6" t="n">
        <v>0</v>
      </c>
    </row>
    <row r="769" customFormat="false" ht="12.8" hidden="false" customHeight="false" outlineLevel="0" collapsed="false">
      <c r="A769" s="6" t="s">
        <v>4998</v>
      </c>
      <c r="B769" s="6" t="n">
        <v>133</v>
      </c>
      <c r="C769" s="6" t="n">
        <v>963</v>
      </c>
      <c r="D769" s="12" t="n">
        <f aca="false">C769/(B769+C769)*100</f>
        <v>87.8649635036496</v>
      </c>
      <c r="E769" s="6" t="n">
        <v>12</v>
      </c>
      <c r="F769" s="6" t="s">
        <v>4999</v>
      </c>
      <c r="G769" s="6" t="n">
        <v>588</v>
      </c>
      <c r="H769" s="6" t="s">
        <v>5000</v>
      </c>
      <c r="I769" s="6" t="n">
        <v>210</v>
      </c>
      <c r="J769" s="6" t="s">
        <v>5001</v>
      </c>
      <c r="K769" s="6" t="n">
        <v>91</v>
      </c>
      <c r="L769" s="6" t="s">
        <v>5002</v>
      </c>
      <c r="M769" s="6" t="n">
        <v>27</v>
      </c>
      <c r="N769" s="6" t="s">
        <v>5003</v>
      </c>
      <c r="O769" s="6" t="n">
        <v>19</v>
      </c>
      <c r="P769" s="6" t="s">
        <v>5004</v>
      </c>
      <c r="Q769" s="6" t="n">
        <v>18</v>
      </c>
      <c r="R769" s="6" t="s">
        <v>5005</v>
      </c>
      <c r="S769" s="6" t="n">
        <v>7</v>
      </c>
      <c r="T769" s="6" t="s">
        <v>5006</v>
      </c>
      <c r="U769" s="6" t="n">
        <v>1</v>
      </c>
      <c r="V769" s="6" t="s">
        <v>5007</v>
      </c>
      <c r="W769" s="6" t="n">
        <v>1</v>
      </c>
      <c r="X769" s="6" t="s">
        <v>5008</v>
      </c>
      <c r="Y769" s="6" t="n">
        <v>1</v>
      </c>
      <c r="Z769" s="6" t="s">
        <v>5009</v>
      </c>
      <c r="AA769" s="6" t="n">
        <v>0</v>
      </c>
      <c r="AB769" s="6" t="s">
        <v>5010</v>
      </c>
      <c r="AC769" s="6" t="n">
        <v>0</v>
      </c>
    </row>
    <row r="770" customFormat="false" ht="12.8" hidden="false" customHeight="false" outlineLevel="0" collapsed="false">
      <c r="A770" s="6" t="s">
        <v>5011</v>
      </c>
      <c r="B770" s="6" t="n">
        <v>134</v>
      </c>
      <c r="C770" s="6" t="n">
        <v>11</v>
      </c>
      <c r="D770" s="12" t="n">
        <f aca="false">C770/(B770+C770)*100</f>
        <v>7.58620689655172</v>
      </c>
      <c r="E770" s="6" t="n">
        <v>4</v>
      </c>
      <c r="F770" s="6" t="s">
        <v>5012</v>
      </c>
      <c r="G770" s="6" t="n">
        <v>9</v>
      </c>
      <c r="H770" s="6" t="s">
        <v>5013</v>
      </c>
      <c r="I770" s="6" t="n">
        <v>2</v>
      </c>
      <c r="J770" s="6" t="s">
        <v>5014</v>
      </c>
      <c r="K770" s="6" t="n">
        <v>0</v>
      </c>
      <c r="L770" s="6" t="s">
        <v>5015</v>
      </c>
      <c r="M770" s="6" t="n">
        <v>0</v>
      </c>
    </row>
    <row r="771" customFormat="false" ht="12.8" hidden="false" customHeight="false" outlineLevel="0" collapsed="false">
      <c r="A771" s="6" t="s">
        <v>5016</v>
      </c>
      <c r="B771" s="6" t="n">
        <v>135</v>
      </c>
      <c r="C771" s="6" t="n">
        <v>18</v>
      </c>
      <c r="D771" s="12" t="n">
        <f aca="false">C771/(B771+C771)*100</f>
        <v>11.7647058823529</v>
      </c>
      <c r="E771" s="6" t="n">
        <v>10</v>
      </c>
      <c r="F771" s="6" t="s">
        <v>5017</v>
      </c>
      <c r="G771" s="6" t="n">
        <v>9</v>
      </c>
      <c r="H771" s="6" t="s">
        <v>5018</v>
      </c>
      <c r="I771" s="6" t="n">
        <v>3</v>
      </c>
      <c r="J771" s="6" t="s">
        <v>5019</v>
      </c>
      <c r="K771" s="6" t="n">
        <v>3</v>
      </c>
      <c r="L771" s="6" t="s">
        <v>5020</v>
      </c>
      <c r="M771" s="6" t="n">
        <v>1</v>
      </c>
      <c r="N771" s="6" t="s">
        <v>5021</v>
      </c>
      <c r="O771" s="6" t="n">
        <v>1</v>
      </c>
      <c r="P771" s="6" t="s">
        <v>5022</v>
      </c>
      <c r="Q771" s="6" t="n">
        <v>1</v>
      </c>
      <c r="R771" s="6" t="s">
        <v>5023</v>
      </c>
      <c r="S771" s="6" t="n">
        <v>0</v>
      </c>
      <c r="T771" s="6" t="s">
        <v>5024</v>
      </c>
      <c r="U771" s="6" t="n">
        <v>0</v>
      </c>
      <c r="V771" s="6" t="s">
        <v>5025</v>
      </c>
      <c r="W771" s="6" t="n">
        <v>0</v>
      </c>
      <c r="X771" s="6" t="s">
        <v>5026</v>
      </c>
      <c r="Y771" s="6" t="n">
        <v>0</v>
      </c>
    </row>
    <row r="772" customFormat="false" ht="12.8" hidden="false" customHeight="false" outlineLevel="0" collapsed="false">
      <c r="A772" s="6" t="s">
        <v>5027</v>
      </c>
      <c r="B772" s="6" t="n">
        <v>136</v>
      </c>
      <c r="C772" s="6" t="n">
        <v>39</v>
      </c>
      <c r="D772" s="12" t="n">
        <f aca="false">C772/(B772+C772)*100</f>
        <v>22.2857142857143</v>
      </c>
      <c r="E772" s="6" t="n">
        <v>5</v>
      </c>
      <c r="F772" s="6" t="s">
        <v>5028</v>
      </c>
      <c r="G772" s="6" t="n">
        <v>26</v>
      </c>
      <c r="H772" s="6" t="s">
        <v>5029</v>
      </c>
      <c r="I772" s="6" t="n">
        <v>7</v>
      </c>
      <c r="J772" s="6" t="s">
        <v>5030</v>
      </c>
      <c r="K772" s="6" t="n">
        <v>4</v>
      </c>
      <c r="L772" s="6" t="s">
        <v>5031</v>
      </c>
      <c r="M772" s="6" t="n">
        <v>1</v>
      </c>
      <c r="N772" s="6" t="s">
        <v>5032</v>
      </c>
      <c r="O772" s="6" t="n">
        <v>1</v>
      </c>
    </row>
    <row r="773" customFormat="false" ht="12.8" hidden="false" customHeight="false" outlineLevel="0" collapsed="false">
      <c r="A773" s="6" t="s">
        <v>5033</v>
      </c>
      <c r="B773" s="6" t="n">
        <v>137</v>
      </c>
      <c r="C773" s="6" t="n">
        <v>702</v>
      </c>
      <c r="D773" s="12" t="n">
        <f aca="false">C773/(B773+C773)*100</f>
        <v>83.6710369487485</v>
      </c>
      <c r="E773" s="6" t="n">
        <v>23</v>
      </c>
      <c r="F773" s="6" t="s">
        <v>5034</v>
      </c>
      <c r="G773" s="6" t="n">
        <v>183</v>
      </c>
      <c r="H773" s="6" t="s">
        <v>5035</v>
      </c>
      <c r="I773" s="6" t="n">
        <v>175</v>
      </c>
      <c r="J773" s="6" t="s">
        <v>5036</v>
      </c>
      <c r="K773" s="6" t="n">
        <v>72</v>
      </c>
      <c r="L773" s="6" t="s">
        <v>5037</v>
      </c>
      <c r="M773" s="6" t="n">
        <v>70</v>
      </c>
      <c r="N773" s="6" t="s">
        <v>5038</v>
      </c>
      <c r="O773" s="6" t="n">
        <v>54</v>
      </c>
      <c r="P773" s="6" t="s">
        <v>5039</v>
      </c>
      <c r="Q773" s="6" t="n">
        <v>44</v>
      </c>
      <c r="R773" s="6" t="s">
        <v>5040</v>
      </c>
      <c r="S773" s="6" t="n">
        <v>43</v>
      </c>
      <c r="T773" s="6" t="s">
        <v>5041</v>
      </c>
      <c r="U773" s="6" t="n">
        <v>16</v>
      </c>
      <c r="V773" s="6" t="s">
        <v>5042</v>
      </c>
      <c r="W773" s="6" t="n">
        <v>9</v>
      </c>
      <c r="X773" s="6" t="s">
        <v>5043</v>
      </c>
      <c r="Y773" s="6" t="n">
        <v>9</v>
      </c>
      <c r="Z773" s="6" t="s">
        <v>5044</v>
      </c>
      <c r="AA773" s="6" t="n">
        <v>6</v>
      </c>
      <c r="AB773" s="6" t="s">
        <v>5045</v>
      </c>
      <c r="AC773" s="6" t="n">
        <v>4</v>
      </c>
      <c r="AD773" s="6" t="s">
        <v>5046</v>
      </c>
      <c r="AE773" s="6" t="n">
        <v>4</v>
      </c>
      <c r="AF773" s="6" t="s">
        <v>5047</v>
      </c>
      <c r="AG773" s="6" t="n">
        <v>4</v>
      </c>
      <c r="AH773" s="6" t="s">
        <v>5048</v>
      </c>
      <c r="AI773" s="6" t="n">
        <v>3</v>
      </c>
      <c r="AJ773" s="6" t="s">
        <v>5049</v>
      </c>
      <c r="AK773" s="6" t="n">
        <v>3</v>
      </c>
      <c r="AL773" s="6" t="s">
        <v>5050</v>
      </c>
      <c r="AM773" s="6" t="n">
        <v>1</v>
      </c>
      <c r="AN773" s="6" t="s">
        <v>5051</v>
      </c>
      <c r="AO773" s="6" t="n">
        <v>1</v>
      </c>
      <c r="AP773" s="6" t="s">
        <v>5052</v>
      </c>
      <c r="AQ773" s="6" t="n">
        <v>1</v>
      </c>
      <c r="AR773" s="6" t="s">
        <v>5053</v>
      </c>
      <c r="AS773" s="6" t="n">
        <v>0</v>
      </c>
      <c r="AT773" s="6" t="s">
        <v>5054</v>
      </c>
      <c r="AU773" s="6" t="n">
        <v>0</v>
      </c>
      <c r="AV773" s="6" t="s">
        <v>5055</v>
      </c>
      <c r="AW773" s="6" t="n">
        <v>0</v>
      </c>
      <c r="AX773" s="6" t="s">
        <v>5056</v>
      </c>
      <c r="AY773" s="6" t="n">
        <v>0</v>
      </c>
    </row>
    <row r="774" customFormat="false" ht="12.8" hidden="false" customHeight="false" outlineLevel="0" collapsed="false">
      <c r="A774" s="6" t="s">
        <v>5057</v>
      </c>
      <c r="B774" s="6" t="n">
        <v>137</v>
      </c>
      <c r="C774" s="6" t="n">
        <v>63</v>
      </c>
      <c r="D774" s="12" t="n">
        <f aca="false">C774/(B774+C774)*100</f>
        <v>31.5</v>
      </c>
      <c r="E774" s="6" t="n">
        <v>10</v>
      </c>
      <c r="F774" s="6" t="s">
        <v>5058</v>
      </c>
      <c r="G774" s="6" t="n">
        <v>40</v>
      </c>
      <c r="H774" s="6" t="s">
        <v>5059</v>
      </c>
      <c r="I774" s="6" t="n">
        <v>7</v>
      </c>
      <c r="J774" s="6" t="s">
        <v>5060</v>
      </c>
      <c r="K774" s="6" t="n">
        <v>6</v>
      </c>
      <c r="L774" s="6" t="s">
        <v>5061</v>
      </c>
      <c r="M774" s="6" t="n">
        <v>6</v>
      </c>
      <c r="N774" s="6" t="s">
        <v>5062</v>
      </c>
      <c r="O774" s="6" t="n">
        <v>1</v>
      </c>
      <c r="P774" s="6" t="s">
        <v>5063</v>
      </c>
      <c r="Q774" s="6" t="n">
        <v>1</v>
      </c>
      <c r="R774" s="6" t="s">
        <v>5064</v>
      </c>
      <c r="S774" s="6" t="n">
        <v>1</v>
      </c>
      <c r="T774" s="6" t="s">
        <v>5065</v>
      </c>
      <c r="U774" s="6" t="n">
        <v>1</v>
      </c>
      <c r="V774" s="6" t="s">
        <v>5066</v>
      </c>
      <c r="W774" s="6" t="n">
        <v>0</v>
      </c>
      <c r="X774" s="6" t="s">
        <v>5067</v>
      </c>
      <c r="Y774" s="6" t="n">
        <v>0</v>
      </c>
    </row>
    <row r="775" customFormat="false" ht="12.8" hidden="false" customHeight="false" outlineLevel="0" collapsed="false">
      <c r="A775" s="6" t="s">
        <v>5068</v>
      </c>
      <c r="B775" s="6" t="n">
        <v>137</v>
      </c>
      <c r="C775" s="6" t="n">
        <v>43</v>
      </c>
      <c r="D775" s="12" t="n">
        <f aca="false">C775/(B775+C775)*100</f>
        <v>23.8888888888889</v>
      </c>
      <c r="E775" s="6" t="n">
        <v>7</v>
      </c>
      <c r="F775" s="6" t="s">
        <v>5069</v>
      </c>
      <c r="G775" s="6" t="n">
        <v>32</v>
      </c>
      <c r="H775" s="6" t="s">
        <v>5070</v>
      </c>
      <c r="I775" s="6" t="n">
        <v>6</v>
      </c>
      <c r="J775" s="6" t="s">
        <v>5071</v>
      </c>
      <c r="K775" s="6" t="n">
        <v>2</v>
      </c>
      <c r="L775" s="6" t="s">
        <v>5072</v>
      </c>
      <c r="M775" s="6" t="n">
        <v>2</v>
      </c>
      <c r="N775" s="6" t="s">
        <v>5073</v>
      </c>
      <c r="O775" s="6" t="n">
        <v>1</v>
      </c>
      <c r="P775" s="6" t="s">
        <v>5074</v>
      </c>
      <c r="Q775" s="6" t="n">
        <v>0</v>
      </c>
      <c r="R775" s="6" t="s">
        <v>5075</v>
      </c>
      <c r="S775" s="6" t="n">
        <v>0</v>
      </c>
    </row>
    <row r="776" customFormat="false" ht="12.8" hidden="false" customHeight="false" outlineLevel="0" collapsed="false">
      <c r="A776" s="6" t="s">
        <v>5076</v>
      </c>
      <c r="B776" s="6" t="n">
        <v>137</v>
      </c>
      <c r="C776" s="6" t="n">
        <v>29</v>
      </c>
      <c r="D776" s="12" t="n">
        <f aca="false">C776/(B776+C776)*100</f>
        <v>17.4698795180723</v>
      </c>
      <c r="E776" s="6" t="n">
        <v>4</v>
      </c>
      <c r="F776" s="6" t="s">
        <v>5077</v>
      </c>
      <c r="G776" s="6" t="n">
        <v>27</v>
      </c>
      <c r="H776" s="6" t="s">
        <v>5078</v>
      </c>
      <c r="I776" s="6" t="n">
        <v>1</v>
      </c>
      <c r="J776" s="6" t="s">
        <v>5079</v>
      </c>
      <c r="K776" s="6" t="n">
        <v>1</v>
      </c>
      <c r="L776" s="6" t="s">
        <v>5080</v>
      </c>
      <c r="M776" s="6" t="n">
        <v>0</v>
      </c>
    </row>
    <row r="777" customFormat="false" ht="12.8" hidden="false" customHeight="false" outlineLevel="0" collapsed="false">
      <c r="A777" s="6" t="s">
        <v>5081</v>
      </c>
      <c r="B777" s="6" t="n">
        <v>138</v>
      </c>
      <c r="C777" s="6" t="n">
        <v>13</v>
      </c>
      <c r="D777" s="12" t="n">
        <f aca="false">C777/(B777+C777)*100</f>
        <v>8.60927152317881</v>
      </c>
      <c r="E777" s="6" t="n">
        <v>9</v>
      </c>
      <c r="F777" s="6" t="s">
        <v>5082</v>
      </c>
      <c r="G777" s="6" t="n">
        <v>5</v>
      </c>
      <c r="H777" s="6" t="s">
        <v>5083</v>
      </c>
      <c r="I777" s="6" t="n">
        <v>4</v>
      </c>
      <c r="J777" s="6" t="s">
        <v>5084</v>
      </c>
      <c r="K777" s="6" t="n">
        <v>2</v>
      </c>
      <c r="L777" s="6" t="s">
        <v>5085</v>
      </c>
      <c r="M777" s="6" t="n">
        <v>1</v>
      </c>
      <c r="N777" s="6" t="s">
        <v>5086</v>
      </c>
      <c r="O777" s="6" t="n">
        <v>1</v>
      </c>
      <c r="P777" s="6" t="s">
        <v>5087</v>
      </c>
      <c r="Q777" s="6" t="n">
        <v>0</v>
      </c>
      <c r="R777" s="6" t="s">
        <v>5088</v>
      </c>
      <c r="S777" s="6" t="n">
        <v>0</v>
      </c>
      <c r="T777" s="6" t="s">
        <v>5089</v>
      </c>
      <c r="U777" s="6" t="n">
        <v>0</v>
      </c>
      <c r="V777" s="6" t="s">
        <v>5090</v>
      </c>
      <c r="W777" s="6" t="n">
        <v>0</v>
      </c>
    </row>
    <row r="778" customFormat="false" ht="12.8" hidden="false" customHeight="false" outlineLevel="0" collapsed="false">
      <c r="A778" s="6" t="s">
        <v>5091</v>
      </c>
      <c r="B778" s="6" t="n">
        <v>139</v>
      </c>
      <c r="C778" s="6" t="n">
        <v>157</v>
      </c>
      <c r="D778" s="12" t="n">
        <f aca="false">C778/(B778+C778)*100</f>
        <v>53.0405405405405</v>
      </c>
      <c r="E778" s="6" t="n">
        <v>14</v>
      </c>
      <c r="F778" s="6" t="s">
        <v>5092</v>
      </c>
      <c r="G778" s="6" t="n">
        <v>46</v>
      </c>
      <c r="H778" s="6" t="s">
        <v>5093</v>
      </c>
      <c r="I778" s="6" t="n">
        <v>40</v>
      </c>
      <c r="J778" s="6" t="s">
        <v>5094</v>
      </c>
      <c r="K778" s="6" t="n">
        <v>29</v>
      </c>
      <c r="L778" s="6" t="s">
        <v>5095</v>
      </c>
      <c r="M778" s="6" t="n">
        <v>14</v>
      </c>
      <c r="N778" s="6" t="s">
        <v>5096</v>
      </c>
      <c r="O778" s="6" t="n">
        <v>8</v>
      </c>
      <c r="P778" s="6" t="s">
        <v>5097</v>
      </c>
      <c r="Q778" s="6" t="n">
        <v>6</v>
      </c>
      <c r="R778" s="6" t="s">
        <v>5098</v>
      </c>
      <c r="S778" s="6" t="n">
        <v>5</v>
      </c>
      <c r="T778" s="6" t="s">
        <v>5099</v>
      </c>
      <c r="U778" s="6" t="n">
        <v>2</v>
      </c>
      <c r="V778" s="6" t="s">
        <v>5100</v>
      </c>
      <c r="W778" s="6" t="n">
        <v>2</v>
      </c>
      <c r="X778" s="6" t="s">
        <v>5101</v>
      </c>
      <c r="Y778" s="6" t="n">
        <v>2</v>
      </c>
      <c r="Z778" s="6" t="s">
        <v>5102</v>
      </c>
      <c r="AA778" s="6" t="n">
        <v>1</v>
      </c>
      <c r="AB778" s="6" t="s">
        <v>5103</v>
      </c>
      <c r="AC778" s="6" t="n">
        <v>1</v>
      </c>
      <c r="AD778" s="6" t="s">
        <v>5104</v>
      </c>
      <c r="AE778" s="6" t="n">
        <v>1</v>
      </c>
      <c r="AF778" s="6" t="s">
        <v>5105</v>
      </c>
      <c r="AG778" s="6" t="n">
        <v>0</v>
      </c>
    </row>
    <row r="779" customFormat="false" ht="12.8" hidden="false" customHeight="false" outlineLevel="0" collapsed="false">
      <c r="A779" s="6" t="s">
        <v>5106</v>
      </c>
      <c r="B779" s="6" t="n">
        <v>139</v>
      </c>
      <c r="C779" s="6" t="n">
        <v>59</v>
      </c>
      <c r="D779" s="12" t="n">
        <f aca="false">C779/(B779+C779)*100</f>
        <v>29.7979797979798</v>
      </c>
      <c r="E779" s="6" t="n">
        <v>13</v>
      </c>
      <c r="F779" s="6" t="s">
        <v>5107</v>
      </c>
      <c r="G779" s="6" t="n">
        <v>19</v>
      </c>
      <c r="H779" s="6" t="s">
        <v>5108</v>
      </c>
      <c r="I779" s="6" t="n">
        <v>15</v>
      </c>
      <c r="J779" s="6" t="s">
        <v>5109</v>
      </c>
      <c r="K779" s="6" t="n">
        <v>12</v>
      </c>
      <c r="L779" s="6" t="s">
        <v>5110</v>
      </c>
      <c r="M779" s="6" t="n">
        <v>8</v>
      </c>
      <c r="N779" s="6" t="s">
        <v>5111</v>
      </c>
      <c r="O779" s="6" t="n">
        <v>2</v>
      </c>
      <c r="P779" s="6" t="s">
        <v>5112</v>
      </c>
      <c r="Q779" s="6" t="n">
        <v>1</v>
      </c>
      <c r="R779" s="6" t="s">
        <v>5113</v>
      </c>
      <c r="S779" s="6" t="n">
        <v>1</v>
      </c>
      <c r="T779" s="6" t="s">
        <v>5114</v>
      </c>
      <c r="U779" s="6" t="n">
        <v>1</v>
      </c>
      <c r="V779" s="6" t="s">
        <v>5115</v>
      </c>
      <c r="W779" s="6" t="n">
        <v>0</v>
      </c>
      <c r="X779" s="6" t="s">
        <v>5116</v>
      </c>
      <c r="Y779" s="6" t="n">
        <v>0</v>
      </c>
      <c r="Z779" s="6" t="s">
        <v>5117</v>
      </c>
      <c r="AA779" s="6" t="n">
        <v>0</v>
      </c>
      <c r="AB779" s="6" t="s">
        <v>5118</v>
      </c>
      <c r="AC779" s="6" t="n">
        <v>0</v>
      </c>
      <c r="AD779" s="6" t="s">
        <v>5119</v>
      </c>
      <c r="AE779" s="6" t="n">
        <v>0</v>
      </c>
    </row>
    <row r="780" customFormat="false" ht="12.8" hidden="false" customHeight="false" outlineLevel="0" collapsed="false">
      <c r="A780" s="6" t="s">
        <v>5120</v>
      </c>
      <c r="B780" s="6" t="n">
        <v>139</v>
      </c>
      <c r="C780" s="6" t="n">
        <v>9</v>
      </c>
      <c r="D780" s="12" t="n">
        <f aca="false">C780/(B780+C780)*100</f>
        <v>6.08108108108108</v>
      </c>
      <c r="E780" s="6" t="n">
        <v>7</v>
      </c>
      <c r="F780" s="6" t="s">
        <v>5121</v>
      </c>
      <c r="G780" s="6" t="n">
        <v>6</v>
      </c>
      <c r="H780" s="6" t="s">
        <v>5122</v>
      </c>
      <c r="I780" s="6" t="n">
        <v>1</v>
      </c>
      <c r="J780" s="6" t="s">
        <v>5123</v>
      </c>
      <c r="K780" s="6" t="n">
        <v>1</v>
      </c>
      <c r="L780" s="6" t="s">
        <v>5124</v>
      </c>
      <c r="M780" s="6" t="n">
        <v>1</v>
      </c>
      <c r="N780" s="6" t="s">
        <v>5125</v>
      </c>
      <c r="O780" s="6" t="n">
        <v>0</v>
      </c>
      <c r="P780" s="6" t="s">
        <v>5126</v>
      </c>
      <c r="Q780" s="6" t="n">
        <v>0</v>
      </c>
      <c r="R780" s="6" t="s">
        <v>5127</v>
      </c>
      <c r="S780" s="6" t="n">
        <v>0</v>
      </c>
    </row>
    <row r="781" customFormat="false" ht="12.8" hidden="false" customHeight="false" outlineLevel="0" collapsed="false">
      <c r="A781" s="6" t="s">
        <v>5128</v>
      </c>
      <c r="B781" s="6" t="n">
        <v>140</v>
      </c>
      <c r="C781" s="6" t="n">
        <v>121</v>
      </c>
      <c r="D781" s="12" t="n">
        <f aca="false">C781/(B781+C781)*100</f>
        <v>46.360153256705</v>
      </c>
      <c r="E781" s="6" t="n">
        <v>6</v>
      </c>
      <c r="F781" s="6" t="s">
        <v>5129</v>
      </c>
      <c r="G781" s="6" t="n">
        <v>107</v>
      </c>
      <c r="H781" s="6" t="s">
        <v>5130</v>
      </c>
      <c r="I781" s="6" t="n">
        <v>8</v>
      </c>
      <c r="J781" s="6" t="s">
        <v>5131</v>
      </c>
      <c r="K781" s="6" t="n">
        <v>2</v>
      </c>
      <c r="L781" s="6" t="s">
        <v>5132</v>
      </c>
      <c r="M781" s="6" t="n">
        <v>2</v>
      </c>
      <c r="N781" s="6" t="s">
        <v>5133</v>
      </c>
      <c r="O781" s="6" t="n">
        <v>1</v>
      </c>
      <c r="P781" s="6" t="s">
        <v>5134</v>
      </c>
      <c r="Q781" s="6" t="n">
        <v>1</v>
      </c>
    </row>
    <row r="782" customFormat="false" ht="12.8" hidden="false" customHeight="false" outlineLevel="0" collapsed="false">
      <c r="A782" s="6" t="s">
        <v>5135</v>
      </c>
      <c r="B782" s="6" t="n">
        <v>140</v>
      </c>
      <c r="C782" s="6" t="n">
        <v>11</v>
      </c>
      <c r="D782" s="12" t="n">
        <f aca="false">C782/(B782+C782)*100</f>
        <v>7.28476821192053</v>
      </c>
      <c r="E782" s="6" t="n">
        <v>3</v>
      </c>
      <c r="F782" s="6" t="s">
        <v>5136</v>
      </c>
      <c r="G782" s="6" t="n">
        <v>9</v>
      </c>
      <c r="H782" s="6" t="s">
        <v>5137</v>
      </c>
      <c r="I782" s="6" t="n">
        <v>1</v>
      </c>
      <c r="J782" s="6" t="s">
        <v>5138</v>
      </c>
      <c r="K782" s="6" t="n">
        <v>1</v>
      </c>
    </row>
    <row r="783" customFormat="false" ht="12.8" hidden="false" customHeight="false" outlineLevel="0" collapsed="false">
      <c r="A783" s="6" t="s">
        <v>5139</v>
      </c>
      <c r="B783" s="6" t="n">
        <v>141</v>
      </c>
      <c r="C783" s="6" t="n">
        <v>194</v>
      </c>
      <c r="D783" s="12" t="n">
        <f aca="false">C783/(B783+C783)*100</f>
        <v>57.910447761194</v>
      </c>
      <c r="E783" s="6" t="n">
        <v>8</v>
      </c>
      <c r="F783" s="6" t="s">
        <v>5140</v>
      </c>
      <c r="G783" s="6" t="n">
        <v>176</v>
      </c>
      <c r="H783" s="6" t="s">
        <v>5141</v>
      </c>
      <c r="I783" s="6" t="n">
        <v>7</v>
      </c>
      <c r="J783" s="6" t="s">
        <v>5142</v>
      </c>
      <c r="K783" s="6" t="n">
        <v>5</v>
      </c>
      <c r="L783" s="6" t="s">
        <v>5143</v>
      </c>
      <c r="M783" s="6" t="n">
        <v>2</v>
      </c>
      <c r="N783" s="6" t="s">
        <v>5144</v>
      </c>
      <c r="O783" s="6" t="n">
        <v>2</v>
      </c>
      <c r="P783" s="6" t="s">
        <v>5145</v>
      </c>
      <c r="Q783" s="6" t="n">
        <v>1</v>
      </c>
      <c r="R783" s="6" t="s">
        <v>5146</v>
      </c>
      <c r="S783" s="6" t="n">
        <v>1</v>
      </c>
      <c r="T783" s="6" t="s">
        <v>5147</v>
      </c>
      <c r="U783" s="6" t="n">
        <v>0</v>
      </c>
    </row>
    <row r="784" customFormat="false" ht="12.8" hidden="false" customHeight="false" outlineLevel="0" collapsed="false">
      <c r="A784" s="6" t="s">
        <v>5148</v>
      </c>
      <c r="B784" s="6" t="n">
        <v>142</v>
      </c>
      <c r="C784" s="6" t="n">
        <v>959</v>
      </c>
      <c r="D784" s="12" t="n">
        <f aca="false">C784/(B784+C784)*100</f>
        <v>87.102633969119</v>
      </c>
      <c r="E784" s="6" t="n">
        <v>47</v>
      </c>
      <c r="F784" s="6" t="s">
        <v>5149</v>
      </c>
      <c r="G784" s="6" t="n">
        <v>215</v>
      </c>
      <c r="H784" s="6" t="s">
        <v>5150</v>
      </c>
      <c r="I784" s="6" t="n">
        <v>177</v>
      </c>
      <c r="J784" s="6" t="s">
        <v>5151</v>
      </c>
      <c r="K784" s="6" t="n">
        <v>121</v>
      </c>
      <c r="L784" s="6" t="s">
        <v>5152</v>
      </c>
      <c r="M784" s="6" t="n">
        <v>93</v>
      </c>
      <c r="N784" s="6" t="s">
        <v>5153</v>
      </c>
      <c r="O784" s="6" t="n">
        <v>69</v>
      </c>
      <c r="P784" s="6" t="s">
        <v>5154</v>
      </c>
      <c r="Q784" s="6" t="n">
        <v>62</v>
      </c>
      <c r="R784" s="6" t="s">
        <v>5155</v>
      </c>
      <c r="S784" s="6" t="n">
        <v>60</v>
      </c>
      <c r="T784" s="6" t="s">
        <v>5156</v>
      </c>
      <c r="U784" s="6" t="n">
        <v>47</v>
      </c>
      <c r="V784" s="6" t="s">
        <v>5157</v>
      </c>
      <c r="W784" s="6" t="n">
        <v>30</v>
      </c>
      <c r="X784" s="6" t="s">
        <v>5158</v>
      </c>
      <c r="Y784" s="6" t="n">
        <v>13</v>
      </c>
      <c r="Z784" s="6" t="s">
        <v>5159</v>
      </c>
      <c r="AA784" s="6" t="n">
        <v>12</v>
      </c>
      <c r="AB784" s="6" t="s">
        <v>5160</v>
      </c>
      <c r="AC784" s="6" t="n">
        <v>10</v>
      </c>
      <c r="AD784" s="6" t="s">
        <v>5161</v>
      </c>
      <c r="AE784" s="6" t="n">
        <v>7</v>
      </c>
      <c r="AF784" s="6" t="s">
        <v>5162</v>
      </c>
      <c r="AG784" s="6" t="n">
        <v>6</v>
      </c>
      <c r="AH784" s="6" t="s">
        <v>5163</v>
      </c>
      <c r="AI784" s="6" t="n">
        <v>6</v>
      </c>
      <c r="AJ784" s="6" t="s">
        <v>5164</v>
      </c>
      <c r="AK784" s="6" t="n">
        <v>5</v>
      </c>
      <c r="AL784" s="6" t="s">
        <v>5165</v>
      </c>
      <c r="AM784" s="6" t="n">
        <v>3</v>
      </c>
      <c r="AN784" s="6" t="s">
        <v>5166</v>
      </c>
      <c r="AO784" s="6" t="n">
        <v>3</v>
      </c>
      <c r="AP784" s="6" t="s">
        <v>5167</v>
      </c>
      <c r="AQ784" s="6" t="n">
        <v>3</v>
      </c>
      <c r="AR784" s="6" t="s">
        <v>5168</v>
      </c>
      <c r="AS784" s="6" t="n">
        <v>2</v>
      </c>
      <c r="AT784" s="6" t="s">
        <v>5169</v>
      </c>
      <c r="AU784" s="6" t="n">
        <v>2</v>
      </c>
      <c r="AV784" s="6" t="s">
        <v>5170</v>
      </c>
      <c r="AW784" s="6" t="n">
        <v>2</v>
      </c>
      <c r="AX784" s="6" t="s">
        <v>5171</v>
      </c>
      <c r="AY784" s="6" t="n">
        <v>1</v>
      </c>
      <c r="AZ784" s="6" t="s">
        <v>5172</v>
      </c>
      <c r="BA784" s="6" t="n">
        <v>1</v>
      </c>
      <c r="BB784" s="6" t="s">
        <v>5173</v>
      </c>
      <c r="BC784" s="6" t="n">
        <v>1</v>
      </c>
      <c r="BD784" s="6" t="s">
        <v>5174</v>
      </c>
      <c r="BE784" s="6" t="n">
        <v>1</v>
      </c>
      <c r="BF784" s="6" t="s">
        <v>5175</v>
      </c>
      <c r="BG784" s="6" t="n">
        <v>1</v>
      </c>
      <c r="BH784" s="6" t="s">
        <v>5176</v>
      </c>
      <c r="BI784" s="6" t="n">
        <v>1</v>
      </c>
      <c r="BJ784" s="6" t="s">
        <v>5177</v>
      </c>
      <c r="BK784" s="6" t="n">
        <v>1</v>
      </c>
      <c r="BL784" s="6" t="s">
        <v>5178</v>
      </c>
      <c r="BM784" s="6" t="n">
        <v>1</v>
      </c>
      <c r="BN784" s="6" t="s">
        <v>5179</v>
      </c>
      <c r="BO784" s="6" t="n">
        <v>1</v>
      </c>
      <c r="BP784" s="6" t="s">
        <v>5180</v>
      </c>
      <c r="BQ784" s="6" t="n">
        <v>1</v>
      </c>
      <c r="BR784" s="6" t="s">
        <v>5181</v>
      </c>
      <c r="BS784" s="6" t="n">
        <v>1</v>
      </c>
      <c r="BT784" s="6" t="s">
        <v>5182</v>
      </c>
      <c r="BU784" s="6" t="n">
        <v>0</v>
      </c>
      <c r="BV784" s="6" t="s">
        <v>5183</v>
      </c>
      <c r="BW784" s="6" t="n">
        <v>0</v>
      </c>
      <c r="BX784" s="6" t="s">
        <v>5184</v>
      </c>
      <c r="BY784" s="6" t="n">
        <v>0</v>
      </c>
      <c r="BZ784" s="6" t="s">
        <v>5185</v>
      </c>
      <c r="CA784" s="6" t="n">
        <v>0</v>
      </c>
      <c r="CB784" s="6" t="s">
        <v>5186</v>
      </c>
      <c r="CC784" s="6" t="n">
        <v>0</v>
      </c>
      <c r="CD784" s="6" t="s">
        <v>5187</v>
      </c>
      <c r="CE784" s="6" t="n">
        <v>0</v>
      </c>
      <c r="CF784" s="6" t="s">
        <v>5188</v>
      </c>
      <c r="CG784" s="6" t="n">
        <v>0</v>
      </c>
      <c r="CH784" s="6" t="s">
        <v>5189</v>
      </c>
      <c r="CI784" s="6" t="n">
        <v>0</v>
      </c>
      <c r="CJ784" s="6" t="s">
        <v>5190</v>
      </c>
      <c r="CK784" s="6" t="n">
        <v>0</v>
      </c>
      <c r="CL784" s="6" t="s">
        <v>5191</v>
      </c>
      <c r="CM784" s="6" t="n">
        <v>0</v>
      </c>
      <c r="CN784" s="6" t="s">
        <v>5192</v>
      </c>
      <c r="CO784" s="6" t="n">
        <v>0</v>
      </c>
      <c r="CP784" s="6" t="s">
        <v>5193</v>
      </c>
      <c r="CQ784" s="6" t="n">
        <v>0</v>
      </c>
      <c r="CR784" s="6" t="s">
        <v>5194</v>
      </c>
      <c r="CS784" s="6" t="n">
        <v>0</v>
      </c>
      <c r="CT784" s="6" t="s">
        <v>5195</v>
      </c>
      <c r="CU784" s="6" t="n">
        <v>0</v>
      </c>
    </row>
    <row r="785" customFormat="false" ht="12.8" hidden="false" customHeight="false" outlineLevel="0" collapsed="false">
      <c r="A785" s="6" t="s">
        <v>5196</v>
      </c>
      <c r="B785" s="6" t="n">
        <v>142</v>
      </c>
      <c r="C785" s="6" t="n">
        <v>226</v>
      </c>
      <c r="D785" s="12" t="n">
        <f aca="false">C785/(B785+C785)*100</f>
        <v>61.4130434782609</v>
      </c>
      <c r="E785" s="6" t="n">
        <v>10</v>
      </c>
      <c r="F785" s="6" t="s">
        <v>5197</v>
      </c>
      <c r="G785" s="6" t="n">
        <v>89</v>
      </c>
      <c r="H785" s="6" t="s">
        <v>5198</v>
      </c>
      <c r="I785" s="6" t="n">
        <v>83</v>
      </c>
      <c r="J785" s="6" t="s">
        <v>5199</v>
      </c>
      <c r="K785" s="6" t="n">
        <v>28</v>
      </c>
      <c r="L785" s="6" t="s">
        <v>5200</v>
      </c>
      <c r="M785" s="6" t="n">
        <v>14</v>
      </c>
      <c r="N785" s="6" t="s">
        <v>5201</v>
      </c>
      <c r="O785" s="6" t="n">
        <v>4</v>
      </c>
      <c r="P785" s="6" t="s">
        <v>5202</v>
      </c>
      <c r="Q785" s="6" t="n">
        <v>3</v>
      </c>
      <c r="R785" s="6" t="s">
        <v>5203</v>
      </c>
      <c r="S785" s="6" t="n">
        <v>2</v>
      </c>
      <c r="T785" s="6" t="s">
        <v>5204</v>
      </c>
      <c r="U785" s="6" t="n">
        <v>1</v>
      </c>
      <c r="V785" s="6" t="s">
        <v>5205</v>
      </c>
      <c r="W785" s="6" t="n">
        <v>1</v>
      </c>
      <c r="X785" s="6" t="s">
        <v>5206</v>
      </c>
      <c r="Y785" s="6" t="n">
        <v>1</v>
      </c>
    </row>
    <row r="786" customFormat="false" ht="12.8" hidden="false" customHeight="false" outlineLevel="0" collapsed="false">
      <c r="A786" s="6" t="s">
        <v>5207</v>
      </c>
      <c r="B786" s="6" t="n">
        <v>142</v>
      </c>
      <c r="C786" s="6" t="n">
        <v>70</v>
      </c>
      <c r="D786" s="12" t="n">
        <f aca="false">C786/(B786+C786)*100</f>
        <v>33.0188679245283</v>
      </c>
      <c r="E786" s="6" t="n">
        <v>12</v>
      </c>
      <c r="F786" s="6" t="s">
        <v>5208</v>
      </c>
      <c r="G786" s="6" t="n">
        <v>23</v>
      </c>
      <c r="H786" s="6" t="s">
        <v>5209</v>
      </c>
      <c r="I786" s="6" t="n">
        <v>18</v>
      </c>
      <c r="J786" s="6" t="s">
        <v>5210</v>
      </c>
      <c r="K786" s="6" t="n">
        <v>10</v>
      </c>
      <c r="L786" s="6" t="s">
        <v>5211</v>
      </c>
      <c r="M786" s="6" t="n">
        <v>8</v>
      </c>
      <c r="N786" s="6" t="s">
        <v>5212</v>
      </c>
      <c r="O786" s="6" t="n">
        <v>6</v>
      </c>
      <c r="P786" s="6" t="s">
        <v>5213</v>
      </c>
      <c r="Q786" s="6" t="n">
        <v>2</v>
      </c>
      <c r="R786" s="6" t="s">
        <v>5214</v>
      </c>
      <c r="S786" s="6" t="n">
        <v>1</v>
      </c>
      <c r="T786" s="6" t="s">
        <v>5215</v>
      </c>
      <c r="U786" s="6" t="n">
        <v>1</v>
      </c>
      <c r="V786" s="6" t="s">
        <v>5216</v>
      </c>
      <c r="W786" s="6" t="n">
        <v>1</v>
      </c>
      <c r="X786" s="6" t="s">
        <v>5217</v>
      </c>
      <c r="Y786" s="6" t="n">
        <v>0</v>
      </c>
      <c r="Z786" s="6" t="s">
        <v>5218</v>
      </c>
      <c r="AA786" s="6" t="n">
        <v>0</v>
      </c>
      <c r="AB786" s="6" t="s">
        <v>5219</v>
      </c>
      <c r="AC786" s="6" t="n">
        <v>0</v>
      </c>
    </row>
    <row r="787" customFormat="false" ht="12.8" hidden="false" customHeight="false" outlineLevel="0" collapsed="false">
      <c r="A787" s="6" t="s">
        <v>5220</v>
      </c>
      <c r="B787" s="6" t="n">
        <v>143</v>
      </c>
      <c r="C787" s="6" t="n">
        <v>258</v>
      </c>
      <c r="D787" s="12" t="n">
        <f aca="false">C787/(B787+C787)*100</f>
        <v>64.3391521197007</v>
      </c>
      <c r="E787" s="6" t="n">
        <v>5</v>
      </c>
      <c r="F787" s="6" t="s">
        <v>5221</v>
      </c>
      <c r="G787" s="6" t="n">
        <v>250</v>
      </c>
      <c r="H787" s="6" t="s">
        <v>5222</v>
      </c>
      <c r="I787" s="6" t="n">
        <v>6</v>
      </c>
      <c r="J787" s="6" t="s">
        <v>5223</v>
      </c>
      <c r="K787" s="6" t="n">
        <v>2</v>
      </c>
      <c r="L787" s="6" t="s">
        <v>5224</v>
      </c>
      <c r="M787" s="6" t="n">
        <v>0</v>
      </c>
      <c r="N787" s="6" t="s">
        <v>5225</v>
      </c>
      <c r="O787" s="6" t="n">
        <v>0</v>
      </c>
    </row>
    <row r="788" customFormat="false" ht="12.8" hidden="false" customHeight="false" outlineLevel="0" collapsed="false">
      <c r="A788" s="6" t="s">
        <v>5226</v>
      </c>
      <c r="B788" s="6" t="n">
        <v>144</v>
      </c>
      <c r="C788" s="6" t="n">
        <v>346</v>
      </c>
      <c r="D788" s="12" t="n">
        <f aca="false">C788/(B788+C788)*100</f>
        <v>70.6122448979592</v>
      </c>
      <c r="E788" s="6" t="n">
        <v>5</v>
      </c>
      <c r="F788" s="6" t="s">
        <v>5227</v>
      </c>
      <c r="G788" s="6" t="n">
        <v>340</v>
      </c>
      <c r="H788" s="6" t="s">
        <v>5228</v>
      </c>
      <c r="I788" s="6" t="n">
        <v>5</v>
      </c>
      <c r="J788" s="6" t="s">
        <v>5229</v>
      </c>
      <c r="K788" s="6" t="n">
        <v>1</v>
      </c>
      <c r="L788" s="6" t="s">
        <v>5230</v>
      </c>
      <c r="M788" s="6" t="n">
        <v>0</v>
      </c>
      <c r="N788" s="6" t="s">
        <v>5231</v>
      </c>
      <c r="O788" s="6" t="n">
        <v>0</v>
      </c>
    </row>
    <row r="789" customFormat="false" ht="12.8" hidden="false" customHeight="false" outlineLevel="0" collapsed="false">
      <c r="A789" s="6" t="s">
        <v>5232</v>
      </c>
      <c r="B789" s="6" t="n">
        <v>145</v>
      </c>
      <c r="C789" s="6" t="n">
        <v>25</v>
      </c>
      <c r="D789" s="12" t="n">
        <f aca="false">C789/(B789+C789)*100</f>
        <v>14.7058823529412</v>
      </c>
      <c r="E789" s="6" t="n">
        <v>6</v>
      </c>
      <c r="F789" s="6" t="s">
        <v>5233</v>
      </c>
      <c r="G789" s="6" t="n">
        <v>17</v>
      </c>
      <c r="H789" s="6" t="s">
        <v>5234</v>
      </c>
      <c r="I789" s="6" t="n">
        <v>4</v>
      </c>
      <c r="J789" s="6" t="s">
        <v>5235</v>
      </c>
      <c r="K789" s="6" t="n">
        <v>2</v>
      </c>
      <c r="L789" s="6" t="s">
        <v>5236</v>
      </c>
      <c r="M789" s="6" t="n">
        <v>2</v>
      </c>
      <c r="N789" s="6" t="s">
        <v>5237</v>
      </c>
      <c r="O789" s="6" t="n">
        <v>0</v>
      </c>
      <c r="P789" s="6" t="s">
        <v>5238</v>
      </c>
      <c r="Q789" s="6" t="n">
        <v>0</v>
      </c>
    </row>
    <row r="790" customFormat="false" ht="12.8" hidden="false" customHeight="false" outlineLevel="0" collapsed="false">
      <c r="A790" s="6" t="s">
        <v>5239</v>
      </c>
      <c r="B790" s="6" t="n">
        <v>146</v>
      </c>
      <c r="C790" s="6" t="n">
        <v>2862</v>
      </c>
      <c r="D790" s="12" t="n">
        <f aca="false">C790/(B790+C790)*100</f>
        <v>95.1462765957447</v>
      </c>
      <c r="E790" s="6" t="n">
        <v>40</v>
      </c>
      <c r="F790" s="6" t="s">
        <v>5240</v>
      </c>
      <c r="G790" s="6" t="n">
        <v>690</v>
      </c>
      <c r="H790" s="6" t="s">
        <v>5241</v>
      </c>
      <c r="I790" s="6" t="n">
        <v>520</v>
      </c>
      <c r="J790" s="6" t="s">
        <v>5242</v>
      </c>
      <c r="K790" s="6" t="n">
        <v>456</v>
      </c>
      <c r="L790" s="6" t="s">
        <v>5243</v>
      </c>
      <c r="M790" s="6" t="n">
        <v>417</v>
      </c>
      <c r="N790" s="6" t="s">
        <v>5244</v>
      </c>
      <c r="O790" s="6" t="n">
        <v>126</v>
      </c>
      <c r="P790" s="6" t="s">
        <v>5245</v>
      </c>
      <c r="Q790" s="6" t="n">
        <v>116</v>
      </c>
      <c r="R790" s="6" t="s">
        <v>5246</v>
      </c>
      <c r="S790" s="6" t="n">
        <v>113</v>
      </c>
      <c r="T790" s="6" t="s">
        <v>5247</v>
      </c>
      <c r="U790" s="6" t="n">
        <v>107</v>
      </c>
      <c r="V790" s="6" t="s">
        <v>5248</v>
      </c>
      <c r="W790" s="6" t="n">
        <v>105</v>
      </c>
      <c r="X790" s="6" t="s">
        <v>5249</v>
      </c>
      <c r="Y790" s="6" t="n">
        <v>54</v>
      </c>
      <c r="Z790" s="6" t="s">
        <v>5250</v>
      </c>
      <c r="AA790" s="6" t="n">
        <v>47</v>
      </c>
      <c r="AB790" s="6" t="s">
        <v>5251</v>
      </c>
      <c r="AC790" s="6" t="n">
        <v>25</v>
      </c>
      <c r="AD790" s="6" t="s">
        <v>5252</v>
      </c>
      <c r="AE790" s="6" t="n">
        <v>15</v>
      </c>
      <c r="AF790" s="6" t="s">
        <v>5253</v>
      </c>
      <c r="AG790" s="6" t="n">
        <v>12</v>
      </c>
      <c r="AH790" s="6" t="s">
        <v>5254</v>
      </c>
      <c r="AI790" s="6" t="n">
        <v>12</v>
      </c>
      <c r="AJ790" s="6" t="s">
        <v>5255</v>
      </c>
      <c r="AK790" s="6" t="n">
        <v>8</v>
      </c>
      <c r="AL790" s="6" t="s">
        <v>5256</v>
      </c>
      <c r="AM790" s="6" t="n">
        <v>8</v>
      </c>
      <c r="AN790" s="6" t="s">
        <v>5257</v>
      </c>
      <c r="AO790" s="6" t="n">
        <v>5</v>
      </c>
      <c r="AP790" s="6" t="s">
        <v>5258</v>
      </c>
      <c r="AQ790" s="6" t="n">
        <v>4</v>
      </c>
      <c r="AR790" s="6" t="s">
        <v>5259</v>
      </c>
      <c r="AS790" s="6" t="n">
        <v>3</v>
      </c>
      <c r="AT790" s="6" t="s">
        <v>5260</v>
      </c>
      <c r="AU790" s="6" t="n">
        <v>2</v>
      </c>
      <c r="AV790" s="6" t="s">
        <v>5261</v>
      </c>
      <c r="AW790" s="6" t="n">
        <v>2</v>
      </c>
      <c r="AX790" s="6" t="s">
        <v>5262</v>
      </c>
      <c r="AY790" s="6" t="n">
        <v>2</v>
      </c>
      <c r="AZ790" s="6" t="s">
        <v>5263</v>
      </c>
      <c r="BA790" s="6" t="n">
        <v>2</v>
      </c>
      <c r="BB790" s="6" t="s">
        <v>5264</v>
      </c>
      <c r="BC790" s="6" t="n">
        <v>2</v>
      </c>
      <c r="BD790" s="6" t="s">
        <v>5265</v>
      </c>
      <c r="BE790" s="6" t="n">
        <v>1</v>
      </c>
      <c r="BF790" s="6" t="s">
        <v>5266</v>
      </c>
      <c r="BG790" s="6" t="n">
        <v>1</v>
      </c>
      <c r="BH790" s="6" t="s">
        <v>5267</v>
      </c>
      <c r="BI790" s="6" t="n">
        <v>1</v>
      </c>
      <c r="BJ790" s="6" t="s">
        <v>5268</v>
      </c>
      <c r="BK790" s="6" t="n">
        <v>1</v>
      </c>
      <c r="BL790" s="6" t="s">
        <v>5269</v>
      </c>
      <c r="BM790" s="6" t="n">
        <v>1</v>
      </c>
      <c r="BN790" s="6" t="s">
        <v>5270</v>
      </c>
      <c r="BO790" s="6" t="n">
        <v>1</v>
      </c>
      <c r="BP790" s="6" t="s">
        <v>5271</v>
      </c>
      <c r="BQ790" s="6" t="n">
        <v>1</v>
      </c>
      <c r="BR790" s="6" t="s">
        <v>5272</v>
      </c>
      <c r="BS790" s="6" t="n">
        <v>1</v>
      </c>
      <c r="BT790" s="6" t="s">
        <v>5273</v>
      </c>
      <c r="BU790" s="6" t="n">
        <v>1</v>
      </c>
      <c r="BV790" s="6" t="s">
        <v>5274</v>
      </c>
      <c r="BW790" s="6" t="n">
        <v>0</v>
      </c>
      <c r="BX790" s="6" t="s">
        <v>5275</v>
      </c>
      <c r="BY790" s="6" t="n">
        <v>0</v>
      </c>
      <c r="BZ790" s="6" t="s">
        <v>5276</v>
      </c>
      <c r="CA790" s="6" t="n">
        <v>0</v>
      </c>
      <c r="CB790" s="6" t="s">
        <v>5277</v>
      </c>
      <c r="CC790" s="6" t="n">
        <v>0</v>
      </c>
      <c r="CD790" s="6" t="s">
        <v>5278</v>
      </c>
      <c r="CE790" s="6" t="n">
        <v>0</v>
      </c>
      <c r="CF790" s="6" t="s">
        <v>5279</v>
      </c>
      <c r="CG790" s="6" t="n">
        <v>0</v>
      </c>
    </row>
    <row r="791" customFormat="false" ht="12.8" hidden="false" customHeight="false" outlineLevel="0" collapsed="false">
      <c r="A791" s="6" t="s">
        <v>5280</v>
      </c>
      <c r="B791" s="6" t="n">
        <v>146</v>
      </c>
      <c r="C791" s="6" t="n">
        <v>167</v>
      </c>
      <c r="D791" s="12" t="n">
        <f aca="false">C791/(B791+C791)*100</f>
        <v>53.3546325878594</v>
      </c>
      <c r="E791" s="6" t="n">
        <v>10</v>
      </c>
      <c r="F791" s="6" t="s">
        <v>5281</v>
      </c>
      <c r="G791" s="6" t="n">
        <v>125</v>
      </c>
      <c r="H791" s="6" t="s">
        <v>5282</v>
      </c>
      <c r="I791" s="6" t="n">
        <v>36</v>
      </c>
      <c r="J791" s="6" t="s">
        <v>5283</v>
      </c>
      <c r="K791" s="6" t="n">
        <v>1</v>
      </c>
      <c r="L791" s="6" t="s">
        <v>5284</v>
      </c>
      <c r="M791" s="6" t="n">
        <v>1</v>
      </c>
      <c r="N791" s="6" t="s">
        <v>5285</v>
      </c>
      <c r="O791" s="6" t="n">
        <v>1</v>
      </c>
      <c r="P791" s="6" t="s">
        <v>5286</v>
      </c>
      <c r="Q791" s="6" t="n">
        <v>1</v>
      </c>
      <c r="R791" s="6" t="s">
        <v>5287</v>
      </c>
      <c r="S791" s="6" t="n">
        <v>1</v>
      </c>
      <c r="T791" s="6" t="s">
        <v>5288</v>
      </c>
      <c r="U791" s="6" t="n">
        <v>1</v>
      </c>
      <c r="V791" s="6" t="s">
        <v>5289</v>
      </c>
      <c r="W791" s="6" t="n">
        <v>0</v>
      </c>
      <c r="X791" s="6" t="s">
        <v>5290</v>
      </c>
      <c r="Y791" s="6" t="n">
        <v>0</v>
      </c>
    </row>
    <row r="792" customFormat="false" ht="12.8" hidden="false" customHeight="false" outlineLevel="0" collapsed="false">
      <c r="A792" s="6" t="s">
        <v>5291</v>
      </c>
      <c r="B792" s="6" t="n">
        <v>146</v>
      </c>
      <c r="C792" s="6" t="n">
        <v>58</v>
      </c>
      <c r="D792" s="12" t="n">
        <f aca="false">C792/(B792+C792)*100</f>
        <v>28.4313725490196</v>
      </c>
      <c r="E792" s="6" t="n">
        <v>9</v>
      </c>
      <c r="F792" s="6" t="s">
        <v>5292</v>
      </c>
      <c r="G792" s="6" t="n">
        <v>27</v>
      </c>
      <c r="H792" s="6" t="s">
        <v>5293</v>
      </c>
      <c r="I792" s="6" t="n">
        <v>14</v>
      </c>
      <c r="J792" s="6" t="s">
        <v>5294</v>
      </c>
      <c r="K792" s="6" t="n">
        <v>8</v>
      </c>
      <c r="L792" s="6" t="s">
        <v>5295</v>
      </c>
      <c r="M792" s="6" t="n">
        <v>3</v>
      </c>
      <c r="N792" s="6" t="s">
        <v>5296</v>
      </c>
      <c r="O792" s="6" t="n">
        <v>2</v>
      </c>
      <c r="P792" s="6" t="s">
        <v>5297</v>
      </c>
      <c r="Q792" s="6" t="n">
        <v>1</v>
      </c>
      <c r="R792" s="6" t="s">
        <v>5298</v>
      </c>
      <c r="S792" s="6" t="n">
        <v>1</v>
      </c>
      <c r="T792" s="6" t="s">
        <v>5299</v>
      </c>
      <c r="U792" s="6" t="n">
        <v>1</v>
      </c>
      <c r="V792" s="6" t="s">
        <v>5300</v>
      </c>
      <c r="W792" s="6" t="n">
        <v>1</v>
      </c>
    </row>
    <row r="793" customFormat="false" ht="12.8" hidden="false" customHeight="false" outlineLevel="0" collapsed="false">
      <c r="A793" s="6" t="s">
        <v>5301</v>
      </c>
      <c r="B793" s="6" t="n">
        <v>147</v>
      </c>
      <c r="C793" s="6" t="n">
        <v>36</v>
      </c>
      <c r="D793" s="12" t="n">
        <f aca="false">C793/(B793+C793)*100</f>
        <v>19.672131147541</v>
      </c>
      <c r="E793" s="6" t="n">
        <v>8</v>
      </c>
      <c r="F793" s="6" t="s">
        <v>5302</v>
      </c>
      <c r="G793" s="6" t="n">
        <v>22</v>
      </c>
      <c r="H793" s="6" t="s">
        <v>5303</v>
      </c>
      <c r="I793" s="6" t="n">
        <v>8</v>
      </c>
      <c r="J793" s="6" t="s">
        <v>5304</v>
      </c>
      <c r="K793" s="6" t="n">
        <v>2</v>
      </c>
      <c r="L793" s="6" t="s">
        <v>5305</v>
      </c>
      <c r="M793" s="6" t="n">
        <v>1</v>
      </c>
      <c r="N793" s="6" t="s">
        <v>5306</v>
      </c>
      <c r="O793" s="6" t="n">
        <v>1</v>
      </c>
      <c r="P793" s="6" t="s">
        <v>5307</v>
      </c>
      <c r="Q793" s="6" t="n">
        <v>1</v>
      </c>
      <c r="R793" s="6" t="s">
        <v>5308</v>
      </c>
      <c r="S793" s="6" t="n">
        <v>1</v>
      </c>
      <c r="T793" s="6" t="s">
        <v>5309</v>
      </c>
      <c r="U793" s="6" t="n">
        <v>0</v>
      </c>
    </row>
    <row r="794" customFormat="false" ht="12.8" hidden="false" customHeight="false" outlineLevel="0" collapsed="false">
      <c r="A794" s="6" t="s">
        <v>5310</v>
      </c>
      <c r="B794" s="6" t="n">
        <v>149</v>
      </c>
      <c r="C794" s="6" t="n">
        <v>309</v>
      </c>
      <c r="D794" s="12" t="n">
        <f aca="false">C794/(B794+C794)*100</f>
        <v>67.4672489082969</v>
      </c>
      <c r="E794" s="6" t="n">
        <v>28</v>
      </c>
      <c r="F794" s="6" t="s">
        <v>5311</v>
      </c>
      <c r="G794" s="6" t="n">
        <v>147</v>
      </c>
      <c r="H794" s="6" t="s">
        <v>5312</v>
      </c>
      <c r="I794" s="6" t="n">
        <v>74</v>
      </c>
      <c r="J794" s="6" t="s">
        <v>5313</v>
      </c>
      <c r="K794" s="6" t="n">
        <v>20</v>
      </c>
      <c r="L794" s="6" t="s">
        <v>5314</v>
      </c>
      <c r="M794" s="6" t="n">
        <v>17</v>
      </c>
      <c r="N794" s="6" t="s">
        <v>5315</v>
      </c>
      <c r="O794" s="6" t="n">
        <v>11</v>
      </c>
      <c r="P794" s="6" t="s">
        <v>5316</v>
      </c>
      <c r="Q794" s="6" t="n">
        <v>7</v>
      </c>
      <c r="R794" s="6" t="s">
        <v>5317</v>
      </c>
      <c r="S794" s="6" t="n">
        <v>5</v>
      </c>
      <c r="T794" s="6" t="s">
        <v>5318</v>
      </c>
      <c r="U794" s="6" t="n">
        <v>4</v>
      </c>
      <c r="V794" s="6" t="s">
        <v>5319</v>
      </c>
      <c r="W794" s="6" t="n">
        <v>4</v>
      </c>
      <c r="X794" s="6" t="s">
        <v>5320</v>
      </c>
      <c r="Y794" s="6" t="n">
        <v>3</v>
      </c>
      <c r="Z794" s="6" t="s">
        <v>5321</v>
      </c>
      <c r="AA794" s="6" t="n">
        <v>2</v>
      </c>
      <c r="AB794" s="6" t="s">
        <v>5322</v>
      </c>
      <c r="AC794" s="6" t="n">
        <v>2</v>
      </c>
      <c r="AD794" s="6" t="s">
        <v>5323</v>
      </c>
      <c r="AE794" s="6" t="n">
        <v>2</v>
      </c>
      <c r="AF794" s="6" t="s">
        <v>5324</v>
      </c>
      <c r="AG794" s="6" t="n">
        <v>2</v>
      </c>
      <c r="AH794" s="6" t="s">
        <v>5325</v>
      </c>
      <c r="AI794" s="6" t="n">
        <v>2</v>
      </c>
      <c r="AJ794" s="6" t="s">
        <v>5326</v>
      </c>
      <c r="AK794" s="6" t="n">
        <v>2</v>
      </c>
      <c r="AL794" s="6" t="s">
        <v>5327</v>
      </c>
      <c r="AM794" s="6" t="n">
        <v>1</v>
      </c>
      <c r="AN794" s="6" t="s">
        <v>5328</v>
      </c>
      <c r="AO794" s="6" t="n">
        <v>1</v>
      </c>
      <c r="AP794" s="6" t="s">
        <v>5329</v>
      </c>
      <c r="AQ794" s="6" t="n">
        <v>1</v>
      </c>
      <c r="AR794" s="6" t="s">
        <v>5330</v>
      </c>
      <c r="AS794" s="6" t="n">
        <v>1</v>
      </c>
      <c r="AT794" s="6" t="s">
        <v>5331</v>
      </c>
      <c r="AU794" s="6" t="n">
        <v>1</v>
      </c>
      <c r="AV794" s="6" t="s">
        <v>5332</v>
      </c>
      <c r="AW794" s="6" t="n">
        <v>0</v>
      </c>
      <c r="AX794" s="6" t="s">
        <v>5333</v>
      </c>
      <c r="AY794" s="6" t="n">
        <v>0</v>
      </c>
      <c r="AZ794" s="6" t="s">
        <v>5334</v>
      </c>
      <c r="BA794" s="6" t="n">
        <v>0</v>
      </c>
      <c r="BB794" s="6" t="s">
        <v>5335</v>
      </c>
      <c r="BC794" s="6" t="n">
        <v>0</v>
      </c>
      <c r="BD794" s="6" t="s">
        <v>5336</v>
      </c>
      <c r="BE794" s="6" t="n">
        <v>0</v>
      </c>
      <c r="BF794" s="6" t="s">
        <v>5337</v>
      </c>
      <c r="BG794" s="6" t="n">
        <v>0</v>
      </c>
      <c r="BH794" s="6" t="s">
        <v>5338</v>
      </c>
      <c r="BI794" s="6" t="n">
        <v>0</v>
      </c>
    </row>
    <row r="795" customFormat="false" ht="12.8" hidden="false" customHeight="false" outlineLevel="0" collapsed="false">
      <c r="A795" s="6" t="s">
        <v>5339</v>
      </c>
      <c r="B795" s="6" t="n">
        <v>150</v>
      </c>
      <c r="C795" s="6" t="n">
        <v>9</v>
      </c>
      <c r="D795" s="12" t="n">
        <f aca="false">C795/(B795+C795)*100</f>
        <v>5.66037735849057</v>
      </c>
      <c r="E795" s="6" t="n">
        <v>3</v>
      </c>
      <c r="F795" s="6" t="s">
        <v>5340</v>
      </c>
      <c r="G795" s="6" t="n">
        <v>7</v>
      </c>
      <c r="H795" s="6" t="s">
        <v>5341</v>
      </c>
      <c r="I795" s="6" t="n">
        <v>1</v>
      </c>
      <c r="J795" s="6" t="s">
        <v>5342</v>
      </c>
      <c r="K795" s="6" t="n">
        <v>1</v>
      </c>
    </row>
    <row r="796" customFormat="false" ht="12.8" hidden="false" customHeight="false" outlineLevel="0" collapsed="false">
      <c r="A796" s="6" t="s">
        <v>5343</v>
      </c>
      <c r="B796" s="6" t="n">
        <v>151</v>
      </c>
      <c r="C796" s="6" t="n">
        <v>110</v>
      </c>
      <c r="D796" s="12" t="n">
        <f aca="false">C796/(B796+C796)*100</f>
        <v>42.1455938697318</v>
      </c>
      <c r="E796" s="6" t="n">
        <v>8</v>
      </c>
      <c r="F796" s="6" t="s">
        <v>5344</v>
      </c>
      <c r="G796" s="6" t="n">
        <v>83</v>
      </c>
      <c r="H796" s="6" t="s">
        <v>5345</v>
      </c>
      <c r="I796" s="6" t="n">
        <v>12</v>
      </c>
      <c r="J796" s="6" t="s">
        <v>5346</v>
      </c>
      <c r="K796" s="6" t="n">
        <v>5</v>
      </c>
      <c r="L796" s="6" t="s">
        <v>5347</v>
      </c>
      <c r="M796" s="6" t="n">
        <v>4</v>
      </c>
      <c r="N796" s="6" t="s">
        <v>5348</v>
      </c>
      <c r="O796" s="6" t="n">
        <v>4</v>
      </c>
      <c r="P796" s="6" t="s">
        <v>5349</v>
      </c>
      <c r="Q796" s="6" t="n">
        <v>1</v>
      </c>
      <c r="R796" s="6" t="s">
        <v>5350</v>
      </c>
      <c r="S796" s="6" t="n">
        <v>1</v>
      </c>
      <c r="T796" s="6" t="s">
        <v>5351</v>
      </c>
      <c r="U796" s="6" t="n">
        <v>0</v>
      </c>
    </row>
    <row r="797" customFormat="false" ht="12.8" hidden="false" customHeight="false" outlineLevel="0" collapsed="false">
      <c r="A797" s="6" t="s">
        <v>5352</v>
      </c>
      <c r="B797" s="6" t="n">
        <v>151</v>
      </c>
      <c r="C797" s="6" t="n">
        <v>3</v>
      </c>
      <c r="D797" s="12" t="n">
        <f aca="false">C797/(B797+C797)*100</f>
        <v>1.94805194805195</v>
      </c>
      <c r="E797" s="6" t="n">
        <v>2</v>
      </c>
      <c r="F797" s="6" t="s">
        <v>5353</v>
      </c>
      <c r="G797" s="6" t="n">
        <v>2</v>
      </c>
      <c r="H797" s="6" t="s">
        <v>5354</v>
      </c>
      <c r="I797" s="6" t="n">
        <v>1</v>
      </c>
    </row>
    <row r="798" customFormat="false" ht="12.8" hidden="false" customHeight="false" outlineLevel="0" collapsed="false">
      <c r="A798" s="6" t="s">
        <v>5355</v>
      </c>
      <c r="B798" s="6" t="n">
        <v>152</v>
      </c>
      <c r="C798" s="6" t="n">
        <v>53</v>
      </c>
      <c r="D798" s="12" t="n">
        <f aca="false">C798/(B798+C798)*100</f>
        <v>25.8536585365854</v>
      </c>
      <c r="E798" s="6" t="n">
        <v>11</v>
      </c>
      <c r="F798" s="6" t="s">
        <v>5356</v>
      </c>
      <c r="G798" s="6" t="n">
        <v>14</v>
      </c>
      <c r="H798" s="6" t="s">
        <v>5357</v>
      </c>
      <c r="I798" s="6" t="n">
        <v>12</v>
      </c>
      <c r="J798" s="6" t="s">
        <v>5358</v>
      </c>
      <c r="K798" s="6" t="n">
        <v>7</v>
      </c>
      <c r="L798" s="6" t="s">
        <v>5359</v>
      </c>
      <c r="M798" s="6" t="n">
        <v>6</v>
      </c>
      <c r="N798" s="6" t="s">
        <v>5360</v>
      </c>
      <c r="O798" s="6" t="n">
        <v>4</v>
      </c>
      <c r="P798" s="6" t="s">
        <v>5361</v>
      </c>
      <c r="Q798" s="6" t="n">
        <v>3</v>
      </c>
      <c r="R798" s="6" t="s">
        <v>5362</v>
      </c>
      <c r="S798" s="6" t="n">
        <v>3</v>
      </c>
      <c r="T798" s="6" t="s">
        <v>5363</v>
      </c>
      <c r="U798" s="6" t="n">
        <v>2</v>
      </c>
      <c r="V798" s="6" t="s">
        <v>5364</v>
      </c>
      <c r="W798" s="6" t="n">
        <v>1</v>
      </c>
      <c r="X798" s="6" t="s">
        <v>5365</v>
      </c>
      <c r="Y798" s="6" t="n">
        <v>1</v>
      </c>
      <c r="Z798" s="6" t="s">
        <v>5366</v>
      </c>
      <c r="AA798" s="6" t="n">
        <v>0</v>
      </c>
    </row>
    <row r="799" customFormat="false" ht="12.8" hidden="false" customHeight="false" outlineLevel="0" collapsed="false">
      <c r="A799" s="6" t="s">
        <v>5367</v>
      </c>
      <c r="B799" s="6" t="n">
        <v>152</v>
      </c>
      <c r="C799" s="6" t="n">
        <v>35</v>
      </c>
      <c r="D799" s="12" t="n">
        <f aca="false">C799/(B799+C799)*100</f>
        <v>18.716577540107</v>
      </c>
      <c r="E799" s="6" t="n">
        <v>20</v>
      </c>
      <c r="F799" s="6" t="s">
        <v>5368</v>
      </c>
      <c r="G799" s="6" t="n">
        <v>9</v>
      </c>
      <c r="H799" s="6" t="s">
        <v>5369</v>
      </c>
      <c r="I799" s="6" t="n">
        <v>6</v>
      </c>
      <c r="J799" s="6" t="s">
        <v>5370</v>
      </c>
      <c r="K799" s="6" t="n">
        <v>5</v>
      </c>
      <c r="L799" s="6" t="s">
        <v>5371</v>
      </c>
      <c r="M799" s="6" t="n">
        <v>4</v>
      </c>
      <c r="N799" s="6" t="s">
        <v>5372</v>
      </c>
      <c r="O799" s="6" t="n">
        <v>4</v>
      </c>
      <c r="P799" s="6" t="s">
        <v>5373</v>
      </c>
      <c r="Q799" s="6" t="n">
        <v>2</v>
      </c>
      <c r="R799" s="6" t="s">
        <v>5374</v>
      </c>
      <c r="S799" s="6" t="n">
        <v>1</v>
      </c>
      <c r="T799" s="6" t="s">
        <v>5375</v>
      </c>
      <c r="U799" s="6" t="n">
        <v>1</v>
      </c>
      <c r="V799" s="6" t="s">
        <v>5376</v>
      </c>
      <c r="W799" s="6" t="n">
        <v>1</v>
      </c>
      <c r="X799" s="6" t="s">
        <v>5377</v>
      </c>
      <c r="Y799" s="6" t="n">
        <v>1</v>
      </c>
      <c r="Z799" s="6" t="s">
        <v>5378</v>
      </c>
      <c r="AA799" s="6" t="n">
        <v>1</v>
      </c>
      <c r="AB799" s="6" t="s">
        <v>5379</v>
      </c>
      <c r="AC799" s="6" t="n">
        <v>0</v>
      </c>
      <c r="AD799" s="6" t="s">
        <v>5380</v>
      </c>
      <c r="AE799" s="6" t="n">
        <v>0</v>
      </c>
      <c r="AF799" s="6" t="s">
        <v>5381</v>
      </c>
      <c r="AG799" s="6" t="n">
        <v>0</v>
      </c>
      <c r="AH799" s="6" t="s">
        <v>5382</v>
      </c>
      <c r="AI799" s="6" t="n">
        <v>0</v>
      </c>
      <c r="AJ799" s="6" t="s">
        <v>5383</v>
      </c>
      <c r="AK799" s="6" t="n">
        <v>0</v>
      </c>
      <c r="AL799" s="6" t="s">
        <v>5384</v>
      </c>
      <c r="AM799" s="6" t="n">
        <v>0</v>
      </c>
      <c r="AN799" s="6" t="s">
        <v>5385</v>
      </c>
      <c r="AO799" s="6" t="n">
        <v>0</v>
      </c>
      <c r="AP799" s="6" t="s">
        <v>5386</v>
      </c>
      <c r="AQ799" s="6" t="n">
        <v>0</v>
      </c>
      <c r="AR799" s="6" t="s">
        <v>5387</v>
      </c>
      <c r="AS799" s="6" t="n">
        <v>0</v>
      </c>
    </row>
    <row r="800" customFormat="false" ht="12.8" hidden="false" customHeight="false" outlineLevel="0" collapsed="false">
      <c r="A800" s="6" t="s">
        <v>5388</v>
      </c>
      <c r="B800" s="6" t="n">
        <v>153</v>
      </c>
      <c r="C800" s="6" t="n">
        <v>155</v>
      </c>
      <c r="D800" s="12" t="n">
        <f aca="false">C800/(B800+C800)*100</f>
        <v>50.3246753246753</v>
      </c>
      <c r="E800" s="6" t="n">
        <v>12</v>
      </c>
      <c r="F800" s="6" t="s">
        <v>5389</v>
      </c>
      <c r="G800" s="6" t="n">
        <v>63</v>
      </c>
      <c r="H800" s="6" t="s">
        <v>5390</v>
      </c>
      <c r="I800" s="6" t="n">
        <v>56</v>
      </c>
      <c r="J800" s="6" t="s">
        <v>5391</v>
      </c>
      <c r="K800" s="6" t="n">
        <v>10</v>
      </c>
      <c r="L800" s="6" t="s">
        <v>5392</v>
      </c>
      <c r="M800" s="6" t="n">
        <v>9</v>
      </c>
      <c r="N800" s="6" t="s">
        <v>5393</v>
      </c>
      <c r="O800" s="6" t="n">
        <v>6</v>
      </c>
      <c r="P800" s="6" t="s">
        <v>5394</v>
      </c>
      <c r="Q800" s="6" t="n">
        <v>3</v>
      </c>
      <c r="R800" s="6" t="s">
        <v>5395</v>
      </c>
      <c r="S800" s="6" t="n">
        <v>3</v>
      </c>
      <c r="T800" s="6" t="s">
        <v>5396</v>
      </c>
      <c r="U800" s="6" t="n">
        <v>1</v>
      </c>
      <c r="V800" s="6" t="s">
        <v>5397</v>
      </c>
      <c r="W800" s="6" t="n">
        <v>1</v>
      </c>
      <c r="X800" s="6" t="s">
        <v>5398</v>
      </c>
      <c r="Y800" s="6" t="n">
        <v>1</v>
      </c>
      <c r="Z800" s="6" t="s">
        <v>5399</v>
      </c>
      <c r="AA800" s="6" t="n">
        <v>1</v>
      </c>
      <c r="AB800" s="6" t="s">
        <v>5400</v>
      </c>
      <c r="AC800" s="6" t="n">
        <v>1</v>
      </c>
    </row>
    <row r="801" customFormat="false" ht="12.8" hidden="false" customHeight="false" outlineLevel="0" collapsed="false">
      <c r="A801" s="6" t="s">
        <v>5401</v>
      </c>
      <c r="B801" s="6" t="n">
        <v>156</v>
      </c>
      <c r="C801" s="6" t="n">
        <v>30</v>
      </c>
      <c r="D801" s="12" t="n">
        <f aca="false">C801/(B801+C801)*100</f>
        <v>16.1290322580645</v>
      </c>
      <c r="E801" s="6" t="n">
        <v>5</v>
      </c>
      <c r="F801" s="6" t="s">
        <v>5402</v>
      </c>
      <c r="G801" s="6" t="n">
        <v>28</v>
      </c>
      <c r="H801" s="6" t="s">
        <v>5403</v>
      </c>
      <c r="I801" s="6" t="n">
        <v>1</v>
      </c>
      <c r="J801" s="6" t="s">
        <v>5404</v>
      </c>
      <c r="K801" s="6" t="n">
        <v>1</v>
      </c>
      <c r="L801" s="6" t="s">
        <v>5405</v>
      </c>
      <c r="M801" s="6" t="n">
        <v>0</v>
      </c>
      <c r="N801" s="6" t="s">
        <v>5406</v>
      </c>
      <c r="O801" s="6" t="n">
        <v>0</v>
      </c>
    </row>
    <row r="802" customFormat="false" ht="12.8" hidden="false" customHeight="false" outlineLevel="0" collapsed="false">
      <c r="A802" s="6" t="s">
        <v>5407</v>
      </c>
      <c r="B802" s="6" t="n">
        <v>158</v>
      </c>
      <c r="C802" s="6" t="n">
        <v>5</v>
      </c>
      <c r="D802" s="12" t="n">
        <f aca="false">C802/(B802+C802)*100</f>
        <v>3.06748466257669</v>
      </c>
      <c r="E802" s="6" t="n">
        <v>3</v>
      </c>
      <c r="F802" s="6" t="s">
        <v>5408</v>
      </c>
      <c r="G802" s="6" t="n">
        <v>2</v>
      </c>
      <c r="H802" s="6" t="s">
        <v>5409</v>
      </c>
      <c r="I802" s="6" t="n">
        <v>2</v>
      </c>
      <c r="J802" s="6" t="s">
        <v>5410</v>
      </c>
      <c r="K802" s="6" t="n">
        <v>1</v>
      </c>
    </row>
    <row r="803" customFormat="false" ht="12.8" hidden="false" customHeight="false" outlineLevel="0" collapsed="false">
      <c r="A803" s="6" t="s">
        <v>5411</v>
      </c>
      <c r="B803" s="6" t="n">
        <v>159</v>
      </c>
      <c r="C803" s="6" t="n">
        <v>116</v>
      </c>
      <c r="D803" s="12" t="n">
        <f aca="false">C803/(B803+C803)*100</f>
        <v>42.1818181818182</v>
      </c>
      <c r="E803" s="6" t="n">
        <v>4</v>
      </c>
      <c r="F803" s="6" t="s">
        <v>5412</v>
      </c>
      <c r="G803" s="6" t="n">
        <v>109</v>
      </c>
      <c r="H803" s="6" t="s">
        <v>5413</v>
      </c>
      <c r="I803" s="6" t="n">
        <v>6</v>
      </c>
      <c r="J803" s="6" t="s">
        <v>5414</v>
      </c>
      <c r="K803" s="6" t="n">
        <v>1</v>
      </c>
      <c r="L803" s="6" t="s">
        <v>5415</v>
      </c>
      <c r="M803" s="6" t="n">
        <v>0</v>
      </c>
    </row>
    <row r="804" customFormat="false" ht="12.8" hidden="false" customHeight="false" outlineLevel="0" collapsed="false">
      <c r="A804" s="6" t="s">
        <v>5416</v>
      </c>
      <c r="B804" s="6" t="n">
        <v>161</v>
      </c>
      <c r="C804" s="6" t="n">
        <v>28</v>
      </c>
      <c r="D804" s="12" t="n">
        <f aca="false">C804/(B804+C804)*100</f>
        <v>14.8148148148148</v>
      </c>
      <c r="E804" s="6" t="n">
        <v>9</v>
      </c>
      <c r="F804" s="6" t="s">
        <v>5417</v>
      </c>
      <c r="G804" s="6" t="n">
        <v>10</v>
      </c>
      <c r="H804" s="6" t="s">
        <v>5418</v>
      </c>
      <c r="I804" s="6" t="n">
        <v>9</v>
      </c>
      <c r="J804" s="6" t="s">
        <v>5419</v>
      </c>
      <c r="K804" s="6" t="n">
        <v>4</v>
      </c>
      <c r="L804" s="6" t="s">
        <v>5420</v>
      </c>
      <c r="M804" s="6" t="n">
        <v>3</v>
      </c>
      <c r="N804" s="6" t="s">
        <v>5421</v>
      </c>
      <c r="O804" s="6" t="n">
        <v>1</v>
      </c>
      <c r="P804" s="6" t="s">
        <v>5422</v>
      </c>
      <c r="Q804" s="6" t="n">
        <v>1</v>
      </c>
      <c r="R804" s="6" t="s">
        <v>5423</v>
      </c>
      <c r="S804" s="6" t="n">
        <v>0</v>
      </c>
      <c r="T804" s="6" t="s">
        <v>5424</v>
      </c>
      <c r="U804" s="6" t="n">
        <v>0</v>
      </c>
      <c r="V804" s="6" t="s">
        <v>5425</v>
      </c>
      <c r="W804" s="6" t="n">
        <v>0</v>
      </c>
    </row>
    <row r="805" customFormat="false" ht="12.8" hidden="false" customHeight="false" outlineLevel="0" collapsed="false">
      <c r="A805" s="6" t="s">
        <v>5426</v>
      </c>
      <c r="B805" s="6" t="n">
        <v>162</v>
      </c>
      <c r="C805" s="6" t="n">
        <v>1</v>
      </c>
      <c r="D805" s="12" t="n">
        <f aca="false">C805/(B805+C805)*100</f>
        <v>0.613496932515337</v>
      </c>
      <c r="E805" s="6" t="n">
        <v>1</v>
      </c>
      <c r="F805" s="6" t="s">
        <v>5427</v>
      </c>
      <c r="G805" s="6" t="n">
        <v>1</v>
      </c>
    </row>
    <row r="806" customFormat="false" ht="12.8" hidden="false" customHeight="false" outlineLevel="0" collapsed="false">
      <c r="A806" s="6" t="s">
        <v>5428</v>
      </c>
      <c r="B806" s="6" t="n">
        <v>163</v>
      </c>
      <c r="C806" s="6" t="n">
        <v>14</v>
      </c>
      <c r="D806" s="12" t="n">
        <f aca="false">C806/(B806+C806)*100</f>
        <v>7.90960451977401</v>
      </c>
      <c r="E806" s="6" t="n">
        <v>6</v>
      </c>
      <c r="F806" s="6" t="s">
        <v>5429</v>
      </c>
      <c r="G806" s="6" t="n">
        <v>5</v>
      </c>
      <c r="H806" s="6" t="s">
        <v>5430</v>
      </c>
      <c r="I806" s="6" t="n">
        <v>4</v>
      </c>
      <c r="J806" s="6" t="s">
        <v>5431</v>
      </c>
      <c r="K806" s="6" t="n">
        <v>2</v>
      </c>
      <c r="L806" s="6" t="s">
        <v>5432</v>
      </c>
      <c r="M806" s="6" t="n">
        <v>1</v>
      </c>
      <c r="N806" s="6" t="s">
        <v>5433</v>
      </c>
      <c r="O806" s="6" t="n">
        <v>1</v>
      </c>
      <c r="P806" s="6" t="s">
        <v>5434</v>
      </c>
      <c r="Q806" s="6" t="n">
        <v>1</v>
      </c>
    </row>
    <row r="807" customFormat="false" ht="12.8" hidden="false" customHeight="false" outlineLevel="0" collapsed="false">
      <c r="A807" s="6" t="s">
        <v>5435</v>
      </c>
      <c r="B807" s="6" t="n">
        <v>164</v>
      </c>
      <c r="C807" s="6" t="n">
        <v>72</v>
      </c>
      <c r="D807" s="12" t="n">
        <f aca="false">C807/(B807+C807)*100</f>
        <v>30.5084745762712</v>
      </c>
      <c r="E807" s="6" t="n">
        <v>6</v>
      </c>
      <c r="F807" s="6" t="s">
        <v>5436</v>
      </c>
      <c r="G807" s="6" t="n">
        <v>70</v>
      </c>
      <c r="H807" s="6" t="s">
        <v>5437</v>
      </c>
      <c r="I807" s="6" t="n">
        <v>1</v>
      </c>
      <c r="J807" s="6" t="s">
        <v>5438</v>
      </c>
      <c r="K807" s="6" t="n">
        <v>1</v>
      </c>
      <c r="L807" s="6" t="s">
        <v>5439</v>
      </c>
      <c r="M807" s="6" t="n">
        <v>0</v>
      </c>
      <c r="N807" s="6" t="s">
        <v>5440</v>
      </c>
      <c r="O807" s="6" t="n">
        <v>0</v>
      </c>
      <c r="P807" s="6" t="s">
        <v>5441</v>
      </c>
      <c r="Q807" s="6" t="n">
        <v>0</v>
      </c>
    </row>
    <row r="808" customFormat="false" ht="12.8" hidden="false" customHeight="false" outlineLevel="0" collapsed="false">
      <c r="A808" s="6" t="s">
        <v>5442</v>
      </c>
      <c r="B808" s="6" t="n">
        <v>165</v>
      </c>
      <c r="C808" s="6" t="n">
        <v>269</v>
      </c>
      <c r="D808" s="12" t="n">
        <f aca="false">C808/(B808+C808)*100</f>
        <v>61.9815668202765</v>
      </c>
      <c r="E808" s="6" t="n">
        <v>20</v>
      </c>
      <c r="F808" s="6" t="s">
        <v>5443</v>
      </c>
      <c r="G808" s="6" t="n">
        <v>111</v>
      </c>
      <c r="H808" s="6" t="s">
        <v>5444</v>
      </c>
      <c r="I808" s="6" t="n">
        <v>68</v>
      </c>
      <c r="J808" s="6" t="s">
        <v>5445</v>
      </c>
      <c r="K808" s="6" t="n">
        <v>37</v>
      </c>
      <c r="L808" s="6" t="s">
        <v>5446</v>
      </c>
      <c r="M808" s="6" t="n">
        <v>22</v>
      </c>
      <c r="N808" s="6" t="s">
        <v>5447</v>
      </c>
      <c r="O808" s="6" t="n">
        <v>11</v>
      </c>
      <c r="P808" s="6" t="s">
        <v>5448</v>
      </c>
      <c r="Q808" s="6" t="n">
        <v>10</v>
      </c>
      <c r="R808" s="6" t="s">
        <v>5449</v>
      </c>
      <c r="S808" s="6" t="n">
        <v>4</v>
      </c>
      <c r="T808" s="6" t="s">
        <v>5450</v>
      </c>
      <c r="U808" s="6" t="n">
        <v>2</v>
      </c>
      <c r="V808" s="6" t="s">
        <v>5451</v>
      </c>
      <c r="W808" s="6" t="n">
        <v>2</v>
      </c>
      <c r="X808" s="6" t="s">
        <v>5452</v>
      </c>
      <c r="Y808" s="6" t="n">
        <v>1</v>
      </c>
      <c r="Z808" s="6" t="s">
        <v>5453</v>
      </c>
      <c r="AA808" s="6" t="n">
        <v>1</v>
      </c>
      <c r="AB808" s="6" t="s">
        <v>5454</v>
      </c>
      <c r="AC808" s="6" t="n">
        <v>0</v>
      </c>
      <c r="AD808" s="6" t="s">
        <v>5455</v>
      </c>
      <c r="AE808" s="6" t="n">
        <v>0</v>
      </c>
      <c r="AF808" s="6" t="s">
        <v>5456</v>
      </c>
      <c r="AG808" s="6" t="n">
        <v>0</v>
      </c>
      <c r="AH808" s="6" t="s">
        <v>5457</v>
      </c>
      <c r="AI808" s="6" t="n">
        <v>0</v>
      </c>
      <c r="AJ808" s="6" t="s">
        <v>5458</v>
      </c>
      <c r="AK808" s="6" t="n">
        <v>0</v>
      </c>
      <c r="AL808" s="6" t="s">
        <v>5459</v>
      </c>
      <c r="AM808" s="6" t="n">
        <v>0</v>
      </c>
      <c r="AN808" s="6" t="s">
        <v>5460</v>
      </c>
      <c r="AO808" s="6" t="n">
        <v>0</v>
      </c>
      <c r="AP808" s="6" t="s">
        <v>5461</v>
      </c>
      <c r="AQ808" s="6" t="n">
        <v>0</v>
      </c>
      <c r="AR808" s="6" t="s">
        <v>5462</v>
      </c>
      <c r="AS808" s="6" t="n">
        <v>0</v>
      </c>
    </row>
    <row r="809" customFormat="false" ht="12.8" hidden="false" customHeight="false" outlineLevel="0" collapsed="false">
      <c r="A809" s="6" t="s">
        <v>5463</v>
      </c>
      <c r="B809" s="6" t="n">
        <v>165</v>
      </c>
      <c r="C809" s="6" t="n">
        <v>148</v>
      </c>
      <c r="D809" s="12" t="n">
        <f aca="false">C809/(B809+C809)*100</f>
        <v>47.2843450479233</v>
      </c>
      <c r="E809" s="6" t="n">
        <v>13</v>
      </c>
      <c r="F809" s="6" t="s">
        <v>5464</v>
      </c>
      <c r="G809" s="6" t="n">
        <v>65</v>
      </c>
      <c r="H809" s="6" t="s">
        <v>5465</v>
      </c>
      <c r="I809" s="6" t="n">
        <v>42</v>
      </c>
      <c r="J809" s="6" t="s">
        <v>5466</v>
      </c>
      <c r="K809" s="6" t="n">
        <v>22</v>
      </c>
      <c r="L809" s="6" t="s">
        <v>5467</v>
      </c>
      <c r="M809" s="6" t="n">
        <v>11</v>
      </c>
      <c r="N809" s="6" t="s">
        <v>5468</v>
      </c>
      <c r="O809" s="6" t="n">
        <v>2</v>
      </c>
      <c r="P809" s="6" t="s">
        <v>5469</v>
      </c>
      <c r="Q809" s="6" t="n">
        <v>1</v>
      </c>
      <c r="R809" s="6" t="s">
        <v>5470</v>
      </c>
      <c r="S809" s="6" t="n">
        <v>1</v>
      </c>
      <c r="T809" s="6" t="s">
        <v>5471</v>
      </c>
      <c r="U809" s="6" t="n">
        <v>1</v>
      </c>
      <c r="V809" s="6" t="s">
        <v>5472</v>
      </c>
      <c r="W809" s="6" t="n">
        <v>1</v>
      </c>
      <c r="X809" s="6" t="s">
        <v>5473</v>
      </c>
      <c r="Y809" s="6" t="n">
        <v>1</v>
      </c>
      <c r="Z809" s="6" t="s">
        <v>5474</v>
      </c>
      <c r="AA809" s="6" t="n">
        <v>1</v>
      </c>
      <c r="AB809" s="6" t="s">
        <v>5475</v>
      </c>
      <c r="AC809" s="6" t="n">
        <v>0</v>
      </c>
      <c r="AD809" s="6" t="s">
        <v>5476</v>
      </c>
      <c r="AE809" s="6" t="n">
        <v>0</v>
      </c>
    </row>
    <row r="810" customFormat="false" ht="12.8" hidden="false" customHeight="false" outlineLevel="0" collapsed="false">
      <c r="A810" s="6" t="s">
        <v>5477</v>
      </c>
      <c r="B810" s="6" t="n">
        <v>165</v>
      </c>
      <c r="C810" s="6" t="n">
        <v>0</v>
      </c>
      <c r="D810" s="12" t="n">
        <f aca="false">C810/(B810+C810)*100</f>
        <v>0</v>
      </c>
      <c r="E810" s="6" t="n">
        <v>1</v>
      </c>
      <c r="F810" s="6" t="s">
        <v>5478</v>
      </c>
      <c r="G810" s="6" t="n">
        <v>0</v>
      </c>
    </row>
    <row r="811" customFormat="false" ht="12.8" hidden="false" customHeight="false" outlineLevel="0" collapsed="false">
      <c r="A811" s="6" t="s">
        <v>5479</v>
      </c>
      <c r="B811" s="6" t="n">
        <v>166</v>
      </c>
      <c r="C811" s="6" t="n">
        <v>184</v>
      </c>
      <c r="D811" s="12" t="n">
        <f aca="false">C811/(B811+C811)*100</f>
        <v>52.5714285714286</v>
      </c>
      <c r="E811" s="6" t="n">
        <v>10</v>
      </c>
      <c r="F811" s="6" t="s">
        <v>5480</v>
      </c>
      <c r="G811" s="6" t="n">
        <v>150</v>
      </c>
      <c r="H811" s="6" t="s">
        <v>5481</v>
      </c>
      <c r="I811" s="6" t="n">
        <v>16</v>
      </c>
      <c r="J811" s="6" t="s">
        <v>5482</v>
      </c>
      <c r="K811" s="6" t="n">
        <v>9</v>
      </c>
      <c r="L811" s="6" t="s">
        <v>5483</v>
      </c>
      <c r="M811" s="6" t="n">
        <v>3</v>
      </c>
      <c r="N811" s="6" t="s">
        <v>5484</v>
      </c>
      <c r="O811" s="6" t="n">
        <v>2</v>
      </c>
      <c r="P811" s="6" t="s">
        <v>5485</v>
      </c>
      <c r="Q811" s="6" t="n">
        <v>1</v>
      </c>
      <c r="R811" s="6" t="s">
        <v>5486</v>
      </c>
      <c r="S811" s="6" t="n">
        <v>1</v>
      </c>
      <c r="T811" s="6" t="s">
        <v>5487</v>
      </c>
      <c r="U811" s="6" t="n">
        <v>1</v>
      </c>
      <c r="V811" s="6" t="s">
        <v>5488</v>
      </c>
      <c r="W811" s="6" t="n">
        <v>1</v>
      </c>
      <c r="X811" s="6" t="s">
        <v>5489</v>
      </c>
      <c r="Y811" s="6" t="n">
        <v>0</v>
      </c>
    </row>
    <row r="812" customFormat="false" ht="12.8" hidden="false" customHeight="false" outlineLevel="0" collapsed="false">
      <c r="A812" s="6" t="s">
        <v>5490</v>
      </c>
      <c r="B812" s="6" t="n">
        <v>166</v>
      </c>
      <c r="C812" s="6" t="n">
        <v>57</v>
      </c>
      <c r="D812" s="12" t="n">
        <f aca="false">C812/(B812+C812)*100</f>
        <v>25.5605381165919</v>
      </c>
      <c r="E812" s="6" t="n">
        <v>7</v>
      </c>
      <c r="F812" s="6" t="s">
        <v>5491</v>
      </c>
      <c r="G812" s="6" t="n">
        <v>43</v>
      </c>
      <c r="H812" s="6" t="s">
        <v>5492</v>
      </c>
      <c r="I812" s="6" t="n">
        <v>7</v>
      </c>
      <c r="J812" s="6" t="s">
        <v>5493</v>
      </c>
      <c r="K812" s="6" t="n">
        <v>7</v>
      </c>
      <c r="L812" s="6" t="s">
        <v>5494</v>
      </c>
      <c r="M812" s="6" t="n">
        <v>0</v>
      </c>
      <c r="N812" s="6" t="s">
        <v>5495</v>
      </c>
      <c r="O812" s="6" t="n">
        <v>0</v>
      </c>
      <c r="P812" s="6" t="s">
        <v>5496</v>
      </c>
      <c r="Q812" s="6" t="n">
        <v>0</v>
      </c>
      <c r="R812" s="6" t="s">
        <v>5497</v>
      </c>
      <c r="S812" s="6" t="n">
        <v>0</v>
      </c>
    </row>
    <row r="813" customFormat="false" ht="12.8" hidden="false" customHeight="false" outlineLevel="0" collapsed="false">
      <c r="A813" s="6" t="s">
        <v>5498</v>
      </c>
      <c r="B813" s="6" t="n">
        <v>166</v>
      </c>
      <c r="C813" s="6" t="n">
        <v>43</v>
      </c>
      <c r="D813" s="12" t="n">
        <f aca="false">C813/(B813+C813)*100</f>
        <v>20.5741626794258</v>
      </c>
      <c r="E813" s="6" t="n">
        <v>12</v>
      </c>
      <c r="F813" s="6" t="s">
        <v>5499</v>
      </c>
      <c r="G813" s="6" t="n">
        <v>28</v>
      </c>
      <c r="H813" s="6" t="s">
        <v>5500</v>
      </c>
      <c r="I813" s="6" t="n">
        <v>7</v>
      </c>
      <c r="J813" s="6" t="s">
        <v>5501</v>
      </c>
      <c r="K813" s="6" t="n">
        <v>2</v>
      </c>
      <c r="L813" s="6" t="s">
        <v>5502</v>
      </c>
      <c r="M813" s="6" t="n">
        <v>2</v>
      </c>
      <c r="N813" s="6" t="s">
        <v>5503</v>
      </c>
      <c r="O813" s="6" t="n">
        <v>1</v>
      </c>
      <c r="P813" s="6" t="s">
        <v>5504</v>
      </c>
      <c r="Q813" s="6" t="n">
        <v>1</v>
      </c>
      <c r="R813" s="6" t="s">
        <v>5505</v>
      </c>
      <c r="S813" s="6" t="n">
        <v>1</v>
      </c>
      <c r="T813" s="6" t="s">
        <v>5506</v>
      </c>
      <c r="U813" s="6" t="n">
        <v>1</v>
      </c>
      <c r="V813" s="6" t="s">
        <v>5507</v>
      </c>
      <c r="W813" s="6" t="n">
        <v>0</v>
      </c>
      <c r="X813" s="6" t="s">
        <v>5508</v>
      </c>
      <c r="Y813" s="6" t="n">
        <v>0</v>
      </c>
      <c r="Z813" s="6" t="s">
        <v>5509</v>
      </c>
      <c r="AA813" s="6" t="n">
        <v>0</v>
      </c>
      <c r="AB813" s="6" t="s">
        <v>5510</v>
      </c>
      <c r="AC813" s="6" t="n">
        <v>0</v>
      </c>
    </row>
    <row r="814" customFormat="false" ht="12.8" hidden="false" customHeight="false" outlineLevel="0" collapsed="false">
      <c r="A814" s="6" t="s">
        <v>5511</v>
      </c>
      <c r="B814" s="6" t="n">
        <v>167</v>
      </c>
      <c r="C814" s="6" t="n">
        <v>11</v>
      </c>
      <c r="D814" s="12" t="n">
        <f aca="false">C814/(B814+C814)*100</f>
        <v>6.17977528089888</v>
      </c>
      <c r="E814" s="6" t="n">
        <v>7</v>
      </c>
      <c r="F814" s="6" t="s">
        <v>5512</v>
      </c>
      <c r="G814" s="6" t="n">
        <v>5</v>
      </c>
      <c r="H814" s="6" t="s">
        <v>5513</v>
      </c>
      <c r="I814" s="6" t="n">
        <v>1</v>
      </c>
      <c r="J814" s="6" t="s">
        <v>5514</v>
      </c>
      <c r="K814" s="6" t="n">
        <v>1</v>
      </c>
      <c r="L814" s="6" t="s">
        <v>5515</v>
      </c>
      <c r="M814" s="6" t="n">
        <v>1</v>
      </c>
      <c r="N814" s="6" t="s">
        <v>5516</v>
      </c>
      <c r="O814" s="6" t="n">
        <v>1</v>
      </c>
      <c r="P814" s="6" t="s">
        <v>5517</v>
      </c>
      <c r="Q814" s="6" t="n">
        <v>1</v>
      </c>
      <c r="R814" s="6" t="s">
        <v>5518</v>
      </c>
      <c r="S814" s="6" t="n">
        <v>1</v>
      </c>
    </row>
    <row r="815" customFormat="false" ht="12.8" hidden="false" customHeight="false" outlineLevel="0" collapsed="false">
      <c r="A815" s="6" t="s">
        <v>5519</v>
      </c>
      <c r="B815" s="6" t="n">
        <v>167</v>
      </c>
      <c r="C815" s="6" t="n">
        <v>11</v>
      </c>
      <c r="D815" s="12" t="n">
        <f aca="false">C815/(B815+C815)*100</f>
        <v>6.17977528089888</v>
      </c>
      <c r="E815" s="6" t="n">
        <v>2</v>
      </c>
      <c r="F815" s="6" t="s">
        <v>5520</v>
      </c>
      <c r="G815" s="6" t="n">
        <v>6</v>
      </c>
      <c r="H815" s="6" t="s">
        <v>5521</v>
      </c>
      <c r="I815" s="6" t="n">
        <v>5</v>
      </c>
    </row>
    <row r="816" customFormat="false" ht="12.8" hidden="false" customHeight="false" outlineLevel="0" collapsed="false">
      <c r="A816" s="6" t="s">
        <v>5522</v>
      </c>
      <c r="B816" s="6" t="n">
        <v>168</v>
      </c>
      <c r="C816" s="6" t="n">
        <v>185</v>
      </c>
      <c r="D816" s="12" t="n">
        <f aca="false">C816/(B816+C816)*100</f>
        <v>52.4079320113315</v>
      </c>
      <c r="E816" s="6" t="n">
        <v>13</v>
      </c>
      <c r="F816" s="6" t="s">
        <v>5523</v>
      </c>
      <c r="G816" s="6" t="n">
        <v>67</v>
      </c>
      <c r="H816" s="6" t="s">
        <v>5524</v>
      </c>
      <c r="I816" s="6" t="n">
        <v>42</v>
      </c>
      <c r="J816" s="6" t="s">
        <v>5525</v>
      </c>
      <c r="K816" s="6" t="n">
        <v>28</v>
      </c>
      <c r="L816" s="6" t="s">
        <v>5526</v>
      </c>
      <c r="M816" s="6" t="n">
        <v>26</v>
      </c>
      <c r="N816" s="6" t="s">
        <v>5527</v>
      </c>
      <c r="O816" s="6" t="n">
        <v>9</v>
      </c>
      <c r="P816" s="6" t="s">
        <v>5528</v>
      </c>
      <c r="Q816" s="6" t="n">
        <v>5</v>
      </c>
      <c r="R816" s="6" t="s">
        <v>5529</v>
      </c>
      <c r="S816" s="6" t="n">
        <v>4</v>
      </c>
      <c r="T816" s="6" t="s">
        <v>5530</v>
      </c>
      <c r="U816" s="6" t="n">
        <v>2</v>
      </c>
      <c r="V816" s="6" t="s">
        <v>5531</v>
      </c>
      <c r="W816" s="6" t="n">
        <v>1</v>
      </c>
      <c r="X816" s="6" t="s">
        <v>5532</v>
      </c>
      <c r="Y816" s="6" t="n">
        <v>1</v>
      </c>
      <c r="Z816" s="6" t="s">
        <v>5533</v>
      </c>
      <c r="AA816" s="6" t="n">
        <v>0</v>
      </c>
      <c r="AB816" s="6" t="s">
        <v>5534</v>
      </c>
      <c r="AC816" s="6" t="n">
        <v>0</v>
      </c>
      <c r="AD816" s="6" t="s">
        <v>5535</v>
      </c>
      <c r="AE816" s="6" t="n">
        <v>0</v>
      </c>
    </row>
    <row r="817" customFormat="false" ht="12.8" hidden="false" customHeight="false" outlineLevel="0" collapsed="false">
      <c r="A817" s="6" t="s">
        <v>5536</v>
      </c>
      <c r="B817" s="6" t="n">
        <v>169</v>
      </c>
      <c r="C817" s="6" t="n">
        <v>40</v>
      </c>
      <c r="D817" s="12" t="n">
        <f aca="false">C817/(B817+C817)*100</f>
        <v>19.1387559808612</v>
      </c>
      <c r="E817" s="6" t="n">
        <v>5</v>
      </c>
      <c r="F817" s="6" t="s">
        <v>5537</v>
      </c>
      <c r="G817" s="6" t="n">
        <v>23</v>
      </c>
      <c r="H817" s="6" t="s">
        <v>5538</v>
      </c>
      <c r="I817" s="6" t="n">
        <v>12</v>
      </c>
      <c r="J817" s="6" t="s">
        <v>5539</v>
      </c>
      <c r="K817" s="6" t="n">
        <v>2</v>
      </c>
      <c r="L817" s="6" t="s">
        <v>5540</v>
      </c>
      <c r="M817" s="6" t="n">
        <v>2</v>
      </c>
      <c r="N817" s="6" t="s">
        <v>5541</v>
      </c>
      <c r="O817" s="6" t="n">
        <v>1</v>
      </c>
    </row>
    <row r="818" customFormat="false" ht="12.8" hidden="false" customHeight="false" outlineLevel="0" collapsed="false">
      <c r="A818" s="6" t="s">
        <v>5542</v>
      </c>
      <c r="B818" s="6" t="n">
        <v>169</v>
      </c>
      <c r="C818" s="6" t="n">
        <v>3</v>
      </c>
      <c r="D818" s="12" t="n">
        <f aca="false">C818/(B818+C818)*100</f>
        <v>1.74418604651163</v>
      </c>
      <c r="E818" s="6" t="n">
        <v>3</v>
      </c>
      <c r="F818" s="6" t="s">
        <v>5543</v>
      </c>
      <c r="G818" s="6" t="n">
        <v>2</v>
      </c>
      <c r="H818" s="6" t="s">
        <v>5544</v>
      </c>
      <c r="I818" s="6" t="n">
        <v>1</v>
      </c>
      <c r="J818" s="6" t="s">
        <v>5545</v>
      </c>
      <c r="K818" s="6" t="n">
        <v>0</v>
      </c>
    </row>
    <row r="819" customFormat="false" ht="12.8" hidden="false" customHeight="false" outlineLevel="0" collapsed="false">
      <c r="A819" s="6" t="s">
        <v>5546</v>
      </c>
      <c r="B819" s="6" t="n">
        <v>170</v>
      </c>
      <c r="C819" s="6" t="n">
        <v>85</v>
      </c>
      <c r="D819" s="12" t="n">
        <f aca="false">C819/(B819+C819)*100</f>
        <v>33.3333333333333</v>
      </c>
      <c r="E819" s="6" t="n">
        <v>9</v>
      </c>
      <c r="F819" s="6" t="s">
        <v>5547</v>
      </c>
      <c r="G819" s="6" t="n">
        <v>73</v>
      </c>
      <c r="H819" s="6" t="s">
        <v>5548</v>
      </c>
      <c r="I819" s="6" t="n">
        <v>3</v>
      </c>
      <c r="J819" s="6" t="s">
        <v>5549</v>
      </c>
      <c r="K819" s="6" t="n">
        <v>2</v>
      </c>
      <c r="L819" s="6" t="s">
        <v>5550</v>
      </c>
      <c r="M819" s="6" t="n">
        <v>2</v>
      </c>
      <c r="N819" s="6" t="s">
        <v>5551</v>
      </c>
      <c r="O819" s="6" t="n">
        <v>1</v>
      </c>
      <c r="P819" s="6" t="s">
        <v>5552</v>
      </c>
      <c r="Q819" s="6" t="n">
        <v>1</v>
      </c>
      <c r="R819" s="6" t="s">
        <v>5553</v>
      </c>
      <c r="S819" s="6" t="n">
        <v>1</v>
      </c>
      <c r="T819" s="6" t="s">
        <v>5554</v>
      </c>
      <c r="U819" s="6" t="n">
        <v>1</v>
      </c>
      <c r="V819" s="6" t="s">
        <v>5555</v>
      </c>
      <c r="W819" s="6" t="n">
        <v>1</v>
      </c>
    </row>
    <row r="820" customFormat="false" ht="12.8" hidden="false" customHeight="false" outlineLevel="0" collapsed="false">
      <c r="A820" s="6" t="s">
        <v>5556</v>
      </c>
      <c r="B820" s="6" t="n">
        <v>170</v>
      </c>
      <c r="C820" s="6" t="n">
        <v>39</v>
      </c>
      <c r="D820" s="12" t="n">
        <f aca="false">C820/(B820+C820)*100</f>
        <v>18.6602870813397</v>
      </c>
      <c r="E820" s="6" t="n">
        <v>4</v>
      </c>
      <c r="F820" s="6" t="s">
        <v>5557</v>
      </c>
      <c r="G820" s="6" t="n">
        <v>29</v>
      </c>
      <c r="H820" s="6" t="s">
        <v>5558</v>
      </c>
      <c r="I820" s="6" t="n">
        <v>5</v>
      </c>
      <c r="J820" s="6" t="s">
        <v>5559</v>
      </c>
      <c r="K820" s="6" t="n">
        <v>3</v>
      </c>
      <c r="L820" s="6" t="s">
        <v>5560</v>
      </c>
      <c r="M820" s="6" t="n">
        <v>2</v>
      </c>
    </row>
    <row r="821" customFormat="false" ht="12.8" hidden="false" customHeight="false" outlineLevel="0" collapsed="false">
      <c r="A821" s="6" t="s">
        <v>5561</v>
      </c>
      <c r="B821" s="6" t="n">
        <v>170</v>
      </c>
      <c r="C821" s="6" t="n">
        <v>15</v>
      </c>
      <c r="D821" s="12" t="n">
        <f aca="false">C821/(B821+C821)*100</f>
        <v>8.10810810810811</v>
      </c>
      <c r="E821" s="6" t="n">
        <v>3</v>
      </c>
      <c r="F821" s="6" t="s">
        <v>5562</v>
      </c>
      <c r="G821" s="6" t="n">
        <v>13</v>
      </c>
      <c r="H821" s="6" t="s">
        <v>5563</v>
      </c>
      <c r="I821" s="6" t="n">
        <v>2</v>
      </c>
      <c r="J821" s="6" t="s">
        <v>5564</v>
      </c>
      <c r="K821" s="6" t="n">
        <v>0</v>
      </c>
    </row>
    <row r="822" customFormat="false" ht="12.8" hidden="false" customHeight="false" outlineLevel="0" collapsed="false">
      <c r="A822" s="6" t="s">
        <v>5565</v>
      </c>
      <c r="B822" s="6" t="n">
        <v>171</v>
      </c>
      <c r="C822" s="6" t="n">
        <v>32</v>
      </c>
      <c r="D822" s="12" t="n">
        <f aca="false">C822/(B822+C822)*100</f>
        <v>15.7635467980296</v>
      </c>
      <c r="E822" s="6" t="n">
        <v>10</v>
      </c>
      <c r="F822" s="6" t="s">
        <v>5566</v>
      </c>
      <c r="G822" s="6" t="n">
        <v>14</v>
      </c>
      <c r="H822" s="6" t="s">
        <v>5567</v>
      </c>
      <c r="I822" s="6" t="n">
        <v>9</v>
      </c>
      <c r="J822" s="6" t="s">
        <v>5568</v>
      </c>
      <c r="K822" s="6" t="n">
        <v>2</v>
      </c>
      <c r="L822" s="6" t="s">
        <v>5569</v>
      </c>
      <c r="M822" s="6" t="n">
        <v>2</v>
      </c>
      <c r="N822" s="6" t="s">
        <v>5570</v>
      </c>
      <c r="O822" s="6" t="n">
        <v>2</v>
      </c>
      <c r="P822" s="6" t="s">
        <v>5571</v>
      </c>
      <c r="Q822" s="6" t="n">
        <v>2</v>
      </c>
      <c r="R822" s="6" t="s">
        <v>5572</v>
      </c>
      <c r="S822" s="6" t="n">
        <v>1</v>
      </c>
      <c r="T822" s="6" t="s">
        <v>5573</v>
      </c>
      <c r="U822" s="6" t="n">
        <v>0</v>
      </c>
      <c r="V822" s="6" t="s">
        <v>5574</v>
      </c>
      <c r="W822" s="6" t="n">
        <v>0</v>
      </c>
      <c r="X822" s="6" t="s">
        <v>5575</v>
      </c>
      <c r="Y822" s="6" t="n">
        <v>0</v>
      </c>
    </row>
    <row r="823" customFormat="false" ht="12.8" hidden="false" customHeight="false" outlineLevel="0" collapsed="false">
      <c r="A823" s="6" t="s">
        <v>5576</v>
      </c>
      <c r="B823" s="6" t="n">
        <v>174</v>
      </c>
      <c r="C823" s="6" t="n">
        <v>461</v>
      </c>
      <c r="D823" s="12" t="n">
        <f aca="false">C823/(B823+C823)*100</f>
        <v>72.5984251968504</v>
      </c>
      <c r="E823" s="6" t="n">
        <v>13</v>
      </c>
      <c r="F823" s="6" t="s">
        <v>5577</v>
      </c>
      <c r="G823" s="6" t="n">
        <v>180</v>
      </c>
      <c r="H823" s="6" t="s">
        <v>5578</v>
      </c>
      <c r="I823" s="6" t="n">
        <v>136</v>
      </c>
      <c r="J823" s="6" t="s">
        <v>5579</v>
      </c>
      <c r="K823" s="6" t="n">
        <v>115</v>
      </c>
      <c r="L823" s="6" t="s">
        <v>5580</v>
      </c>
      <c r="M823" s="6" t="n">
        <v>13</v>
      </c>
      <c r="N823" s="6" t="s">
        <v>5581</v>
      </c>
      <c r="O823" s="6" t="n">
        <v>6</v>
      </c>
      <c r="P823" s="6" t="s">
        <v>5582</v>
      </c>
      <c r="Q823" s="6" t="n">
        <v>5</v>
      </c>
      <c r="R823" s="6" t="s">
        <v>5583</v>
      </c>
      <c r="S823" s="6" t="n">
        <v>3</v>
      </c>
      <c r="T823" s="6" t="s">
        <v>5584</v>
      </c>
      <c r="U823" s="6" t="n">
        <v>1</v>
      </c>
      <c r="V823" s="6" t="s">
        <v>5585</v>
      </c>
      <c r="W823" s="6" t="n">
        <v>1</v>
      </c>
      <c r="X823" s="6" t="s">
        <v>5586</v>
      </c>
      <c r="Y823" s="6" t="n">
        <v>1</v>
      </c>
      <c r="Z823" s="6" t="s">
        <v>5587</v>
      </c>
      <c r="AA823" s="6" t="n">
        <v>0</v>
      </c>
      <c r="AB823" s="6" t="s">
        <v>5588</v>
      </c>
      <c r="AC823" s="6" t="n">
        <v>0</v>
      </c>
      <c r="AD823" s="6" t="s">
        <v>5589</v>
      </c>
      <c r="AE823" s="6" t="n">
        <v>0</v>
      </c>
    </row>
    <row r="824" customFormat="false" ht="12.8" hidden="false" customHeight="false" outlineLevel="0" collapsed="false">
      <c r="A824" s="6" t="s">
        <v>5590</v>
      </c>
      <c r="B824" s="6" t="n">
        <v>178</v>
      </c>
      <c r="C824" s="6" t="n">
        <v>344</v>
      </c>
      <c r="D824" s="12" t="n">
        <f aca="false">C824/(B824+C824)*100</f>
        <v>65.9003831417625</v>
      </c>
      <c r="E824" s="6" t="n">
        <v>11</v>
      </c>
      <c r="F824" s="6" t="s">
        <v>5591</v>
      </c>
      <c r="G824" s="6" t="n">
        <v>338</v>
      </c>
      <c r="H824" s="6" t="s">
        <v>5592</v>
      </c>
      <c r="I824" s="6" t="n">
        <v>2</v>
      </c>
      <c r="J824" s="6" t="s">
        <v>5593</v>
      </c>
      <c r="K824" s="6" t="n">
        <v>1</v>
      </c>
      <c r="L824" s="6" t="s">
        <v>5594</v>
      </c>
      <c r="M824" s="6" t="n">
        <v>1</v>
      </c>
      <c r="N824" s="6" t="s">
        <v>5595</v>
      </c>
      <c r="O824" s="6" t="n">
        <v>1</v>
      </c>
      <c r="P824" s="6" t="s">
        <v>5596</v>
      </c>
      <c r="Q824" s="6" t="n">
        <v>1</v>
      </c>
      <c r="R824" s="6" t="s">
        <v>5597</v>
      </c>
      <c r="S824" s="6" t="n">
        <v>0</v>
      </c>
      <c r="T824" s="6" t="s">
        <v>5598</v>
      </c>
      <c r="U824" s="6" t="n">
        <v>0</v>
      </c>
      <c r="V824" s="6" t="s">
        <v>5599</v>
      </c>
      <c r="W824" s="6" t="n">
        <v>0</v>
      </c>
      <c r="X824" s="6" t="s">
        <v>5600</v>
      </c>
      <c r="Y824" s="6" t="n">
        <v>0</v>
      </c>
      <c r="Z824" s="6" t="s">
        <v>5601</v>
      </c>
      <c r="AA824" s="6" t="n">
        <v>0</v>
      </c>
    </row>
    <row r="825" customFormat="false" ht="12.8" hidden="false" customHeight="false" outlineLevel="0" collapsed="false">
      <c r="A825" s="6" t="s">
        <v>5602</v>
      </c>
      <c r="B825" s="6" t="n">
        <v>183</v>
      </c>
      <c r="C825" s="6" t="n">
        <v>111</v>
      </c>
      <c r="D825" s="12" t="n">
        <f aca="false">C825/(B825+C825)*100</f>
        <v>37.7551020408163</v>
      </c>
      <c r="E825" s="6" t="n">
        <v>7</v>
      </c>
      <c r="F825" s="6" t="s">
        <v>5603</v>
      </c>
      <c r="G825" s="6" t="n">
        <v>82</v>
      </c>
      <c r="H825" s="6" t="s">
        <v>5604</v>
      </c>
      <c r="I825" s="6" t="n">
        <v>15</v>
      </c>
      <c r="J825" s="6" t="s">
        <v>5605</v>
      </c>
      <c r="K825" s="6" t="n">
        <v>6</v>
      </c>
      <c r="L825" s="6" t="s">
        <v>5606</v>
      </c>
      <c r="M825" s="6" t="n">
        <v>3</v>
      </c>
      <c r="N825" s="6" t="s">
        <v>5607</v>
      </c>
      <c r="O825" s="6" t="n">
        <v>3</v>
      </c>
      <c r="P825" s="6" t="s">
        <v>5608</v>
      </c>
      <c r="Q825" s="6" t="n">
        <v>1</v>
      </c>
      <c r="R825" s="6" t="s">
        <v>5609</v>
      </c>
      <c r="S825" s="6" t="n">
        <v>1</v>
      </c>
    </row>
    <row r="826" customFormat="false" ht="12.8" hidden="false" customHeight="false" outlineLevel="0" collapsed="false">
      <c r="A826" s="6" t="s">
        <v>5610</v>
      </c>
      <c r="B826" s="6" t="n">
        <v>184</v>
      </c>
      <c r="C826" s="6" t="n">
        <v>219</v>
      </c>
      <c r="D826" s="12" t="n">
        <f aca="false">C826/(B826+C826)*100</f>
        <v>54.3424317617866</v>
      </c>
      <c r="E826" s="6" t="n">
        <v>9</v>
      </c>
      <c r="F826" s="6" t="s">
        <v>5611</v>
      </c>
      <c r="G826" s="6" t="n">
        <v>203</v>
      </c>
      <c r="H826" s="6" t="s">
        <v>5612</v>
      </c>
      <c r="I826" s="6" t="n">
        <v>5</v>
      </c>
      <c r="J826" s="6" t="s">
        <v>5613</v>
      </c>
      <c r="K826" s="6" t="n">
        <v>5</v>
      </c>
      <c r="L826" s="6" t="s">
        <v>5614</v>
      </c>
      <c r="M826" s="6" t="n">
        <v>3</v>
      </c>
      <c r="N826" s="6" t="s">
        <v>5615</v>
      </c>
      <c r="O826" s="6" t="n">
        <v>2</v>
      </c>
      <c r="P826" s="6" t="s">
        <v>5616</v>
      </c>
      <c r="Q826" s="6" t="n">
        <v>1</v>
      </c>
      <c r="R826" s="6" t="s">
        <v>5617</v>
      </c>
      <c r="S826" s="6" t="n">
        <v>0</v>
      </c>
      <c r="T826" s="6" t="s">
        <v>5618</v>
      </c>
      <c r="U826" s="6" t="n">
        <v>0</v>
      </c>
      <c r="V826" s="6" t="s">
        <v>5619</v>
      </c>
      <c r="W826" s="6" t="n">
        <v>0</v>
      </c>
    </row>
    <row r="827" customFormat="false" ht="12.8" hidden="false" customHeight="false" outlineLevel="0" collapsed="false">
      <c r="A827" s="6" t="s">
        <v>5620</v>
      </c>
      <c r="B827" s="6" t="n">
        <v>186</v>
      </c>
      <c r="C827" s="6" t="n">
        <v>512</v>
      </c>
      <c r="D827" s="12" t="n">
        <f aca="false">C827/(B827+C827)*100</f>
        <v>73.352435530086</v>
      </c>
      <c r="E827" s="6" t="n">
        <v>20</v>
      </c>
      <c r="F827" s="6" t="s">
        <v>5621</v>
      </c>
      <c r="G827" s="6" t="n">
        <v>173</v>
      </c>
      <c r="H827" s="6" t="s">
        <v>5622</v>
      </c>
      <c r="I827" s="6" t="n">
        <v>123</v>
      </c>
      <c r="J827" s="6" t="s">
        <v>5623</v>
      </c>
      <c r="K827" s="6" t="n">
        <v>62</v>
      </c>
      <c r="L827" s="6" t="s">
        <v>5624</v>
      </c>
      <c r="M827" s="6" t="n">
        <v>57</v>
      </c>
      <c r="N827" s="6" t="s">
        <v>5625</v>
      </c>
      <c r="O827" s="6" t="n">
        <v>28</v>
      </c>
      <c r="P827" s="6" t="s">
        <v>5626</v>
      </c>
      <c r="Q827" s="6" t="n">
        <v>24</v>
      </c>
      <c r="R827" s="6" t="s">
        <v>5627</v>
      </c>
      <c r="S827" s="6" t="n">
        <v>14</v>
      </c>
      <c r="T827" s="6" t="s">
        <v>5628</v>
      </c>
      <c r="U827" s="6" t="n">
        <v>10</v>
      </c>
      <c r="V827" s="6" t="s">
        <v>5629</v>
      </c>
      <c r="W827" s="6" t="n">
        <v>5</v>
      </c>
      <c r="X827" s="6" t="s">
        <v>5630</v>
      </c>
      <c r="Y827" s="6" t="n">
        <v>4</v>
      </c>
      <c r="Z827" s="6" t="s">
        <v>5631</v>
      </c>
      <c r="AA827" s="6" t="n">
        <v>3</v>
      </c>
      <c r="AB827" s="6" t="s">
        <v>5632</v>
      </c>
      <c r="AC827" s="6" t="n">
        <v>3</v>
      </c>
      <c r="AD827" s="6" t="s">
        <v>5633</v>
      </c>
      <c r="AE827" s="6" t="n">
        <v>2</v>
      </c>
      <c r="AF827" s="6" t="s">
        <v>5634</v>
      </c>
      <c r="AG827" s="6" t="n">
        <v>1</v>
      </c>
      <c r="AH827" s="6" t="s">
        <v>5635</v>
      </c>
      <c r="AI827" s="6" t="n">
        <v>1</v>
      </c>
      <c r="AJ827" s="6" t="s">
        <v>5636</v>
      </c>
      <c r="AK827" s="6" t="n">
        <v>1</v>
      </c>
      <c r="AL827" s="6" t="s">
        <v>5637</v>
      </c>
      <c r="AM827" s="6" t="n">
        <v>1</v>
      </c>
      <c r="AN827" s="6" t="s">
        <v>5638</v>
      </c>
      <c r="AO827" s="6" t="n">
        <v>0</v>
      </c>
      <c r="AP827" s="6" t="s">
        <v>5639</v>
      </c>
      <c r="AQ827" s="6" t="n">
        <v>0</v>
      </c>
      <c r="AR827" s="6" t="s">
        <v>5640</v>
      </c>
      <c r="AS827" s="6" t="n">
        <v>0</v>
      </c>
    </row>
    <row r="828" customFormat="false" ht="12.8" hidden="false" customHeight="false" outlineLevel="0" collapsed="false">
      <c r="A828" s="6" t="s">
        <v>5641</v>
      </c>
      <c r="B828" s="6" t="n">
        <v>188</v>
      </c>
      <c r="C828" s="6" t="n">
        <v>92</v>
      </c>
      <c r="D828" s="12" t="n">
        <f aca="false">C828/(B828+C828)*100</f>
        <v>32.8571428571429</v>
      </c>
      <c r="E828" s="6" t="n">
        <v>6</v>
      </c>
      <c r="F828" s="6" t="s">
        <v>5642</v>
      </c>
      <c r="G828" s="6" t="n">
        <v>65</v>
      </c>
      <c r="H828" s="6" t="s">
        <v>5643</v>
      </c>
      <c r="I828" s="6" t="n">
        <v>20</v>
      </c>
      <c r="J828" s="6" t="s">
        <v>5644</v>
      </c>
      <c r="K828" s="6" t="n">
        <v>4</v>
      </c>
      <c r="L828" s="6" t="s">
        <v>5645</v>
      </c>
      <c r="M828" s="6" t="n">
        <v>1</v>
      </c>
      <c r="N828" s="6" t="s">
        <v>5646</v>
      </c>
      <c r="O828" s="6" t="n">
        <v>1</v>
      </c>
      <c r="P828" s="6" t="s">
        <v>5647</v>
      </c>
      <c r="Q828" s="6" t="n">
        <v>1</v>
      </c>
    </row>
    <row r="829" customFormat="false" ht="12.8" hidden="false" customHeight="false" outlineLevel="0" collapsed="false">
      <c r="A829" s="6" t="s">
        <v>5648</v>
      </c>
      <c r="B829" s="6" t="n">
        <v>190</v>
      </c>
      <c r="C829" s="6" t="n">
        <v>278</v>
      </c>
      <c r="D829" s="12" t="n">
        <f aca="false">C829/(B829+C829)*100</f>
        <v>59.4017094017094</v>
      </c>
      <c r="E829" s="6" t="n">
        <v>17</v>
      </c>
      <c r="F829" s="6" t="s">
        <v>5649</v>
      </c>
      <c r="G829" s="6" t="n">
        <v>119</v>
      </c>
      <c r="H829" s="6" t="s">
        <v>5650</v>
      </c>
      <c r="I829" s="6" t="n">
        <v>45</v>
      </c>
      <c r="J829" s="6" t="s">
        <v>5651</v>
      </c>
      <c r="K829" s="6" t="n">
        <v>26</v>
      </c>
      <c r="L829" s="6" t="s">
        <v>5652</v>
      </c>
      <c r="M829" s="6" t="n">
        <v>23</v>
      </c>
      <c r="N829" s="6" t="s">
        <v>5653</v>
      </c>
      <c r="O829" s="6" t="n">
        <v>21</v>
      </c>
      <c r="P829" s="6" t="s">
        <v>5654</v>
      </c>
      <c r="Q829" s="6" t="n">
        <v>13</v>
      </c>
      <c r="R829" s="6" t="s">
        <v>5655</v>
      </c>
      <c r="S829" s="6" t="n">
        <v>11</v>
      </c>
      <c r="T829" s="6" t="s">
        <v>5656</v>
      </c>
      <c r="U829" s="6" t="n">
        <v>9</v>
      </c>
      <c r="V829" s="6" t="s">
        <v>5657</v>
      </c>
      <c r="W829" s="6" t="n">
        <v>4</v>
      </c>
      <c r="X829" s="6" t="s">
        <v>5658</v>
      </c>
      <c r="Y829" s="6" t="n">
        <v>2</v>
      </c>
      <c r="Z829" s="6" t="s">
        <v>5659</v>
      </c>
      <c r="AA829" s="6" t="n">
        <v>1</v>
      </c>
      <c r="AB829" s="6" t="s">
        <v>5660</v>
      </c>
      <c r="AC829" s="6" t="n">
        <v>1</v>
      </c>
      <c r="AD829" s="6" t="s">
        <v>5661</v>
      </c>
      <c r="AE829" s="6" t="n">
        <v>1</v>
      </c>
      <c r="AF829" s="6" t="s">
        <v>5662</v>
      </c>
      <c r="AG829" s="6" t="n">
        <v>1</v>
      </c>
      <c r="AH829" s="6" t="s">
        <v>5663</v>
      </c>
      <c r="AI829" s="6" t="n">
        <v>1</v>
      </c>
      <c r="AJ829" s="6" t="s">
        <v>5664</v>
      </c>
      <c r="AK829" s="6" t="n">
        <v>0</v>
      </c>
      <c r="AL829" s="6" t="s">
        <v>5665</v>
      </c>
      <c r="AM829" s="6" t="n">
        <v>0</v>
      </c>
    </row>
    <row r="830" customFormat="false" ht="12.8" hidden="false" customHeight="false" outlineLevel="0" collapsed="false">
      <c r="A830" s="6" t="s">
        <v>5666</v>
      </c>
      <c r="B830" s="6" t="n">
        <v>190</v>
      </c>
      <c r="C830" s="6" t="n">
        <v>169</v>
      </c>
      <c r="D830" s="12" t="n">
        <f aca="false">C830/(B830+C830)*100</f>
        <v>47.075208913649</v>
      </c>
      <c r="E830" s="6" t="n">
        <v>10</v>
      </c>
      <c r="F830" s="6" t="s">
        <v>5667</v>
      </c>
      <c r="G830" s="6" t="n">
        <v>91</v>
      </c>
      <c r="H830" s="6" t="s">
        <v>5668</v>
      </c>
      <c r="I830" s="6" t="n">
        <v>53</v>
      </c>
      <c r="J830" s="6" t="s">
        <v>5669</v>
      </c>
      <c r="K830" s="6" t="n">
        <v>7</v>
      </c>
      <c r="L830" s="6" t="s">
        <v>5670</v>
      </c>
      <c r="M830" s="6" t="n">
        <v>5</v>
      </c>
      <c r="N830" s="6" t="s">
        <v>5671</v>
      </c>
      <c r="O830" s="6" t="n">
        <v>5</v>
      </c>
      <c r="P830" s="6" t="s">
        <v>5672</v>
      </c>
      <c r="Q830" s="6" t="n">
        <v>4</v>
      </c>
      <c r="R830" s="6" t="s">
        <v>5673</v>
      </c>
      <c r="S830" s="6" t="n">
        <v>3</v>
      </c>
      <c r="T830" s="6" t="s">
        <v>5674</v>
      </c>
      <c r="U830" s="6" t="n">
        <v>1</v>
      </c>
      <c r="V830" s="6" t="s">
        <v>5675</v>
      </c>
      <c r="W830" s="6" t="n">
        <v>0</v>
      </c>
      <c r="X830" s="6" t="s">
        <v>5676</v>
      </c>
      <c r="Y830" s="6" t="n">
        <v>0</v>
      </c>
    </row>
    <row r="831" customFormat="false" ht="12.8" hidden="false" customHeight="false" outlineLevel="0" collapsed="false">
      <c r="A831" s="6" t="s">
        <v>5677</v>
      </c>
      <c r="B831" s="6" t="n">
        <v>190</v>
      </c>
      <c r="C831" s="6" t="n">
        <v>74</v>
      </c>
      <c r="D831" s="12" t="n">
        <f aca="false">C831/(B831+C831)*100</f>
        <v>28.030303030303</v>
      </c>
      <c r="E831" s="6" t="n">
        <v>12</v>
      </c>
      <c r="F831" s="6" t="s">
        <v>5678</v>
      </c>
      <c r="G831" s="6" t="n">
        <v>53</v>
      </c>
      <c r="H831" s="6" t="s">
        <v>5679</v>
      </c>
      <c r="I831" s="6" t="n">
        <v>6</v>
      </c>
      <c r="J831" s="6" t="s">
        <v>5680</v>
      </c>
      <c r="K831" s="6" t="n">
        <v>3</v>
      </c>
      <c r="L831" s="6" t="s">
        <v>5681</v>
      </c>
      <c r="M831" s="6" t="n">
        <v>3</v>
      </c>
      <c r="N831" s="6" t="s">
        <v>5682</v>
      </c>
      <c r="O831" s="6" t="n">
        <v>3</v>
      </c>
      <c r="P831" s="6" t="s">
        <v>5683</v>
      </c>
      <c r="Q831" s="6" t="n">
        <v>2</v>
      </c>
      <c r="R831" s="6" t="s">
        <v>5684</v>
      </c>
      <c r="S831" s="6" t="n">
        <v>1</v>
      </c>
      <c r="T831" s="6" t="s">
        <v>5685</v>
      </c>
      <c r="U831" s="6" t="n">
        <v>1</v>
      </c>
      <c r="V831" s="6" t="s">
        <v>5686</v>
      </c>
      <c r="W831" s="6" t="n">
        <v>1</v>
      </c>
      <c r="X831" s="6" t="s">
        <v>5687</v>
      </c>
      <c r="Y831" s="6" t="n">
        <v>1</v>
      </c>
      <c r="Z831" s="6" t="s">
        <v>5688</v>
      </c>
      <c r="AA831" s="6" t="n">
        <v>0</v>
      </c>
      <c r="AB831" s="6" t="s">
        <v>5689</v>
      </c>
      <c r="AC831" s="6" t="n">
        <v>0</v>
      </c>
    </row>
    <row r="832" customFormat="false" ht="14.4" hidden="false" customHeight="false" outlineLevel="0" collapsed="false">
      <c r="A832" s="6" t="s">
        <v>5690</v>
      </c>
      <c r="B832" s="6" t="n">
        <v>195</v>
      </c>
      <c r="C832" s="6" t="n">
        <v>7901</v>
      </c>
      <c r="D832" s="12" t="n">
        <f aca="false">C832/(B832+C832)*100</f>
        <v>97.5914031620553</v>
      </c>
      <c r="E832" s="6" t="n">
        <v>527</v>
      </c>
      <c r="F832" s="6" t="s">
        <v>5691</v>
      </c>
      <c r="G832" s="6" t="n">
        <v>541</v>
      </c>
      <c r="H832" s="6" t="s">
        <v>5692</v>
      </c>
      <c r="I832" s="6" t="n">
        <v>536</v>
      </c>
      <c r="J832" s="6" t="s">
        <v>5693</v>
      </c>
      <c r="K832" s="6" t="n">
        <v>446</v>
      </c>
      <c r="L832" s="6" t="s">
        <v>5694</v>
      </c>
      <c r="M832" s="6" t="n">
        <v>425</v>
      </c>
      <c r="N832" s="6" t="s">
        <v>5695</v>
      </c>
      <c r="O832" s="6" t="n">
        <v>416</v>
      </c>
      <c r="P832" s="6" t="s">
        <v>5696</v>
      </c>
      <c r="Q832" s="6" t="n">
        <v>392</v>
      </c>
      <c r="R832" s="6" t="s">
        <v>5697</v>
      </c>
      <c r="S832" s="6" t="n">
        <v>240</v>
      </c>
      <c r="T832" s="6" t="s">
        <v>5697</v>
      </c>
      <c r="U832" s="6" t="n">
        <v>240</v>
      </c>
      <c r="V832" s="6" t="s">
        <v>5698</v>
      </c>
      <c r="W832" s="6" t="n">
        <v>203</v>
      </c>
      <c r="X832" s="6" t="s">
        <v>5699</v>
      </c>
      <c r="Y832" s="6" t="n">
        <v>161</v>
      </c>
      <c r="Z832" s="6" t="s">
        <v>5699</v>
      </c>
      <c r="AA832" s="6" t="n">
        <v>161</v>
      </c>
      <c r="AB832" s="6" t="s">
        <v>5700</v>
      </c>
      <c r="AC832" s="6" t="n">
        <v>143</v>
      </c>
      <c r="AD832" s="6" t="s">
        <v>5701</v>
      </c>
      <c r="AE832" s="6" t="n">
        <v>137</v>
      </c>
      <c r="AF832" s="6" t="s">
        <v>5702</v>
      </c>
      <c r="AG832" s="6" t="n">
        <v>126</v>
      </c>
      <c r="AH832" s="6" t="s">
        <v>5703</v>
      </c>
      <c r="AI832" s="6" t="n">
        <v>117</v>
      </c>
      <c r="AJ832" s="6" t="s">
        <v>5703</v>
      </c>
      <c r="AK832" s="6" t="n">
        <v>117</v>
      </c>
      <c r="AL832" s="6" t="s">
        <v>5704</v>
      </c>
      <c r="AM832" s="6" t="n">
        <v>110</v>
      </c>
      <c r="AN832" s="6" t="s">
        <v>5705</v>
      </c>
      <c r="AO832" s="6" t="n">
        <v>101</v>
      </c>
      <c r="AP832" s="6" t="s">
        <v>5706</v>
      </c>
      <c r="AQ832" s="6" t="n">
        <v>92</v>
      </c>
      <c r="AR832" s="6" t="s">
        <v>5707</v>
      </c>
      <c r="AS832" s="6" t="n">
        <v>87</v>
      </c>
      <c r="AT832" s="6" t="s">
        <v>5708</v>
      </c>
      <c r="AU832" s="6" t="n">
        <v>77</v>
      </c>
      <c r="AV832" s="6" t="s">
        <v>5709</v>
      </c>
      <c r="AW832" s="6" t="n">
        <v>75</v>
      </c>
      <c r="AX832" s="6" t="s">
        <v>5710</v>
      </c>
      <c r="AY832" s="6" t="n">
        <v>72</v>
      </c>
      <c r="AZ832" s="6" t="s">
        <v>5711</v>
      </c>
      <c r="BA832" s="6" t="n">
        <v>72</v>
      </c>
      <c r="BB832" s="6" t="s">
        <v>5712</v>
      </c>
      <c r="BC832" s="6" t="n">
        <v>65</v>
      </c>
      <c r="BD832" s="6" t="s">
        <v>5713</v>
      </c>
      <c r="BE832" s="6" t="n">
        <v>62</v>
      </c>
      <c r="BF832" s="6" t="s">
        <v>5714</v>
      </c>
      <c r="BG832" s="6" t="n">
        <v>62</v>
      </c>
      <c r="BH832" s="6" t="s">
        <v>5713</v>
      </c>
      <c r="BI832" s="6" t="n">
        <v>62</v>
      </c>
      <c r="BJ832" s="6" t="s">
        <v>5715</v>
      </c>
      <c r="BK832" s="6" t="n">
        <v>61</v>
      </c>
      <c r="BL832" s="6" t="s">
        <v>5716</v>
      </c>
      <c r="BM832" s="6" t="n">
        <v>58</v>
      </c>
      <c r="BN832" s="6" t="s">
        <v>5717</v>
      </c>
      <c r="BO832" s="6" t="n">
        <v>58</v>
      </c>
      <c r="BP832" s="6" t="s">
        <v>5718</v>
      </c>
      <c r="BQ832" s="6" t="n">
        <v>56</v>
      </c>
      <c r="BR832" s="6" t="s">
        <v>5719</v>
      </c>
      <c r="BS832" s="6" t="n">
        <v>54</v>
      </c>
      <c r="BT832" s="6" t="s">
        <v>5719</v>
      </c>
      <c r="BU832" s="6" t="n">
        <v>54</v>
      </c>
      <c r="BV832" s="6" t="s">
        <v>5720</v>
      </c>
      <c r="BW832" s="6" t="n">
        <v>50</v>
      </c>
      <c r="BX832" s="6" t="s">
        <v>5720</v>
      </c>
      <c r="BY832" s="6" t="n">
        <v>50</v>
      </c>
      <c r="BZ832" s="6" t="s">
        <v>5721</v>
      </c>
      <c r="CA832" s="6" t="n">
        <v>49</v>
      </c>
      <c r="CB832" s="6" t="s">
        <v>5722</v>
      </c>
      <c r="CC832" s="6" t="n">
        <v>48</v>
      </c>
      <c r="CD832" s="6" t="s">
        <v>5723</v>
      </c>
      <c r="CE832" s="6" t="n">
        <v>41</v>
      </c>
      <c r="CF832" s="6" t="s">
        <v>5724</v>
      </c>
      <c r="CG832" s="6" t="n">
        <v>39</v>
      </c>
      <c r="CH832" s="6" t="s">
        <v>5725</v>
      </c>
      <c r="CI832" s="6" t="n">
        <v>38</v>
      </c>
      <c r="CJ832" s="6" t="s">
        <v>5726</v>
      </c>
      <c r="CK832" s="6" t="n">
        <v>34</v>
      </c>
      <c r="CL832" s="6" t="s">
        <v>5727</v>
      </c>
      <c r="CM832" s="6" t="n">
        <v>30</v>
      </c>
      <c r="CN832" s="6" t="s">
        <v>5727</v>
      </c>
      <c r="CO832" s="6" t="n">
        <v>30</v>
      </c>
      <c r="CP832" s="6" t="s">
        <v>5728</v>
      </c>
      <c r="CQ832" s="6" t="n">
        <v>29</v>
      </c>
      <c r="CR832" s="6" t="s">
        <v>5728</v>
      </c>
      <c r="CS832" s="6" t="n">
        <v>29</v>
      </c>
      <c r="CT832" s="6" t="s">
        <v>5729</v>
      </c>
      <c r="CU832" s="6" t="n">
        <v>27</v>
      </c>
      <c r="CV832" s="6" t="s">
        <v>5730</v>
      </c>
      <c r="CW832" s="6" t="n">
        <v>27</v>
      </c>
      <c r="CX832" s="6" t="s">
        <v>5731</v>
      </c>
      <c r="CY832" s="6" t="n">
        <v>26</v>
      </c>
      <c r="CZ832" s="6" t="s">
        <v>5732</v>
      </c>
      <c r="DA832" s="6" t="n">
        <v>26</v>
      </c>
      <c r="DB832" s="6" t="s">
        <v>5733</v>
      </c>
      <c r="DC832" s="6" t="n">
        <v>25</v>
      </c>
      <c r="DD832" s="6" t="s">
        <v>5734</v>
      </c>
      <c r="DE832" s="6" t="n">
        <v>24</v>
      </c>
      <c r="DF832" s="6" t="s">
        <v>5735</v>
      </c>
      <c r="DG832" s="6" t="n">
        <v>24</v>
      </c>
      <c r="DH832" s="6" t="s">
        <v>5736</v>
      </c>
      <c r="DI832" s="6" t="n">
        <v>23</v>
      </c>
      <c r="DJ832" s="6" t="s">
        <v>5737</v>
      </c>
      <c r="DK832" s="6" t="n">
        <v>23</v>
      </c>
      <c r="DL832" s="6" t="s">
        <v>5738</v>
      </c>
      <c r="DM832" s="6" t="n">
        <v>20</v>
      </c>
      <c r="DN832" s="6" t="s">
        <v>5739</v>
      </c>
      <c r="DO832" s="6" t="n">
        <v>20</v>
      </c>
      <c r="DP832" s="6" t="s">
        <v>5740</v>
      </c>
      <c r="DQ832" s="6" t="n">
        <v>19</v>
      </c>
      <c r="DR832" s="6" t="s">
        <v>5741</v>
      </c>
      <c r="DS832" s="6" t="n">
        <v>19</v>
      </c>
      <c r="DT832" s="6" t="s">
        <v>5742</v>
      </c>
      <c r="DU832" s="6" t="n">
        <v>19</v>
      </c>
      <c r="DV832" s="6" t="s">
        <v>5743</v>
      </c>
      <c r="DW832" s="6" t="n">
        <v>19</v>
      </c>
      <c r="DX832" s="6" t="s">
        <v>5740</v>
      </c>
      <c r="DY832" s="6" t="n">
        <v>19</v>
      </c>
      <c r="DZ832" s="6" t="s">
        <v>5744</v>
      </c>
      <c r="EA832" s="6" t="n">
        <v>18</v>
      </c>
      <c r="EB832" s="6" t="s">
        <v>5745</v>
      </c>
      <c r="EC832" s="6" t="n">
        <v>18</v>
      </c>
      <c r="ED832" s="6" t="s">
        <v>5745</v>
      </c>
      <c r="EE832" s="6" t="n">
        <v>18</v>
      </c>
      <c r="EF832" s="6" t="s">
        <v>5746</v>
      </c>
      <c r="EG832" s="6" t="n">
        <v>17</v>
      </c>
      <c r="EH832" s="6" t="s">
        <v>5747</v>
      </c>
      <c r="EI832" s="6" t="n">
        <v>17</v>
      </c>
      <c r="EJ832" s="6" t="s">
        <v>5748</v>
      </c>
      <c r="EK832" s="6" t="n">
        <v>17</v>
      </c>
      <c r="EL832" s="6" t="s">
        <v>5749</v>
      </c>
      <c r="EM832" s="6" t="n">
        <v>17</v>
      </c>
      <c r="EN832" s="6" t="s">
        <v>5749</v>
      </c>
      <c r="EO832" s="6" t="n">
        <v>17</v>
      </c>
      <c r="EP832" s="6" t="s">
        <v>5750</v>
      </c>
      <c r="EQ832" s="6" t="n">
        <v>16</v>
      </c>
      <c r="ER832" s="6" t="s">
        <v>5751</v>
      </c>
      <c r="ES832" s="6" t="n">
        <v>16</v>
      </c>
      <c r="ET832" s="6" t="s">
        <v>5752</v>
      </c>
      <c r="EU832" s="6" t="n">
        <v>16</v>
      </c>
      <c r="EV832" s="6" t="s">
        <v>5753</v>
      </c>
      <c r="EW832" s="6" t="n">
        <v>16</v>
      </c>
      <c r="EX832" s="6" t="s">
        <v>5754</v>
      </c>
      <c r="EY832" s="6" t="n">
        <v>15</v>
      </c>
      <c r="EZ832" s="6" t="s">
        <v>5755</v>
      </c>
      <c r="FA832" s="6" t="n">
        <v>15</v>
      </c>
      <c r="FB832" s="6" t="s">
        <v>5756</v>
      </c>
      <c r="FC832" s="6" t="n">
        <v>14</v>
      </c>
      <c r="FD832" s="6" t="s">
        <v>5757</v>
      </c>
      <c r="FE832" s="6" t="n">
        <v>14</v>
      </c>
      <c r="FF832" s="6" t="s">
        <v>5758</v>
      </c>
      <c r="FG832" s="6" t="n">
        <v>14</v>
      </c>
      <c r="FH832" s="6" t="s">
        <v>5759</v>
      </c>
      <c r="FI832" s="6" t="n">
        <v>14</v>
      </c>
      <c r="FJ832" s="6" t="s">
        <v>5760</v>
      </c>
      <c r="FK832" s="6" t="n">
        <v>14</v>
      </c>
      <c r="FL832" s="6" t="s">
        <v>5759</v>
      </c>
      <c r="FM832" s="6" t="n">
        <v>14</v>
      </c>
      <c r="FN832" s="6" t="s">
        <v>5761</v>
      </c>
      <c r="FO832" s="6" t="n">
        <v>13</v>
      </c>
      <c r="FP832" s="6" t="s">
        <v>5762</v>
      </c>
      <c r="FQ832" s="6" t="n">
        <v>13</v>
      </c>
      <c r="FR832" s="6" t="s">
        <v>5763</v>
      </c>
      <c r="FS832" s="6" t="n">
        <v>12</v>
      </c>
      <c r="FT832" s="6" t="s">
        <v>5764</v>
      </c>
      <c r="FU832" s="6" t="n">
        <v>12</v>
      </c>
      <c r="FV832" s="6" t="s">
        <v>5765</v>
      </c>
      <c r="FW832" s="6" t="n">
        <v>12</v>
      </c>
      <c r="FX832" s="6" t="s">
        <v>5766</v>
      </c>
      <c r="FY832" s="6" t="n">
        <v>11</v>
      </c>
      <c r="FZ832" s="6" t="s">
        <v>5767</v>
      </c>
      <c r="GA832" s="6" t="n">
        <v>11</v>
      </c>
      <c r="GB832" s="6" t="s">
        <v>5768</v>
      </c>
      <c r="GC832" s="6" t="n">
        <v>11</v>
      </c>
      <c r="GD832" s="6" t="s">
        <v>5769</v>
      </c>
      <c r="GE832" s="6" t="n">
        <v>11</v>
      </c>
      <c r="GF832" s="6" t="s">
        <v>5770</v>
      </c>
      <c r="GG832" s="6" t="n">
        <v>11</v>
      </c>
      <c r="GH832" s="6" t="s">
        <v>5771</v>
      </c>
      <c r="GI832" s="6" t="n">
        <v>11</v>
      </c>
      <c r="GJ832" s="6" t="s">
        <v>5772</v>
      </c>
      <c r="GK832" s="6" t="n">
        <v>10</v>
      </c>
      <c r="GL832" s="6" t="s">
        <v>5773</v>
      </c>
      <c r="GM832" s="6" t="n">
        <v>10</v>
      </c>
      <c r="GN832" s="6" t="s">
        <v>5774</v>
      </c>
      <c r="GO832" s="6" t="n">
        <v>10</v>
      </c>
      <c r="GP832" s="6" t="s">
        <v>5775</v>
      </c>
      <c r="GQ832" s="6" t="n">
        <v>9</v>
      </c>
      <c r="GR832" s="6" t="s">
        <v>5776</v>
      </c>
      <c r="GS832" s="6" t="n">
        <v>9</v>
      </c>
      <c r="GT832" s="6" t="s">
        <v>5777</v>
      </c>
      <c r="GU832" s="6" t="n">
        <v>9</v>
      </c>
      <c r="GV832" s="6" t="s">
        <v>5778</v>
      </c>
      <c r="GW832" s="6" t="n">
        <v>8</v>
      </c>
      <c r="GX832" s="6" t="s">
        <v>5779</v>
      </c>
      <c r="GY832" s="6" t="n">
        <v>8</v>
      </c>
      <c r="GZ832" s="6" t="s">
        <v>5780</v>
      </c>
      <c r="HA832" s="6" t="n">
        <v>8</v>
      </c>
      <c r="HB832" s="6" t="s">
        <v>5781</v>
      </c>
      <c r="HC832" s="6" t="n">
        <v>8</v>
      </c>
      <c r="HD832" s="6" t="s">
        <v>5782</v>
      </c>
      <c r="HE832" s="6" t="n">
        <v>8</v>
      </c>
      <c r="HF832" s="6" t="s">
        <v>5783</v>
      </c>
      <c r="HG832" s="6" t="n">
        <v>8</v>
      </c>
      <c r="HH832" s="6" t="s">
        <v>5784</v>
      </c>
      <c r="HI832" s="6" t="n">
        <v>8</v>
      </c>
      <c r="HJ832" s="6" t="s">
        <v>5785</v>
      </c>
      <c r="HK832" s="6" t="n">
        <v>8</v>
      </c>
      <c r="HL832" s="6" t="s">
        <v>5786</v>
      </c>
      <c r="HM832" s="6" t="n">
        <v>8</v>
      </c>
      <c r="HN832" s="6" t="s">
        <v>5781</v>
      </c>
      <c r="HO832" s="6" t="n">
        <v>8</v>
      </c>
      <c r="HP832" s="6" t="s">
        <v>5782</v>
      </c>
      <c r="HQ832" s="6" t="n">
        <v>8</v>
      </c>
      <c r="HR832" s="6" t="s">
        <v>5787</v>
      </c>
      <c r="HS832" s="6" t="n">
        <v>7</v>
      </c>
      <c r="HT832" s="6" t="s">
        <v>5788</v>
      </c>
      <c r="HU832" s="6" t="n">
        <v>7</v>
      </c>
      <c r="HV832" s="6" t="s">
        <v>5789</v>
      </c>
      <c r="HW832" s="6" t="n">
        <v>7</v>
      </c>
      <c r="HX832" s="6" t="s">
        <v>5790</v>
      </c>
      <c r="HY832" s="6" t="n">
        <v>7</v>
      </c>
      <c r="HZ832" s="6" t="s">
        <v>5791</v>
      </c>
      <c r="IA832" s="6" t="n">
        <v>7</v>
      </c>
      <c r="IB832" s="6" t="s">
        <v>5792</v>
      </c>
      <c r="IC832" s="6" t="n">
        <v>7</v>
      </c>
      <c r="ID832" s="6" t="s">
        <v>5793</v>
      </c>
      <c r="IE832" s="6" t="n">
        <v>7</v>
      </c>
      <c r="IF832" s="6" t="s">
        <v>5794</v>
      </c>
      <c r="IG832" s="6" t="n">
        <v>7</v>
      </c>
      <c r="IH832" s="6" t="s">
        <v>5795</v>
      </c>
      <c r="II832" s="6" t="n">
        <v>7</v>
      </c>
      <c r="IJ832" s="6" t="s">
        <v>5796</v>
      </c>
      <c r="IK832" s="6" t="n">
        <v>7</v>
      </c>
      <c r="IL832" s="6" t="s">
        <v>5797</v>
      </c>
      <c r="IM832" s="6" t="n">
        <v>7</v>
      </c>
      <c r="IN832" s="6" t="s">
        <v>5798</v>
      </c>
      <c r="IO832" s="6" t="n">
        <v>7</v>
      </c>
      <c r="IP832" s="6" t="s">
        <v>5799</v>
      </c>
      <c r="IQ832" s="6" t="n">
        <v>7</v>
      </c>
      <c r="IR832" s="6" t="s">
        <v>5800</v>
      </c>
      <c r="IS832" s="6" t="n">
        <v>7</v>
      </c>
      <c r="IT832" s="6" t="s">
        <v>5801</v>
      </c>
      <c r="IU832" s="6" t="n">
        <v>7</v>
      </c>
      <c r="IV832" s="6" t="s">
        <v>5802</v>
      </c>
      <c r="IW832" s="6" t="n">
        <v>7</v>
      </c>
      <c r="IX832" s="6" t="s">
        <v>5803</v>
      </c>
      <c r="IY832" s="6" t="n">
        <v>6</v>
      </c>
      <c r="IZ832" s="6" t="s">
        <v>5804</v>
      </c>
      <c r="JA832" s="6" t="n">
        <v>6</v>
      </c>
      <c r="JB832" s="6" t="s">
        <v>5805</v>
      </c>
      <c r="JC832" s="6" t="n">
        <v>6</v>
      </c>
      <c r="JD832" s="6" t="s">
        <v>5806</v>
      </c>
      <c r="JE832" s="6" t="n">
        <v>6</v>
      </c>
      <c r="JF832" s="6" t="s">
        <v>5807</v>
      </c>
      <c r="JG832" s="6" t="n">
        <v>6</v>
      </c>
      <c r="JH832" s="6" t="s">
        <v>5808</v>
      </c>
      <c r="JI832" s="6" t="n">
        <v>6</v>
      </c>
      <c r="JJ832" s="6" t="s">
        <v>5809</v>
      </c>
      <c r="JK832" s="6" t="n">
        <v>6</v>
      </c>
      <c r="JL832" s="6" t="s">
        <v>5810</v>
      </c>
      <c r="JM832" s="6" t="n">
        <v>6</v>
      </c>
      <c r="JN832" s="6" t="s">
        <v>5811</v>
      </c>
      <c r="JO832" s="6" t="n">
        <v>6</v>
      </c>
      <c r="JP832" s="6" t="s">
        <v>5803</v>
      </c>
      <c r="JQ832" s="6" t="n">
        <v>6</v>
      </c>
      <c r="JR832" s="6" t="s">
        <v>5812</v>
      </c>
      <c r="JS832" s="6" t="n">
        <v>6</v>
      </c>
      <c r="JT832" s="6" t="s">
        <v>5810</v>
      </c>
      <c r="JU832" s="6" t="n">
        <v>6</v>
      </c>
      <c r="JV832" s="6" t="s">
        <v>5813</v>
      </c>
      <c r="JW832" s="6" t="n">
        <v>5</v>
      </c>
      <c r="JX832" s="6" t="s">
        <v>5814</v>
      </c>
      <c r="JY832" s="6" t="n">
        <v>5</v>
      </c>
      <c r="JZ832" s="6" t="s">
        <v>5815</v>
      </c>
      <c r="KA832" s="6" t="n">
        <v>5</v>
      </c>
      <c r="KB832" s="6" t="s">
        <v>5816</v>
      </c>
      <c r="KC832" s="6" t="n">
        <v>5</v>
      </c>
      <c r="KD832" s="6" t="s">
        <v>5817</v>
      </c>
      <c r="KE832" s="6" t="n">
        <v>5</v>
      </c>
      <c r="KF832" s="6" t="s">
        <v>5818</v>
      </c>
      <c r="KG832" s="6" t="n">
        <v>5</v>
      </c>
      <c r="KH832" s="6" t="s">
        <v>5819</v>
      </c>
      <c r="KI832" s="6" t="n">
        <v>5</v>
      </c>
      <c r="KJ832" s="6" t="s">
        <v>5820</v>
      </c>
      <c r="KK832" s="6" t="n">
        <v>5</v>
      </c>
      <c r="KL832" s="6" t="s">
        <v>5821</v>
      </c>
      <c r="KM832" s="6" t="n">
        <v>5</v>
      </c>
      <c r="KN832" s="6" t="s">
        <v>5822</v>
      </c>
      <c r="KO832" s="6" t="n">
        <v>5</v>
      </c>
      <c r="KP832" s="6" t="s">
        <v>5823</v>
      </c>
      <c r="KQ832" s="6" t="n">
        <v>5</v>
      </c>
      <c r="KR832" s="6" t="s">
        <v>5824</v>
      </c>
      <c r="KS832" s="6" t="n">
        <v>5</v>
      </c>
      <c r="KT832" s="6" t="s">
        <v>5825</v>
      </c>
      <c r="KU832" s="6" t="n">
        <v>5</v>
      </c>
      <c r="KV832" s="6" t="s">
        <v>5826</v>
      </c>
      <c r="KW832" s="6" t="n">
        <v>5</v>
      </c>
      <c r="KX832" s="6" t="s">
        <v>5827</v>
      </c>
      <c r="KY832" s="6" t="n">
        <v>5</v>
      </c>
      <c r="KZ832" s="6" t="s">
        <v>5828</v>
      </c>
      <c r="LA832" s="6" t="n">
        <v>5</v>
      </c>
      <c r="LB832" s="6" t="s">
        <v>5829</v>
      </c>
      <c r="LC832" s="6" t="n">
        <v>4</v>
      </c>
      <c r="LD832" s="6" t="s">
        <v>5830</v>
      </c>
      <c r="LE832" s="6" t="n">
        <v>4</v>
      </c>
      <c r="LF832" s="6" t="s">
        <v>5831</v>
      </c>
      <c r="LG832" s="6" t="n">
        <v>4</v>
      </c>
      <c r="LH832" s="6" t="s">
        <v>5832</v>
      </c>
      <c r="LI832" s="6" t="n">
        <v>4</v>
      </c>
      <c r="LJ832" s="6" t="s">
        <v>5833</v>
      </c>
      <c r="LK832" s="6" t="n">
        <v>4</v>
      </c>
      <c r="LL832" s="6" t="s">
        <v>5834</v>
      </c>
      <c r="LM832" s="6" t="n">
        <v>4</v>
      </c>
      <c r="LN832" s="6" t="s">
        <v>5835</v>
      </c>
      <c r="LO832" s="6" t="n">
        <v>4</v>
      </c>
      <c r="LP832" s="6" t="s">
        <v>5836</v>
      </c>
      <c r="LQ832" s="6" t="n">
        <v>4</v>
      </c>
      <c r="LR832" s="6" t="s">
        <v>5837</v>
      </c>
      <c r="LS832" s="6" t="n">
        <v>4</v>
      </c>
      <c r="LT832" s="6" t="s">
        <v>5838</v>
      </c>
      <c r="LU832" s="6" t="n">
        <v>4</v>
      </c>
      <c r="LV832" s="6" t="s">
        <v>5839</v>
      </c>
      <c r="LW832" s="6" t="n">
        <v>4</v>
      </c>
      <c r="LX832" s="6" t="s">
        <v>5840</v>
      </c>
      <c r="LY832" s="6" t="n">
        <v>4</v>
      </c>
      <c r="LZ832" s="6" t="s">
        <v>5841</v>
      </c>
      <c r="MA832" s="6" t="n">
        <v>4</v>
      </c>
      <c r="MB832" s="6" t="s">
        <v>5842</v>
      </c>
      <c r="MC832" s="6" t="n">
        <v>4</v>
      </c>
      <c r="MD832" s="6" t="s">
        <v>5843</v>
      </c>
      <c r="ME832" s="6" t="n">
        <v>4</v>
      </c>
      <c r="MF832" s="6" t="s">
        <v>5844</v>
      </c>
      <c r="MG832" s="6" t="n">
        <v>4</v>
      </c>
      <c r="MH832" s="6" t="s">
        <v>5845</v>
      </c>
      <c r="MI832" s="6" t="n">
        <v>4</v>
      </c>
      <c r="MJ832" s="6" t="s">
        <v>5846</v>
      </c>
      <c r="MK832" s="6" t="n">
        <v>4</v>
      </c>
      <c r="ML832" s="6" t="s">
        <v>5847</v>
      </c>
      <c r="MM832" s="6" t="n">
        <v>4</v>
      </c>
      <c r="MN832" s="6" t="s">
        <v>5848</v>
      </c>
      <c r="MO832" s="6" t="n">
        <v>3</v>
      </c>
      <c r="MP832" s="6" t="s">
        <v>5849</v>
      </c>
      <c r="MQ832" s="6" t="n">
        <v>3</v>
      </c>
      <c r="MR832" s="6" t="s">
        <v>5850</v>
      </c>
      <c r="MS832" s="6" t="n">
        <v>3</v>
      </c>
      <c r="MT832" s="6" t="s">
        <v>5851</v>
      </c>
      <c r="MU832" s="6" t="n">
        <v>3</v>
      </c>
      <c r="MV832" s="6" t="s">
        <v>5852</v>
      </c>
      <c r="MW832" s="6" t="n">
        <v>3</v>
      </c>
      <c r="MX832" s="6" t="s">
        <v>5853</v>
      </c>
      <c r="MY832" s="6" t="n">
        <v>3</v>
      </c>
      <c r="MZ832" s="6" t="s">
        <v>5854</v>
      </c>
      <c r="NA832" s="6" t="n">
        <v>3</v>
      </c>
      <c r="NB832" s="6" t="s">
        <v>5855</v>
      </c>
      <c r="NC832" s="6" t="n">
        <v>3</v>
      </c>
      <c r="ND832" s="6" t="s">
        <v>5856</v>
      </c>
      <c r="NE832" s="6" t="n">
        <v>3</v>
      </c>
      <c r="NF832" s="6" t="s">
        <v>5857</v>
      </c>
      <c r="NG832" s="6" t="n">
        <v>3</v>
      </c>
      <c r="NH832" s="6" t="s">
        <v>5858</v>
      </c>
      <c r="NI832" s="6" t="n">
        <v>3</v>
      </c>
      <c r="NJ832" s="6" t="s">
        <v>5859</v>
      </c>
      <c r="NK832" s="6" t="n">
        <v>3</v>
      </c>
      <c r="NL832" s="6" t="s">
        <v>5860</v>
      </c>
      <c r="NM832" s="6" t="n">
        <v>3</v>
      </c>
      <c r="NN832" s="6" t="s">
        <v>5861</v>
      </c>
      <c r="NO832" s="6" t="n">
        <v>3</v>
      </c>
      <c r="NP832" s="6" t="s">
        <v>5862</v>
      </c>
      <c r="NQ832" s="6" t="n">
        <v>3</v>
      </c>
      <c r="NR832" s="6" t="s">
        <v>5863</v>
      </c>
      <c r="NS832" s="6" t="n">
        <v>3</v>
      </c>
      <c r="NT832" s="6" t="s">
        <v>5864</v>
      </c>
      <c r="NU832" s="6" t="n">
        <v>3</v>
      </c>
      <c r="NV832" s="6" t="s">
        <v>5865</v>
      </c>
      <c r="NW832" s="6" t="n">
        <v>3</v>
      </c>
      <c r="NX832" s="6" t="s">
        <v>5866</v>
      </c>
      <c r="NY832" s="6" t="n">
        <v>3</v>
      </c>
      <c r="NZ832" s="6" t="s">
        <v>5867</v>
      </c>
      <c r="OA832" s="6" t="n">
        <v>3</v>
      </c>
      <c r="OB832" s="6" t="s">
        <v>5868</v>
      </c>
      <c r="OC832" s="6" t="n">
        <v>3</v>
      </c>
      <c r="OD832" s="6" t="s">
        <v>5869</v>
      </c>
      <c r="OE832" s="6" t="n">
        <v>3</v>
      </c>
      <c r="OF832" s="6" t="s">
        <v>5870</v>
      </c>
      <c r="OG832" s="6" t="n">
        <v>3</v>
      </c>
      <c r="OH832" s="6" t="s">
        <v>5871</v>
      </c>
      <c r="OI832" s="6" t="n">
        <v>3</v>
      </c>
      <c r="OJ832" s="6" t="s">
        <v>5872</v>
      </c>
      <c r="OK832" s="6" t="n">
        <v>3</v>
      </c>
      <c r="OL832" s="6" t="s">
        <v>5873</v>
      </c>
      <c r="OM832" s="6" t="n">
        <v>3</v>
      </c>
      <c r="ON832" s="6" t="s">
        <v>5874</v>
      </c>
      <c r="OO832" s="6" t="n">
        <v>3</v>
      </c>
      <c r="OP832" s="6" t="s">
        <v>5875</v>
      </c>
      <c r="OQ832" s="6" t="n">
        <v>3</v>
      </c>
      <c r="OR832" s="6" t="s">
        <v>5876</v>
      </c>
      <c r="OS832" s="6" t="n">
        <v>3</v>
      </c>
      <c r="OT832" s="6" t="s">
        <v>5877</v>
      </c>
      <c r="OU832" s="6" t="n">
        <v>3</v>
      </c>
      <c r="OV832" s="6" t="s">
        <v>5878</v>
      </c>
      <c r="OW832" s="6" t="n">
        <v>3</v>
      </c>
      <c r="OX832" s="6" t="s">
        <v>5866</v>
      </c>
      <c r="OY832" s="6" t="n">
        <v>3</v>
      </c>
      <c r="OZ832" s="6" t="s">
        <v>5879</v>
      </c>
      <c r="PA832" s="6" t="n">
        <v>3</v>
      </c>
      <c r="PB832" s="6" t="s">
        <v>5880</v>
      </c>
      <c r="PC832" s="6" t="n">
        <v>2</v>
      </c>
      <c r="PD832" s="6" t="s">
        <v>5881</v>
      </c>
      <c r="PE832" s="6" t="n">
        <v>2</v>
      </c>
      <c r="PF832" s="6" t="s">
        <v>5882</v>
      </c>
      <c r="PG832" s="6" t="n">
        <v>2</v>
      </c>
      <c r="PH832" s="6" t="s">
        <v>5883</v>
      </c>
      <c r="PI832" s="6" t="n">
        <v>2</v>
      </c>
      <c r="PJ832" s="6" t="s">
        <v>5884</v>
      </c>
      <c r="PK832" s="6" t="n">
        <v>2</v>
      </c>
      <c r="PL832" s="6" t="s">
        <v>5885</v>
      </c>
      <c r="PM832" s="6" t="n">
        <v>2</v>
      </c>
      <c r="PN832" s="6" t="s">
        <v>5886</v>
      </c>
      <c r="PO832" s="6" t="n">
        <v>2</v>
      </c>
      <c r="PP832" s="6" t="s">
        <v>5887</v>
      </c>
      <c r="PQ832" s="6" t="n">
        <v>2</v>
      </c>
      <c r="PR832" s="6" t="s">
        <v>5888</v>
      </c>
      <c r="PS832" s="6" t="n">
        <v>2</v>
      </c>
      <c r="PT832" s="6" t="s">
        <v>5889</v>
      </c>
      <c r="PU832" s="6" t="n">
        <v>2</v>
      </c>
      <c r="PV832" s="6" t="s">
        <v>5890</v>
      </c>
      <c r="PW832" s="6" t="n">
        <v>2</v>
      </c>
      <c r="PX832" s="6" t="s">
        <v>5891</v>
      </c>
      <c r="PY832" s="6" t="n">
        <v>2</v>
      </c>
      <c r="PZ832" s="6" t="s">
        <v>5892</v>
      </c>
      <c r="QA832" s="6" t="n">
        <v>2</v>
      </c>
      <c r="QB832" s="6" t="s">
        <v>5893</v>
      </c>
      <c r="QC832" s="6" t="n">
        <v>2</v>
      </c>
      <c r="QD832" s="6" t="s">
        <v>5894</v>
      </c>
      <c r="QE832" s="6" t="n">
        <v>2</v>
      </c>
      <c r="QF832" s="6" t="s">
        <v>5895</v>
      </c>
      <c r="QG832" s="6" t="n">
        <v>2</v>
      </c>
      <c r="QH832" s="6" t="s">
        <v>5896</v>
      </c>
      <c r="QI832" s="6" t="n">
        <v>2</v>
      </c>
      <c r="QJ832" s="6" t="s">
        <v>5897</v>
      </c>
      <c r="QK832" s="6" t="n">
        <v>2</v>
      </c>
      <c r="QL832" s="6" t="s">
        <v>5898</v>
      </c>
      <c r="QM832" s="6" t="n">
        <v>2</v>
      </c>
      <c r="QN832" s="6" t="s">
        <v>5899</v>
      </c>
      <c r="QO832" s="6" t="n">
        <v>2</v>
      </c>
      <c r="QP832" s="6" t="s">
        <v>5900</v>
      </c>
      <c r="QQ832" s="6" t="n">
        <v>2</v>
      </c>
      <c r="QR832" s="6" t="s">
        <v>5901</v>
      </c>
      <c r="QS832" s="6" t="n">
        <v>2</v>
      </c>
      <c r="QT832" s="6" t="s">
        <v>5902</v>
      </c>
      <c r="QU832" s="6" t="n">
        <v>2</v>
      </c>
      <c r="QV832" s="6" t="s">
        <v>5903</v>
      </c>
      <c r="QW832" s="6" t="n">
        <v>2</v>
      </c>
      <c r="QX832" s="6" t="s">
        <v>5904</v>
      </c>
      <c r="QY832" s="6" t="n">
        <v>2</v>
      </c>
      <c r="QZ832" s="6" t="s">
        <v>5905</v>
      </c>
      <c r="RA832" s="6" t="n">
        <v>2</v>
      </c>
      <c r="RB832" s="6" t="s">
        <v>5906</v>
      </c>
      <c r="RC832" s="6" t="n">
        <v>2</v>
      </c>
      <c r="RD832" s="6" t="s">
        <v>5907</v>
      </c>
      <c r="RE832" s="6" t="n">
        <v>2</v>
      </c>
      <c r="RF832" s="6" t="s">
        <v>5908</v>
      </c>
      <c r="RG832" s="6" t="n">
        <v>2</v>
      </c>
      <c r="RH832" s="6" t="s">
        <v>5909</v>
      </c>
      <c r="RI832" s="6" t="n">
        <v>2</v>
      </c>
      <c r="RJ832" s="6" t="s">
        <v>5910</v>
      </c>
      <c r="RK832" s="6" t="n">
        <v>2</v>
      </c>
      <c r="RL832" s="6" t="s">
        <v>5911</v>
      </c>
      <c r="RM832" s="6" t="n">
        <v>2</v>
      </c>
      <c r="RN832" s="6" t="s">
        <v>5912</v>
      </c>
      <c r="RO832" s="6" t="n">
        <v>2</v>
      </c>
      <c r="RP832" s="6" t="s">
        <v>5913</v>
      </c>
      <c r="RQ832" s="6" t="n">
        <v>2</v>
      </c>
      <c r="RR832" s="6" t="s">
        <v>5914</v>
      </c>
      <c r="RS832" s="6" t="n">
        <v>2</v>
      </c>
      <c r="RT832" s="6" t="s">
        <v>5915</v>
      </c>
      <c r="RU832" s="6" t="n">
        <v>2</v>
      </c>
      <c r="RV832" s="6" t="s">
        <v>5916</v>
      </c>
      <c r="RW832" s="6" t="n">
        <v>2</v>
      </c>
      <c r="RX832" s="6" t="s">
        <v>5917</v>
      </c>
      <c r="RY832" s="6" t="n">
        <v>2</v>
      </c>
      <c r="RZ832" s="6" t="s">
        <v>5918</v>
      </c>
      <c r="SA832" s="6" t="n">
        <v>2</v>
      </c>
      <c r="SB832" s="6" t="s">
        <v>5919</v>
      </c>
      <c r="SC832" s="6" t="n">
        <v>2</v>
      </c>
      <c r="SD832" s="6" t="s">
        <v>5920</v>
      </c>
      <c r="SE832" s="6" t="n">
        <v>2</v>
      </c>
      <c r="SF832" s="6" t="s">
        <v>5921</v>
      </c>
      <c r="SG832" s="6" t="n">
        <v>2</v>
      </c>
      <c r="SH832" s="6" t="s">
        <v>5922</v>
      </c>
      <c r="SI832" s="6" t="n">
        <v>2</v>
      </c>
      <c r="SJ832" s="6" t="s">
        <v>5923</v>
      </c>
      <c r="SK832" s="6" t="n">
        <v>2</v>
      </c>
      <c r="SL832" s="6" t="s">
        <v>5924</v>
      </c>
      <c r="SM832" s="6" t="n">
        <v>2</v>
      </c>
      <c r="SN832" s="6" t="s">
        <v>5925</v>
      </c>
      <c r="SO832" s="6" t="n">
        <v>2</v>
      </c>
      <c r="SP832" s="6" t="s">
        <v>5926</v>
      </c>
      <c r="SQ832" s="6" t="n">
        <v>2</v>
      </c>
      <c r="SR832" s="6" t="s">
        <v>5927</v>
      </c>
      <c r="SS832" s="6" t="n">
        <v>2</v>
      </c>
      <c r="ST832" s="6" t="s">
        <v>5928</v>
      </c>
      <c r="SU832" s="6" t="n">
        <v>2</v>
      </c>
      <c r="SV832" s="6" t="s">
        <v>5929</v>
      </c>
      <c r="SW832" s="6" t="n">
        <v>2</v>
      </c>
      <c r="SX832" s="6" t="s">
        <v>5930</v>
      </c>
      <c r="SY832" s="6" t="n">
        <v>2</v>
      </c>
      <c r="SZ832" s="6" t="s">
        <v>5931</v>
      </c>
      <c r="TA832" s="6" t="n">
        <v>2</v>
      </c>
      <c r="TB832" s="6" t="s">
        <v>5932</v>
      </c>
      <c r="TC832" s="6" t="n">
        <v>2</v>
      </c>
      <c r="TD832" s="6" t="s">
        <v>5933</v>
      </c>
      <c r="TE832" s="6" t="n">
        <v>2</v>
      </c>
      <c r="TF832" s="6" t="s">
        <v>5934</v>
      </c>
      <c r="TG832" s="6" t="n">
        <v>2</v>
      </c>
      <c r="TH832" s="6" t="s">
        <v>5935</v>
      </c>
      <c r="TI832" s="6" t="n">
        <v>2</v>
      </c>
      <c r="TJ832" s="6" t="s">
        <v>5936</v>
      </c>
      <c r="TK832" s="6" t="n">
        <v>2</v>
      </c>
      <c r="TL832" s="6" t="s">
        <v>5937</v>
      </c>
      <c r="TM832" s="6" t="n">
        <v>2</v>
      </c>
      <c r="TN832" s="6" t="s">
        <v>5938</v>
      </c>
      <c r="TO832" s="6" t="n">
        <v>2</v>
      </c>
      <c r="TP832" s="6" t="s">
        <v>5939</v>
      </c>
      <c r="TQ832" s="6" t="n">
        <v>2</v>
      </c>
      <c r="TR832" s="6" t="s">
        <v>5940</v>
      </c>
      <c r="TS832" s="6" t="n">
        <v>2</v>
      </c>
      <c r="TT832" s="6" t="s">
        <v>5941</v>
      </c>
      <c r="TU832" s="6" t="n">
        <v>2</v>
      </c>
      <c r="TV832" s="6" t="s">
        <v>5942</v>
      </c>
      <c r="TW832" s="6" t="n">
        <v>2</v>
      </c>
      <c r="TX832" s="6" t="s">
        <v>5943</v>
      </c>
      <c r="TY832" s="6" t="n">
        <v>2</v>
      </c>
      <c r="TZ832" s="6" t="s">
        <v>5944</v>
      </c>
      <c r="UA832" s="6" t="n">
        <v>2</v>
      </c>
      <c r="UB832" s="6" t="s">
        <v>5945</v>
      </c>
      <c r="UC832" s="6" t="n">
        <v>2</v>
      </c>
      <c r="UD832" s="6" t="s">
        <v>5946</v>
      </c>
      <c r="UE832" s="6" t="n">
        <v>2</v>
      </c>
      <c r="UF832" s="6" t="s">
        <v>5947</v>
      </c>
      <c r="UG832" s="6" t="n">
        <v>2</v>
      </c>
      <c r="UH832" s="6" t="s">
        <v>5948</v>
      </c>
      <c r="UI832" s="6" t="n">
        <v>2</v>
      </c>
      <c r="UJ832" s="6" t="s">
        <v>5949</v>
      </c>
      <c r="UK832" s="6" t="n">
        <v>1</v>
      </c>
      <c r="UL832" s="6" t="s">
        <v>5950</v>
      </c>
      <c r="UM832" s="6" t="n">
        <v>1</v>
      </c>
      <c r="UN832" s="6" t="s">
        <v>5951</v>
      </c>
      <c r="UO832" s="6" t="n">
        <v>1</v>
      </c>
      <c r="UP832" s="6" t="s">
        <v>5952</v>
      </c>
      <c r="UQ832" s="6" t="n">
        <v>1</v>
      </c>
      <c r="UR832" s="6" t="s">
        <v>5953</v>
      </c>
      <c r="US832" s="6" t="n">
        <v>1</v>
      </c>
      <c r="UT832" s="6" t="s">
        <v>5954</v>
      </c>
      <c r="UU832" s="6" t="n">
        <v>1</v>
      </c>
      <c r="UV832" s="6" t="s">
        <v>5955</v>
      </c>
      <c r="UW832" s="6" t="n">
        <v>1</v>
      </c>
      <c r="UX832" s="6" t="s">
        <v>5956</v>
      </c>
      <c r="UY832" s="6" t="n">
        <v>1</v>
      </c>
      <c r="UZ832" s="6" t="s">
        <v>5957</v>
      </c>
      <c r="VA832" s="6" t="n">
        <v>1</v>
      </c>
      <c r="VB832" s="6" t="s">
        <v>5958</v>
      </c>
      <c r="VC832" s="6" t="n">
        <v>1</v>
      </c>
      <c r="VD832" s="6" t="s">
        <v>5959</v>
      </c>
      <c r="VE832" s="6" t="n">
        <v>1</v>
      </c>
      <c r="VF832" s="6" t="s">
        <v>5960</v>
      </c>
      <c r="VG832" s="6" t="n">
        <v>1</v>
      </c>
      <c r="VH832" s="6" t="s">
        <v>5961</v>
      </c>
      <c r="VI832" s="6" t="n">
        <v>1</v>
      </c>
      <c r="VJ832" s="6" t="s">
        <v>5962</v>
      </c>
      <c r="VK832" s="6" t="n">
        <v>1</v>
      </c>
      <c r="VL832" s="6" t="s">
        <v>5963</v>
      </c>
      <c r="VM832" s="6" t="n">
        <v>1</v>
      </c>
      <c r="VN832" s="6" t="s">
        <v>5964</v>
      </c>
      <c r="VO832" s="6" t="n">
        <v>1</v>
      </c>
      <c r="VP832" s="6" t="s">
        <v>5965</v>
      </c>
      <c r="VQ832" s="6" t="n">
        <v>1</v>
      </c>
      <c r="VR832" s="6" t="s">
        <v>5966</v>
      </c>
      <c r="VS832" s="6" t="n">
        <v>1</v>
      </c>
      <c r="VT832" s="6" t="s">
        <v>5967</v>
      </c>
      <c r="VU832" s="6" t="n">
        <v>1</v>
      </c>
      <c r="VV832" s="6" t="s">
        <v>5968</v>
      </c>
      <c r="VW832" s="6" t="n">
        <v>1</v>
      </c>
      <c r="VX832" s="6" t="s">
        <v>5969</v>
      </c>
      <c r="VY832" s="6" t="n">
        <v>1</v>
      </c>
      <c r="VZ832" s="6" t="s">
        <v>5970</v>
      </c>
      <c r="WA832" s="6" t="n">
        <v>1</v>
      </c>
      <c r="WB832" s="6" t="s">
        <v>5971</v>
      </c>
      <c r="WC832" s="6" t="n">
        <v>1</v>
      </c>
      <c r="WD832" s="6" t="s">
        <v>5972</v>
      </c>
      <c r="WE832" s="6" t="n">
        <v>1</v>
      </c>
      <c r="WF832" s="6" t="s">
        <v>5973</v>
      </c>
      <c r="WG832" s="6" t="n">
        <v>1</v>
      </c>
      <c r="WH832" s="6" t="s">
        <v>5974</v>
      </c>
      <c r="WI832" s="6" t="n">
        <v>1</v>
      </c>
      <c r="WJ832" s="6" t="s">
        <v>5975</v>
      </c>
      <c r="WK832" s="6" t="n">
        <v>1</v>
      </c>
      <c r="WL832" s="6" t="s">
        <v>5976</v>
      </c>
      <c r="WM832" s="6" t="n">
        <v>1</v>
      </c>
      <c r="WN832" s="6" t="s">
        <v>5977</v>
      </c>
      <c r="WO832" s="6" t="n">
        <v>1</v>
      </c>
      <c r="WP832" s="6" t="s">
        <v>5978</v>
      </c>
      <c r="WQ832" s="6" t="n">
        <v>1</v>
      </c>
      <c r="WR832" s="6" t="s">
        <v>5979</v>
      </c>
      <c r="WS832" s="6" t="n">
        <v>1</v>
      </c>
      <c r="WT832" s="6" t="s">
        <v>5980</v>
      </c>
      <c r="WU832" s="6" t="n">
        <v>1</v>
      </c>
      <c r="WV832" s="6" t="s">
        <v>5981</v>
      </c>
      <c r="WW832" s="6" t="n">
        <v>1</v>
      </c>
      <c r="WX832" s="6" t="s">
        <v>5982</v>
      </c>
      <c r="WY832" s="6" t="n">
        <v>1</v>
      </c>
      <c r="WZ832" s="6" t="s">
        <v>5983</v>
      </c>
      <c r="XA832" s="6" t="n">
        <v>1</v>
      </c>
      <c r="XB832" s="6" t="s">
        <v>5984</v>
      </c>
      <c r="XC832" s="6" t="n">
        <v>1</v>
      </c>
      <c r="XD832" s="6" t="s">
        <v>5985</v>
      </c>
      <c r="XE832" s="6" t="n">
        <v>1</v>
      </c>
      <c r="XF832" s="6" t="s">
        <v>5986</v>
      </c>
      <c r="XG832" s="6" t="n">
        <v>1</v>
      </c>
      <c r="XH832" s="6" t="s">
        <v>5987</v>
      </c>
      <c r="XI832" s="6" t="n">
        <v>1</v>
      </c>
      <c r="XJ832" s="6" t="s">
        <v>5988</v>
      </c>
      <c r="XK832" s="6" t="n">
        <v>1</v>
      </c>
      <c r="XL832" s="6" t="s">
        <v>5989</v>
      </c>
      <c r="XM832" s="6" t="n">
        <v>1</v>
      </c>
      <c r="XN832" s="6" t="s">
        <v>5990</v>
      </c>
      <c r="XO832" s="6" t="n">
        <v>1</v>
      </c>
      <c r="XP832" s="6" t="s">
        <v>5991</v>
      </c>
      <c r="XQ832" s="6" t="n">
        <v>1</v>
      </c>
      <c r="XR832" s="6" t="s">
        <v>5992</v>
      </c>
      <c r="XS832" s="6" t="n">
        <v>1</v>
      </c>
      <c r="XT832" s="6" t="s">
        <v>5993</v>
      </c>
      <c r="XU832" s="6" t="n">
        <v>1</v>
      </c>
      <c r="XV832" s="6" t="s">
        <v>5994</v>
      </c>
      <c r="XW832" s="6" t="n">
        <v>1</v>
      </c>
      <c r="XX832" s="6" t="s">
        <v>5995</v>
      </c>
      <c r="XY832" s="6" t="n">
        <v>1</v>
      </c>
      <c r="XZ832" s="6" t="s">
        <v>5996</v>
      </c>
      <c r="YA832" s="6" t="n">
        <v>1</v>
      </c>
      <c r="YB832" s="6" t="s">
        <v>5997</v>
      </c>
      <c r="YC832" s="6" t="n">
        <v>1</v>
      </c>
      <c r="YD832" s="6" t="s">
        <v>5998</v>
      </c>
      <c r="YE832" s="6" t="n">
        <v>1</v>
      </c>
      <c r="YF832" s="6" t="s">
        <v>5999</v>
      </c>
      <c r="YG832" s="6" t="n">
        <v>1</v>
      </c>
      <c r="YH832" s="6" t="s">
        <v>6000</v>
      </c>
      <c r="YI832" s="6" t="n">
        <v>1</v>
      </c>
      <c r="YJ832" s="6" t="s">
        <v>6001</v>
      </c>
      <c r="YK832" s="6" t="n">
        <v>1</v>
      </c>
      <c r="YL832" s="6" t="s">
        <v>6002</v>
      </c>
      <c r="YM832" s="6" t="n">
        <v>1</v>
      </c>
      <c r="YN832" s="6" t="s">
        <v>6003</v>
      </c>
      <c r="YO832" s="6" t="n">
        <v>1</v>
      </c>
      <c r="YP832" s="6" t="s">
        <v>6004</v>
      </c>
      <c r="YQ832" s="6" t="n">
        <v>1</v>
      </c>
      <c r="YR832" s="6" t="s">
        <v>6005</v>
      </c>
      <c r="YS832" s="6" t="n">
        <v>1</v>
      </c>
      <c r="YT832" s="6" t="s">
        <v>6006</v>
      </c>
      <c r="YU832" s="6" t="n">
        <v>1</v>
      </c>
      <c r="YV832" s="6" t="s">
        <v>6007</v>
      </c>
      <c r="YW832" s="6" t="n">
        <v>1</v>
      </c>
      <c r="YX832" s="6" t="s">
        <v>6008</v>
      </c>
      <c r="YY832" s="6" t="n">
        <v>1</v>
      </c>
      <c r="YZ832" s="6" t="s">
        <v>6009</v>
      </c>
      <c r="ZA832" s="6" t="n">
        <v>1</v>
      </c>
      <c r="ZB832" s="6" t="s">
        <v>6010</v>
      </c>
      <c r="ZC832" s="6" t="n">
        <v>1</v>
      </c>
      <c r="ZD832" s="6" t="s">
        <v>6011</v>
      </c>
      <c r="ZE832" s="6" t="n">
        <v>1</v>
      </c>
      <c r="ZF832" s="6" t="s">
        <v>6012</v>
      </c>
      <c r="ZG832" s="6" t="n">
        <v>1</v>
      </c>
      <c r="ZH832" s="6" t="s">
        <v>6013</v>
      </c>
      <c r="ZI832" s="6" t="n">
        <v>1</v>
      </c>
      <c r="ZJ832" s="6" t="s">
        <v>6014</v>
      </c>
      <c r="ZK832" s="6" t="n">
        <v>1</v>
      </c>
      <c r="ZL832" s="6" t="s">
        <v>6015</v>
      </c>
      <c r="ZM832" s="6" t="n">
        <v>1</v>
      </c>
      <c r="ZN832" s="6" t="s">
        <v>6016</v>
      </c>
      <c r="ZO832" s="6" t="n">
        <v>1</v>
      </c>
      <c r="ZP832" s="6" t="s">
        <v>6017</v>
      </c>
      <c r="ZQ832" s="6" t="n">
        <v>1</v>
      </c>
      <c r="ZR832" s="6" t="s">
        <v>6018</v>
      </c>
      <c r="ZS832" s="6" t="n">
        <v>1</v>
      </c>
      <c r="ZT832" s="6" t="s">
        <v>6019</v>
      </c>
      <c r="ZU832" s="6" t="n">
        <v>1</v>
      </c>
      <c r="ZV832" s="6" t="s">
        <v>6020</v>
      </c>
      <c r="ZW832" s="6" t="n">
        <v>1</v>
      </c>
      <c r="ZX832" s="6" t="s">
        <v>6021</v>
      </c>
      <c r="ZY832" s="6" t="n">
        <v>1</v>
      </c>
      <c r="ZZ832" s="6" t="s">
        <v>6022</v>
      </c>
      <c r="AAA832" s="6" t="n">
        <v>1</v>
      </c>
      <c r="AAB832" s="6" t="s">
        <v>6023</v>
      </c>
      <c r="AAC832" s="6" t="n">
        <v>1</v>
      </c>
      <c r="AAD832" s="6" t="s">
        <v>6024</v>
      </c>
      <c r="AAE832" s="6" t="n">
        <v>1</v>
      </c>
      <c r="AAF832" s="6" t="s">
        <v>6025</v>
      </c>
      <c r="AAG832" s="6" t="n">
        <v>1</v>
      </c>
      <c r="AAH832" s="6" t="s">
        <v>6026</v>
      </c>
      <c r="AAI832" s="6" t="n">
        <v>1</v>
      </c>
      <c r="AAJ832" s="6" t="s">
        <v>6027</v>
      </c>
      <c r="AAK832" s="6" t="n">
        <v>1</v>
      </c>
      <c r="AAL832" s="6" t="s">
        <v>6028</v>
      </c>
      <c r="AAM832" s="6" t="n">
        <v>1</v>
      </c>
      <c r="AAN832" s="6" t="s">
        <v>6029</v>
      </c>
      <c r="AAO832" s="6" t="n">
        <v>1</v>
      </c>
      <c r="AAP832" s="6" t="s">
        <v>6030</v>
      </c>
      <c r="AAQ832" s="6" t="n">
        <v>1</v>
      </c>
      <c r="AAR832" s="6" t="s">
        <v>6031</v>
      </c>
      <c r="AAS832" s="6" t="n">
        <v>1</v>
      </c>
      <c r="AAT832" s="6" t="s">
        <v>6032</v>
      </c>
      <c r="AAU832" s="6" t="n">
        <v>1</v>
      </c>
      <c r="AAV832" s="6" t="s">
        <v>6033</v>
      </c>
      <c r="AAW832" s="6" t="n">
        <v>1</v>
      </c>
      <c r="AAX832" s="6" t="s">
        <v>6034</v>
      </c>
      <c r="AAY832" s="6" t="n">
        <v>1</v>
      </c>
      <c r="AAZ832" s="6" t="s">
        <v>6035</v>
      </c>
      <c r="ABA832" s="6" t="n">
        <v>1</v>
      </c>
      <c r="ABB832" s="6" t="s">
        <v>6036</v>
      </c>
      <c r="ABC832" s="6" t="n">
        <v>1</v>
      </c>
      <c r="ABD832" s="6" t="s">
        <v>6037</v>
      </c>
      <c r="ABE832" s="6" t="n">
        <v>1</v>
      </c>
      <c r="ABF832" s="6" t="s">
        <v>6038</v>
      </c>
      <c r="ABG832" s="6" t="n">
        <v>1</v>
      </c>
      <c r="ABH832" s="6" t="s">
        <v>6039</v>
      </c>
      <c r="ABI832" s="6" t="n">
        <v>1</v>
      </c>
      <c r="ABJ832" s="6" t="s">
        <v>6040</v>
      </c>
      <c r="ABK832" s="6" t="n">
        <v>1</v>
      </c>
      <c r="ABL832" s="6" t="s">
        <v>6041</v>
      </c>
      <c r="ABM832" s="6" t="n">
        <v>1</v>
      </c>
      <c r="ABN832" s="6" t="s">
        <v>6042</v>
      </c>
      <c r="ABO832" s="6" t="n">
        <v>1</v>
      </c>
      <c r="ABP832" s="6" t="s">
        <v>6043</v>
      </c>
      <c r="ABQ832" s="6" t="n">
        <v>1</v>
      </c>
      <c r="ABR832" s="6" t="s">
        <v>6044</v>
      </c>
      <c r="ABS832" s="6" t="n">
        <v>1</v>
      </c>
      <c r="ABT832" s="6" t="s">
        <v>6045</v>
      </c>
      <c r="ABU832" s="6" t="n">
        <v>1</v>
      </c>
      <c r="ABV832" s="6" t="s">
        <v>6046</v>
      </c>
      <c r="ABW832" s="6" t="n">
        <v>1</v>
      </c>
      <c r="ABX832" s="6" t="s">
        <v>6047</v>
      </c>
      <c r="ABY832" s="6" t="n">
        <v>1</v>
      </c>
      <c r="ABZ832" s="6" t="s">
        <v>6048</v>
      </c>
      <c r="ACA832" s="6" t="n">
        <v>1</v>
      </c>
      <c r="ACB832" s="6" t="s">
        <v>6049</v>
      </c>
      <c r="ACC832" s="6" t="n">
        <v>1</v>
      </c>
      <c r="ACD832" s="6" t="s">
        <v>6050</v>
      </c>
      <c r="ACE832" s="6" t="n">
        <v>1</v>
      </c>
      <c r="ACF832" s="6" t="s">
        <v>6051</v>
      </c>
      <c r="ACG832" s="6" t="n">
        <v>1</v>
      </c>
      <c r="ACH832" s="6" t="s">
        <v>6052</v>
      </c>
      <c r="ACI832" s="6" t="n">
        <v>1</v>
      </c>
      <c r="ACJ832" s="6" t="s">
        <v>6053</v>
      </c>
      <c r="ACK832" s="6" t="n">
        <v>1</v>
      </c>
      <c r="ACL832" s="6" t="s">
        <v>6054</v>
      </c>
      <c r="ACM832" s="6" t="n">
        <v>1</v>
      </c>
      <c r="ACN832" s="6" t="s">
        <v>6055</v>
      </c>
      <c r="ACO832" s="6" t="n">
        <v>1</v>
      </c>
      <c r="ACP832" s="6" t="s">
        <v>6056</v>
      </c>
      <c r="ACQ832" s="6" t="n">
        <v>1</v>
      </c>
      <c r="ACR832" s="6" t="s">
        <v>6057</v>
      </c>
      <c r="ACS832" s="6" t="n">
        <v>1</v>
      </c>
      <c r="ACT832" s="6" t="s">
        <v>6058</v>
      </c>
      <c r="ACU832" s="6" t="n">
        <v>1</v>
      </c>
      <c r="ACV832" s="6" t="s">
        <v>6059</v>
      </c>
      <c r="ACW832" s="6" t="n">
        <v>1</v>
      </c>
      <c r="ACX832" s="6" t="s">
        <v>6060</v>
      </c>
      <c r="ACY832" s="6" t="n">
        <v>1</v>
      </c>
      <c r="ACZ832" s="6" t="s">
        <v>6061</v>
      </c>
      <c r="ADA832" s="6" t="n">
        <v>1</v>
      </c>
      <c r="ADB832" s="6" t="s">
        <v>6062</v>
      </c>
      <c r="ADC832" s="6" t="n">
        <v>1</v>
      </c>
      <c r="ADD832" s="6" t="s">
        <v>6063</v>
      </c>
      <c r="ADE832" s="6" t="n">
        <v>1</v>
      </c>
      <c r="ADF832" s="6" t="s">
        <v>6064</v>
      </c>
      <c r="ADG832" s="6" t="n">
        <v>1</v>
      </c>
      <c r="ADH832" s="6" t="s">
        <v>6065</v>
      </c>
      <c r="ADI832" s="6" t="n">
        <v>1</v>
      </c>
      <c r="ADJ832" s="6" t="s">
        <v>6066</v>
      </c>
      <c r="ADK832" s="6" t="n">
        <v>1</v>
      </c>
      <c r="ADL832" s="6" t="s">
        <v>6067</v>
      </c>
      <c r="ADM832" s="6" t="n">
        <v>1</v>
      </c>
      <c r="ADN832" s="6" t="s">
        <v>6068</v>
      </c>
      <c r="ADO832" s="6" t="n">
        <v>1</v>
      </c>
      <c r="ADP832" s="6" t="s">
        <v>6069</v>
      </c>
      <c r="ADQ832" s="6" t="n">
        <v>1</v>
      </c>
      <c r="ADR832" s="6" t="s">
        <v>6070</v>
      </c>
      <c r="ADS832" s="6" t="n">
        <v>1</v>
      </c>
      <c r="ADT832" s="6" t="s">
        <v>6071</v>
      </c>
      <c r="ADU832" s="6" t="n">
        <v>1</v>
      </c>
      <c r="ADV832" s="6" t="s">
        <v>6072</v>
      </c>
      <c r="ADW832" s="6" t="n">
        <v>1</v>
      </c>
      <c r="ADX832" s="6" t="s">
        <v>6073</v>
      </c>
      <c r="ADY832" s="6" t="n">
        <v>1</v>
      </c>
      <c r="ADZ832" s="6" t="s">
        <v>6074</v>
      </c>
      <c r="AEA832" s="6" t="n">
        <v>1</v>
      </c>
      <c r="AEB832" s="6" t="s">
        <v>6075</v>
      </c>
      <c r="AEC832" s="6" t="n">
        <v>1</v>
      </c>
      <c r="AED832" s="6" t="s">
        <v>6076</v>
      </c>
      <c r="AEE832" s="6" t="n">
        <v>1</v>
      </c>
      <c r="AEF832" s="6" t="s">
        <v>6077</v>
      </c>
      <c r="AEG832" s="6" t="n">
        <v>1</v>
      </c>
      <c r="AEH832" s="6" t="s">
        <v>6078</v>
      </c>
      <c r="AEI832" s="6" t="n">
        <v>1</v>
      </c>
      <c r="AEJ832" s="6" t="s">
        <v>6079</v>
      </c>
      <c r="AEK832" s="6" t="n">
        <v>1</v>
      </c>
      <c r="AEL832" s="6" t="s">
        <v>6080</v>
      </c>
      <c r="AEM832" s="6" t="n">
        <v>1</v>
      </c>
      <c r="AEN832" s="6" t="s">
        <v>6081</v>
      </c>
      <c r="AEO832" s="6" t="n">
        <v>1</v>
      </c>
      <c r="AEP832" s="6" t="s">
        <v>6082</v>
      </c>
      <c r="AEQ832" s="6" t="n">
        <v>1</v>
      </c>
      <c r="AER832" s="6" t="s">
        <v>6083</v>
      </c>
      <c r="AES832" s="6" t="n">
        <v>1</v>
      </c>
      <c r="AET832" s="6" t="s">
        <v>6084</v>
      </c>
      <c r="AEU832" s="6" t="n">
        <v>1</v>
      </c>
      <c r="AEV832" s="6" t="s">
        <v>6085</v>
      </c>
      <c r="AEW832" s="6" t="n">
        <v>1</v>
      </c>
      <c r="AEX832" s="6" t="s">
        <v>6086</v>
      </c>
      <c r="AEY832" s="6" t="n">
        <v>1</v>
      </c>
      <c r="AEZ832" s="6" t="s">
        <v>6087</v>
      </c>
      <c r="AFA832" s="6" t="n">
        <v>1</v>
      </c>
      <c r="AFB832" s="6" t="s">
        <v>6088</v>
      </c>
      <c r="AFC832" s="6" t="n">
        <v>1</v>
      </c>
      <c r="AFD832" s="6" t="s">
        <v>6089</v>
      </c>
      <c r="AFE832" s="6" t="n">
        <v>1</v>
      </c>
      <c r="AFF832" s="6" t="s">
        <v>6090</v>
      </c>
      <c r="AFG832" s="6" t="n">
        <v>1</v>
      </c>
      <c r="AFH832" s="6" t="s">
        <v>6091</v>
      </c>
      <c r="AFI832" s="6" t="n">
        <v>1</v>
      </c>
      <c r="AFJ832" s="6" t="s">
        <v>6092</v>
      </c>
      <c r="AFK832" s="6" t="n">
        <v>1</v>
      </c>
      <c r="AFL832" s="6" t="s">
        <v>6093</v>
      </c>
      <c r="AFM832" s="6" t="n">
        <v>1</v>
      </c>
      <c r="AFN832" s="6" t="s">
        <v>6094</v>
      </c>
      <c r="AFO832" s="6" t="n">
        <v>1</v>
      </c>
      <c r="AFP832" s="6" t="s">
        <v>6095</v>
      </c>
      <c r="AFQ832" s="6" t="n">
        <v>1</v>
      </c>
      <c r="AFR832" s="6" t="s">
        <v>6096</v>
      </c>
      <c r="AFS832" s="6" t="n">
        <v>1</v>
      </c>
      <c r="AFT832" s="6" t="s">
        <v>6097</v>
      </c>
      <c r="AFU832" s="6" t="n">
        <v>1</v>
      </c>
      <c r="AFV832" s="6" t="s">
        <v>6098</v>
      </c>
      <c r="AFW832" s="6" t="n">
        <v>1</v>
      </c>
      <c r="AFX832" s="6" t="s">
        <v>6099</v>
      </c>
      <c r="AFY832" s="6" t="n">
        <v>1</v>
      </c>
      <c r="AFZ832" s="6" t="s">
        <v>6100</v>
      </c>
      <c r="AGA832" s="6" t="n">
        <v>1</v>
      </c>
      <c r="AGB832" s="6" t="s">
        <v>6101</v>
      </c>
      <c r="AGC832" s="6" t="n">
        <v>1</v>
      </c>
      <c r="AGD832" s="6" t="s">
        <v>6102</v>
      </c>
      <c r="AGE832" s="6" t="n">
        <v>1</v>
      </c>
      <c r="AGF832" s="6" t="s">
        <v>6103</v>
      </c>
      <c r="AGG832" s="6" t="n">
        <v>1</v>
      </c>
      <c r="AGH832" s="6" t="s">
        <v>6104</v>
      </c>
      <c r="AGI832" s="6" t="n">
        <v>1</v>
      </c>
      <c r="AGJ832" s="6" t="s">
        <v>6105</v>
      </c>
      <c r="AGK832" s="6" t="n">
        <v>1</v>
      </c>
      <c r="AGL832" s="6" t="s">
        <v>6106</v>
      </c>
      <c r="AGM832" s="6" t="n">
        <v>1</v>
      </c>
      <c r="AGN832" s="6" t="s">
        <v>6107</v>
      </c>
      <c r="AGO832" s="6" t="n">
        <v>1</v>
      </c>
      <c r="AGP832" s="6" t="s">
        <v>6108</v>
      </c>
      <c r="AGQ832" s="6" t="n">
        <v>1</v>
      </c>
      <c r="AGR832" s="6" t="s">
        <v>6109</v>
      </c>
      <c r="AGS832" s="6" t="n">
        <v>1</v>
      </c>
      <c r="AGT832" s="6" t="s">
        <v>6110</v>
      </c>
      <c r="AGU832" s="6" t="n">
        <v>1</v>
      </c>
      <c r="AGV832" s="6" t="s">
        <v>6111</v>
      </c>
      <c r="AGW832" s="6" t="n">
        <v>1</v>
      </c>
      <c r="AGX832" s="6" t="s">
        <v>6112</v>
      </c>
      <c r="AGY832" s="6" t="n">
        <v>1</v>
      </c>
      <c r="AGZ832" s="6" t="s">
        <v>6113</v>
      </c>
      <c r="AHA832" s="6" t="n">
        <v>1</v>
      </c>
      <c r="AHB832" s="6" t="s">
        <v>6114</v>
      </c>
      <c r="AHC832" s="6" t="n">
        <v>1</v>
      </c>
      <c r="AHD832" s="6" t="s">
        <v>6115</v>
      </c>
      <c r="AHE832" s="6" t="n">
        <v>1</v>
      </c>
      <c r="AHF832" s="6" t="s">
        <v>6116</v>
      </c>
      <c r="AHG832" s="6" t="n">
        <v>1</v>
      </c>
      <c r="AHH832" s="6" t="s">
        <v>6117</v>
      </c>
      <c r="AHI832" s="6" t="n">
        <v>1</v>
      </c>
      <c r="AHJ832" s="6" t="s">
        <v>6118</v>
      </c>
      <c r="AHK832" s="6" t="n">
        <v>1</v>
      </c>
      <c r="AHL832" s="6" t="s">
        <v>6119</v>
      </c>
      <c r="AHM832" s="6" t="n">
        <v>1</v>
      </c>
      <c r="AHN832" s="6" t="s">
        <v>6120</v>
      </c>
      <c r="AHO832" s="6" t="n">
        <v>1</v>
      </c>
      <c r="AHP832" s="6" t="s">
        <v>6121</v>
      </c>
      <c r="AHQ832" s="6" t="n">
        <v>1</v>
      </c>
      <c r="AHR832" s="6" t="s">
        <v>6122</v>
      </c>
      <c r="AHS832" s="6" t="n">
        <v>1</v>
      </c>
      <c r="AHT832" s="6" t="s">
        <v>6123</v>
      </c>
      <c r="AHU832" s="6" t="n">
        <v>1</v>
      </c>
      <c r="AHV832" s="6" t="s">
        <v>6124</v>
      </c>
      <c r="AHW832" s="6" t="n">
        <v>1</v>
      </c>
      <c r="AHX832" s="6" t="s">
        <v>6125</v>
      </c>
      <c r="AHY832" s="6" t="n">
        <v>1</v>
      </c>
      <c r="AHZ832" s="6" t="s">
        <v>6126</v>
      </c>
      <c r="AIA832" s="6" t="n">
        <v>1</v>
      </c>
      <c r="AIB832" s="6" t="s">
        <v>6127</v>
      </c>
      <c r="AIC832" s="6" t="n">
        <v>1</v>
      </c>
      <c r="AID832" s="6" t="s">
        <v>6128</v>
      </c>
      <c r="AIE832" s="6" t="n">
        <v>1</v>
      </c>
      <c r="AIF832" s="6" t="s">
        <v>6129</v>
      </c>
      <c r="AIG832" s="6" t="n">
        <v>1</v>
      </c>
      <c r="AIH832" s="6" t="s">
        <v>6130</v>
      </c>
      <c r="AII832" s="6" t="n">
        <v>1</v>
      </c>
      <c r="AIJ832" s="6" t="s">
        <v>6131</v>
      </c>
      <c r="AIK832" s="6" t="n">
        <v>1</v>
      </c>
      <c r="AIL832" s="6" t="s">
        <v>6132</v>
      </c>
      <c r="AIM832" s="6" t="n">
        <v>1</v>
      </c>
      <c r="AIN832" s="6" t="s">
        <v>6133</v>
      </c>
      <c r="AIO832" s="6" t="n">
        <v>1</v>
      </c>
      <c r="AIP832" s="6" t="s">
        <v>6134</v>
      </c>
      <c r="AIQ832" s="6" t="n">
        <v>1</v>
      </c>
      <c r="AIR832" s="6" t="s">
        <v>6135</v>
      </c>
      <c r="AIS832" s="6" t="n">
        <v>1</v>
      </c>
      <c r="AIT832" s="6" t="s">
        <v>6136</v>
      </c>
      <c r="AIU832" s="6" t="n">
        <v>1</v>
      </c>
      <c r="AIV832" s="6" t="s">
        <v>6137</v>
      </c>
      <c r="AIW832" s="6" t="n">
        <v>1</v>
      </c>
      <c r="AIX832" s="6" t="s">
        <v>6138</v>
      </c>
      <c r="AIY832" s="6" t="n">
        <v>1</v>
      </c>
      <c r="AIZ832" s="6" t="s">
        <v>6139</v>
      </c>
      <c r="AJA832" s="6" t="n">
        <v>1</v>
      </c>
      <c r="AJB832" s="6" t="s">
        <v>6140</v>
      </c>
      <c r="AJC832" s="6" t="n">
        <v>1</v>
      </c>
      <c r="AJD832" s="6" t="s">
        <v>6141</v>
      </c>
      <c r="AJE832" s="6" t="n">
        <v>1</v>
      </c>
      <c r="AJF832" s="6" t="s">
        <v>6142</v>
      </c>
      <c r="AJG832" s="6" t="n">
        <v>1</v>
      </c>
      <c r="AJH832" s="6" t="s">
        <v>6143</v>
      </c>
      <c r="AJI832" s="6" t="n">
        <v>1</v>
      </c>
      <c r="AJJ832" s="6" t="s">
        <v>6144</v>
      </c>
      <c r="AJK832" s="6" t="n">
        <v>1</v>
      </c>
      <c r="AJL832" s="6" t="s">
        <v>6145</v>
      </c>
      <c r="AJM832" s="6" t="n">
        <v>1</v>
      </c>
      <c r="AJN832" s="6" t="s">
        <v>6146</v>
      </c>
      <c r="AJO832" s="6" t="n">
        <v>1</v>
      </c>
      <c r="AJP832" s="6" t="s">
        <v>6147</v>
      </c>
      <c r="AJQ832" s="6" t="n">
        <v>1</v>
      </c>
      <c r="AJR832" s="6" t="s">
        <v>6148</v>
      </c>
      <c r="AJS832" s="6" t="n">
        <v>1</v>
      </c>
      <c r="AJT832" s="6" t="s">
        <v>6149</v>
      </c>
      <c r="AJU832" s="6" t="n">
        <v>1</v>
      </c>
      <c r="AJV832" s="6" t="s">
        <v>6150</v>
      </c>
      <c r="AJW832" s="6" t="n">
        <v>1</v>
      </c>
      <c r="AJX832" s="6" t="s">
        <v>6151</v>
      </c>
      <c r="AJY832" s="6" t="n">
        <v>1</v>
      </c>
      <c r="AJZ832" s="6" t="s">
        <v>6152</v>
      </c>
      <c r="AKA832" s="6" t="n">
        <v>1</v>
      </c>
      <c r="AKB832" s="6" t="s">
        <v>6153</v>
      </c>
      <c r="AKC832" s="6" t="n">
        <v>1</v>
      </c>
      <c r="AKD832" s="6" t="s">
        <v>6154</v>
      </c>
      <c r="AKE832" s="6" t="n">
        <v>1</v>
      </c>
      <c r="AKF832" s="6" t="s">
        <v>6155</v>
      </c>
      <c r="AKG832" s="6" t="n">
        <v>1</v>
      </c>
      <c r="AKH832" s="6" t="s">
        <v>6156</v>
      </c>
      <c r="AKI832" s="6" t="n">
        <v>1</v>
      </c>
      <c r="AKJ832" s="6" t="s">
        <v>6157</v>
      </c>
      <c r="AKK832" s="6" t="n">
        <v>1</v>
      </c>
      <c r="AKL832" s="6" t="s">
        <v>6158</v>
      </c>
      <c r="AKM832" s="6" t="n">
        <v>1</v>
      </c>
      <c r="AKN832" s="6" t="s">
        <v>6159</v>
      </c>
      <c r="AKO832" s="6" t="n">
        <v>1</v>
      </c>
      <c r="AKP832" s="6" t="s">
        <v>6160</v>
      </c>
      <c r="AKQ832" s="6" t="n">
        <v>1</v>
      </c>
      <c r="AKR832" s="6" t="s">
        <v>6161</v>
      </c>
      <c r="AKS832" s="6" t="n">
        <v>1</v>
      </c>
      <c r="AKT832" s="6" t="s">
        <v>6162</v>
      </c>
      <c r="AKU832" s="6" t="n">
        <v>1</v>
      </c>
      <c r="AKV832" s="6" t="s">
        <v>6163</v>
      </c>
      <c r="AKW832" s="6" t="n">
        <v>1</v>
      </c>
      <c r="AKX832" s="6" t="s">
        <v>6164</v>
      </c>
      <c r="AKY832" s="6" t="n">
        <v>1</v>
      </c>
      <c r="AKZ832" s="6" t="s">
        <v>6165</v>
      </c>
      <c r="ALA832" s="6" t="n">
        <v>1</v>
      </c>
      <c r="ALB832" s="6" t="s">
        <v>6166</v>
      </c>
      <c r="ALC832" s="6" t="n">
        <v>1</v>
      </c>
      <c r="ALD832" s="6" t="s">
        <v>6167</v>
      </c>
      <c r="ALE832" s="6" t="n">
        <v>1</v>
      </c>
      <c r="ALF832" s="6" t="s">
        <v>6168</v>
      </c>
      <c r="ALG832" s="6" t="n">
        <v>1</v>
      </c>
      <c r="ALH832" s="6" t="s">
        <v>5966</v>
      </c>
      <c r="ALI832" s="6" t="n">
        <v>1</v>
      </c>
      <c r="ALJ832" s="6" t="s">
        <v>6169</v>
      </c>
      <c r="ALK832" s="6" t="n">
        <v>1</v>
      </c>
      <c r="ALL832" s="6" t="s">
        <v>6170</v>
      </c>
      <c r="ALM832" s="6" t="n">
        <v>1</v>
      </c>
      <c r="ALN832" s="6" t="s">
        <v>5986</v>
      </c>
      <c r="ALO832" s="6" t="n">
        <v>1</v>
      </c>
      <c r="ALP832" s="6" t="s">
        <v>6171</v>
      </c>
      <c r="ALQ832" s="6" t="n">
        <v>1</v>
      </c>
      <c r="ALR832" s="6" t="s">
        <v>6132</v>
      </c>
      <c r="ALS832" s="6" t="n">
        <v>1</v>
      </c>
      <c r="ALT832" s="6" t="s">
        <v>6172</v>
      </c>
      <c r="ALU832" s="6" t="n">
        <v>1</v>
      </c>
      <c r="ALV832" s="6" t="s">
        <v>6165</v>
      </c>
      <c r="ALW832" s="6" t="n">
        <v>1</v>
      </c>
      <c r="ALX832" s="6" t="s">
        <v>6173</v>
      </c>
      <c r="ALY832" s="6" t="n">
        <v>0</v>
      </c>
      <c r="ALZ832" s="6" t="s">
        <v>6174</v>
      </c>
      <c r="AMA832" s="6" t="n">
        <v>0</v>
      </c>
      <c r="AMB832" s="6" t="s">
        <v>6175</v>
      </c>
      <c r="AMC832" s="6" t="n">
        <v>0</v>
      </c>
      <c r="AMD832" s="6" t="s">
        <v>6176</v>
      </c>
      <c r="AME832" s="6" t="n">
        <v>0</v>
      </c>
      <c r="AMF832" s="6" t="s">
        <v>6177</v>
      </c>
      <c r="AMG832" s="6" t="n">
        <v>0</v>
      </c>
      <c r="AMH832" s="6" t="s">
        <v>6178</v>
      </c>
      <c r="AMI832" s="6" t="n">
        <v>0</v>
      </c>
      <c r="AMJ832" s="6" t="s">
        <v>6179</v>
      </c>
    </row>
    <row r="833" customFormat="false" ht="12.8" hidden="false" customHeight="false" outlineLevel="0" collapsed="false">
      <c r="A833" s="6" t="s">
        <v>6180</v>
      </c>
      <c r="B833" s="6" t="n">
        <v>195</v>
      </c>
      <c r="C833" s="6" t="n">
        <v>93</v>
      </c>
      <c r="D833" s="12" t="n">
        <f aca="false">C833/(B833+C833)*100</f>
        <v>32.2916666666667</v>
      </c>
      <c r="E833" s="6" t="n">
        <v>5</v>
      </c>
      <c r="F833" s="6" t="s">
        <v>6181</v>
      </c>
      <c r="G833" s="6" t="n">
        <v>71</v>
      </c>
      <c r="H833" s="6" t="s">
        <v>6182</v>
      </c>
      <c r="I833" s="6" t="n">
        <v>8</v>
      </c>
      <c r="J833" s="6" t="s">
        <v>6183</v>
      </c>
      <c r="K833" s="6" t="n">
        <v>7</v>
      </c>
      <c r="L833" s="6" t="s">
        <v>6184</v>
      </c>
      <c r="M833" s="6" t="n">
        <v>6</v>
      </c>
      <c r="N833" s="6" t="s">
        <v>6185</v>
      </c>
      <c r="O833" s="6" t="n">
        <v>1</v>
      </c>
    </row>
    <row r="834" customFormat="false" ht="12.8" hidden="false" customHeight="false" outlineLevel="0" collapsed="false">
      <c r="A834" s="6" t="s">
        <v>6186</v>
      </c>
      <c r="B834" s="6" t="n">
        <v>196</v>
      </c>
      <c r="C834" s="6" t="n">
        <v>108</v>
      </c>
      <c r="D834" s="12" t="n">
        <f aca="false">C834/(B834+C834)*100</f>
        <v>35.5263157894737</v>
      </c>
      <c r="E834" s="6" t="n">
        <v>3</v>
      </c>
      <c r="F834" s="6" t="s">
        <v>6187</v>
      </c>
      <c r="G834" s="6" t="n">
        <v>99</v>
      </c>
      <c r="H834" s="6" t="s">
        <v>6188</v>
      </c>
      <c r="I834" s="6" t="n">
        <v>5</v>
      </c>
      <c r="J834" s="6" t="s">
        <v>6189</v>
      </c>
      <c r="K834" s="6" t="n">
        <v>4</v>
      </c>
    </row>
    <row r="835" customFormat="false" ht="12.8" hidden="false" customHeight="false" outlineLevel="0" collapsed="false">
      <c r="A835" s="6" t="s">
        <v>6190</v>
      </c>
      <c r="B835" s="6" t="n">
        <v>196</v>
      </c>
      <c r="C835" s="6" t="n">
        <v>51</v>
      </c>
      <c r="D835" s="12" t="n">
        <f aca="false">C835/(B835+C835)*100</f>
        <v>20.6477732793522</v>
      </c>
      <c r="E835" s="6" t="n">
        <v>6</v>
      </c>
      <c r="F835" s="6" t="s">
        <v>6191</v>
      </c>
      <c r="G835" s="6" t="n">
        <v>23</v>
      </c>
      <c r="H835" s="6" t="s">
        <v>6192</v>
      </c>
      <c r="I835" s="6" t="n">
        <v>20</v>
      </c>
      <c r="J835" s="6" t="s">
        <v>6193</v>
      </c>
      <c r="K835" s="6" t="n">
        <v>4</v>
      </c>
      <c r="L835" s="6" t="s">
        <v>6194</v>
      </c>
      <c r="M835" s="6" t="n">
        <v>2</v>
      </c>
      <c r="N835" s="6" t="s">
        <v>6195</v>
      </c>
      <c r="O835" s="6" t="n">
        <v>1</v>
      </c>
      <c r="P835" s="6" t="s">
        <v>6196</v>
      </c>
      <c r="Q835" s="6" t="n">
        <v>1</v>
      </c>
    </row>
    <row r="836" customFormat="false" ht="12.8" hidden="false" customHeight="false" outlineLevel="0" collapsed="false">
      <c r="A836" s="6" t="s">
        <v>6197</v>
      </c>
      <c r="B836" s="6" t="n">
        <v>197</v>
      </c>
      <c r="C836" s="6" t="n">
        <v>110</v>
      </c>
      <c r="D836" s="12" t="n">
        <f aca="false">C836/(B836+C836)*100</f>
        <v>35.8306188925081</v>
      </c>
      <c r="E836" s="6" t="n">
        <v>7</v>
      </c>
      <c r="F836" s="6" t="s">
        <v>6198</v>
      </c>
      <c r="G836" s="6" t="n">
        <v>48</v>
      </c>
      <c r="H836" s="6" t="s">
        <v>6199</v>
      </c>
      <c r="I836" s="6" t="n">
        <v>27</v>
      </c>
      <c r="J836" s="6" t="s">
        <v>6200</v>
      </c>
      <c r="K836" s="6" t="n">
        <v>23</v>
      </c>
      <c r="L836" s="6" t="s">
        <v>6201</v>
      </c>
      <c r="M836" s="6" t="n">
        <v>8</v>
      </c>
      <c r="N836" s="6" t="s">
        <v>6202</v>
      </c>
      <c r="O836" s="6" t="n">
        <v>3</v>
      </c>
      <c r="P836" s="6" t="s">
        <v>6203</v>
      </c>
      <c r="Q836" s="6" t="n">
        <v>1</v>
      </c>
      <c r="R836" s="6" t="s">
        <v>6204</v>
      </c>
      <c r="S836" s="6" t="n">
        <v>0</v>
      </c>
    </row>
    <row r="837" customFormat="false" ht="12.8" hidden="false" customHeight="false" outlineLevel="0" collapsed="false">
      <c r="A837" s="6" t="s">
        <v>6205</v>
      </c>
      <c r="B837" s="6" t="n">
        <v>200</v>
      </c>
      <c r="C837" s="6" t="n">
        <v>4</v>
      </c>
      <c r="D837" s="12" t="n">
        <f aca="false">C837/(B837+C837)*100</f>
        <v>1.96078431372549</v>
      </c>
      <c r="E837" s="6" t="n">
        <v>9</v>
      </c>
      <c r="F837" s="6" t="s">
        <v>6206</v>
      </c>
      <c r="G837" s="6" t="n">
        <v>3</v>
      </c>
      <c r="H837" s="6" t="s">
        <v>6207</v>
      </c>
      <c r="I837" s="6" t="n">
        <v>1</v>
      </c>
      <c r="J837" s="6" t="s">
        <v>6208</v>
      </c>
      <c r="K837" s="6" t="n">
        <v>0</v>
      </c>
      <c r="L837" s="6" t="s">
        <v>6209</v>
      </c>
      <c r="M837" s="6" t="n">
        <v>0</v>
      </c>
      <c r="N837" s="6" t="s">
        <v>6210</v>
      </c>
      <c r="O837" s="6" t="n">
        <v>0</v>
      </c>
      <c r="P837" s="6" t="s">
        <v>6211</v>
      </c>
      <c r="Q837" s="6" t="n">
        <v>0</v>
      </c>
      <c r="R837" s="6" t="s">
        <v>6212</v>
      </c>
      <c r="S837" s="6" t="n">
        <v>0</v>
      </c>
      <c r="T837" s="6" t="s">
        <v>6213</v>
      </c>
      <c r="U837" s="6" t="n">
        <v>0</v>
      </c>
      <c r="V837" s="6" t="s">
        <v>6214</v>
      </c>
      <c r="W837" s="6" t="n">
        <v>0</v>
      </c>
    </row>
    <row r="838" customFormat="false" ht="12.8" hidden="false" customHeight="false" outlineLevel="0" collapsed="false">
      <c r="A838" s="6" t="s">
        <v>6215</v>
      </c>
      <c r="B838" s="6" t="n">
        <v>201</v>
      </c>
      <c r="C838" s="6" t="n">
        <v>2</v>
      </c>
      <c r="D838" s="12" t="n">
        <f aca="false">C838/(B838+C838)*100</f>
        <v>0.985221674876847</v>
      </c>
      <c r="E838" s="6" t="n">
        <v>2</v>
      </c>
      <c r="F838" s="6" t="s">
        <v>6216</v>
      </c>
      <c r="G838" s="6" t="n">
        <v>1</v>
      </c>
      <c r="H838" s="6" t="s">
        <v>6217</v>
      </c>
      <c r="I838" s="6" t="n">
        <v>1</v>
      </c>
    </row>
    <row r="839" customFormat="false" ht="12.8" hidden="false" customHeight="false" outlineLevel="0" collapsed="false">
      <c r="A839" s="6" t="s">
        <v>6218</v>
      </c>
      <c r="B839" s="6" t="n">
        <v>202</v>
      </c>
      <c r="C839" s="6" t="n">
        <v>173</v>
      </c>
      <c r="D839" s="12" t="n">
        <f aca="false">C839/(B839+C839)*100</f>
        <v>46.1333333333333</v>
      </c>
      <c r="E839" s="6" t="n">
        <v>25</v>
      </c>
      <c r="F839" s="6" t="s">
        <v>6219</v>
      </c>
      <c r="G839" s="6" t="n">
        <v>93</v>
      </c>
      <c r="H839" s="6" t="s">
        <v>6220</v>
      </c>
      <c r="I839" s="6" t="n">
        <v>26</v>
      </c>
      <c r="J839" s="6" t="s">
        <v>6221</v>
      </c>
      <c r="K839" s="6" t="n">
        <v>10</v>
      </c>
      <c r="L839" s="6" t="s">
        <v>6222</v>
      </c>
      <c r="M839" s="6" t="n">
        <v>9</v>
      </c>
      <c r="N839" s="6" t="s">
        <v>6223</v>
      </c>
      <c r="O839" s="6" t="n">
        <v>5</v>
      </c>
      <c r="P839" s="6" t="s">
        <v>6224</v>
      </c>
      <c r="Q839" s="6" t="n">
        <v>5</v>
      </c>
      <c r="R839" s="6" t="s">
        <v>6225</v>
      </c>
      <c r="S839" s="6" t="n">
        <v>5</v>
      </c>
      <c r="T839" s="6" t="s">
        <v>6226</v>
      </c>
      <c r="U839" s="6" t="n">
        <v>5</v>
      </c>
      <c r="V839" s="6" t="s">
        <v>6227</v>
      </c>
      <c r="W839" s="6" t="n">
        <v>3</v>
      </c>
      <c r="X839" s="6" t="s">
        <v>6228</v>
      </c>
      <c r="Y839" s="6" t="n">
        <v>2</v>
      </c>
      <c r="Z839" s="6" t="s">
        <v>6229</v>
      </c>
      <c r="AA839" s="6" t="n">
        <v>2</v>
      </c>
      <c r="AB839" s="6" t="s">
        <v>6230</v>
      </c>
      <c r="AC839" s="6" t="n">
        <v>1</v>
      </c>
      <c r="AD839" s="6" t="s">
        <v>6231</v>
      </c>
      <c r="AE839" s="6" t="n">
        <v>1</v>
      </c>
      <c r="AF839" s="6" t="s">
        <v>6232</v>
      </c>
      <c r="AG839" s="6" t="n">
        <v>1</v>
      </c>
      <c r="AH839" s="6" t="s">
        <v>6233</v>
      </c>
      <c r="AI839" s="6" t="n">
        <v>1</v>
      </c>
      <c r="AJ839" s="6" t="s">
        <v>6234</v>
      </c>
      <c r="AK839" s="6" t="n">
        <v>1</v>
      </c>
      <c r="AL839" s="6" t="s">
        <v>6235</v>
      </c>
      <c r="AM839" s="6" t="n">
        <v>1</v>
      </c>
      <c r="AN839" s="6" t="s">
        <v>6236</v>
      </c>
      <c r="AO839" s="6" t="n">
        <v>1</v>
      </c>
      <c r="AP839" s="6" t="s">
        <v>6237</v>
      </c>
      <c r="AQ839" s="6" t="n">
        <v>1</v>
      </c>
      <c r="AR839" s="6" t="s">
        <v>6238</v>
      </c>
      <c r="AS839" s="6" t="n">
        <v>0</v>
      </c>
      <c r="AT839" s="6" t="s">
        <v>6239</v>
      </c>
      <c r="AU839" s="6" t="n">
        <v>0</v>
      </c>
      <c r="AV839" s="6" t="s">
        <v>6240</v>
      </c>
      <c r="AW839" s="6" t="n">
        <v>0</v>
      </c>
      <c r="AX839" s="6" t="s">
        <v>6241</v>
      </c>
      <c r="AY839" s="6" t="n">
        <v>0</v>
      </c>
      <c r="AZ839" s="6" t="s">
        <v>6242</v>
      </c>
      <c r="BA839" s="6" t="n">
        <v>0</v>
      </c>
      <c r="BB839" s="6" t="s">
        <v>6243</v>
      </c>
      <c r="BC839" s="6" t="n">
        <v>0</v>
      </c>
    </row>
    <row r="840" customFormat="false" ht="12.8" hidden="false" customHeight="false" outlineLevel="0" collapsed="false">
      <c r="A840" s="6" t="s">
        <v>6244</v>
      </c>
      <c r="B840" s="6" t="n">
        <v>202</v>
      </c>
      <c r="C840" s="6" t="n">
        <v>38</v>
      </c>
      <c r="D840" s="12" t="n">
        <f aca="false">C840/(B840+C840)*100</f>
        <v>15.8333333333333</v>
      </c>
      <c r="E840" s="6" t="n">
        <v>7</v>
      </c>
      <c r="F840" s="6" t="s">
        <v>6245</v>
      </c>
      <c r="G840" s="6" t="n">
        <v>30</v>
      </c>
      <c r="H840" s="6" t="s">
        <v>6246</v>
      </c>
      <c r="I840" s="6" t="n">
        <v>4</v>
      </c>
      <c r="J840" s="6" t="s">
        <v>6247</v>
      </c>
      <c r="K840" s="6" t="n">
        <v>2</v>
      </c>
      <c r="L840" s="6" t="s">
        <v>6248</v>
      </c>
      <c r="M840" s="6" t="n">
        <v>2</v>
      </c>
      <c r="N840" s="6" t="s">
        <v>6249</v>
      </c>
      <c r="O840" s="6" t="n">
        <v>0</v>
      </c>
      <c r="P840" s="6" t="s">
        <v>6250</v>
      </c>
      <c r="Q840" s="6" t="n">
        <v>0</v>
      </c>
      <c r="R840" s="6" t="s">
        <v>6251</v>
      </c>
      <c r="S840" s="6" t="n">
        <v>0</v>
      </c>
    </row>
    <row r="841" customFormat="false" ht="12.8" hidden="false" customHeight="false" outlineLevel="0" collapsed="false">
      <c r="A841" s="6" t="s">
        <v>6252</v>
      </c>
      <c r="B841" s="6" t="n">
        <v>204</v>
      </c>
      <c r="C841" s="6" t="n">
        <v>355</v>
      </c>
      <c r="D841" s="12" t="n">
        <f aca="false">C841/(B841+C841)*100</f>
        <v>63.5062611806798</v>
      </c>
      <c r="E841" s="6" t="n">
        <v>8</v>
      </c>
      <c r="F841" s="6" t="s">
        <v>6253</v>
      </c>
      <c r="G841" s="6" t="n">
        <v>313</v>
      </c>
      <c r="H841" s="6" t="s">
        <v>6254</v>
      </c>
      <c r="I841" s="6" t="n">
        <v>31</v>
      </c>
      <c r="J841" s="6" t="s">
        <v>6255</v>
      </c>
      <c r="K841" s="6" t="n">
        <v>6</v>
      </c>
      <c r="L841" s="6" t="s">
        <v>6256</v>
      </c>
      <c r="M841" s="6" t="n">
        <v>2</v>
      </c>
      <c r="N841" s="6" t="s">
        <v>6257</v>
      </c>
      <c r="O841" s="6" t="n">
        <v>1</v>
      </c>
      <c r="P841" s="6" t="s">
        <v>6258</v>
      </c>
      <c r="Q841" s="6" t="n">
        <v>1</v>
      </c>
      <c r="R841" s="6" t="s">
        <v>6259</v>
      </c>
      <c r="S841" s="6" t="n">
        <v>1</v>
      </c>
      <c r="T841" s="6" t="s">
        <v>6260</v>
      </c>
      <c r="U841" s="6" t="n">
        <v>0</v>
      </c>
    </row>
    <row r="842" customFormat="false" ht="12.8" hidden="false" customHeight="false" outlineLevel="0" collapsed="false">
      <c r="A842" s="6" t="s">
        <v>6261</v>
      </c>
      <c r="B842" s="6" t="n">
        <v>204</v>
      </c>
      <c r="C842" s="6" t="n">
        <v>4</v>
      </c>
      <c r="D842" s="12" t="n">
        <f aca="false">C842/(B842+C842)*100</f>
        <v>1.92307692307692</v>
      </c>
      <c r="E842" s="6" t="n">
        <v>6</v>
      </c>
      <c r="F842" s="6" t="s">
        <v>6262</v>
      </c>
      <c r="G842" s="6" t="n">
        <v>2</v>
      </c>
      <c r="H842" s="6" t="s">
        <v>6263</v>
      </c>
      <c r="I842" s="6" t="n">
        <v>1</v>
      </c>
      <c r="J842" s="6" t="s">
        <v>6264</v>
      </c>
      <c r="K842" s="6" t="n">
        <v>1</v>
      </c>
      <c r="L842" s="6" t="s">
        <v>6265</v>
      </c>
      <c r="M842" s="6" t="n">
        <v>0</v>
      </c>
      <c r="N842" s="6" t="s">
        <v>6266</v>
      </c>
      <c r="O842" s="6" t="n">
        <v>0</v>
      </c>
      <c r="P842" s="6" t="s">
        <v>6267</v>
      </c>
      <c r="Q842" s="6" t="n">
        <v>0</v>
      </c>
    </row>
    <row r="843" customFormat="false" ht="12.8" hidden="false" customHeight="false" outlineLevel="0" collapsed="false">
      <c r="A843" s="6" t="s">
        <v>6268</v>
      </c>
      <c r="B843" s="6" t="n">
        <v>206</v>
      </c>
      <c r="C843" s="6" t="n">
        <v>363</v>
      </c>
      <c r="D843" s="12" t="n">
        <f aca="false">C843/(B843+C843)*100</f>
        <v>63.7961335676626</v>
      </c>
      <c r="E843" s="6" t="n">
        <v>17</v>
      </c>
      <c r="F843" s="6" t="s">
        <v>6269</v>
      </c>
      <c r="G843" s="6" t="n">
        <v>148</v>
      </c>
      <c r="H843" s="6" t="s">
        <v>6270</v>
      </c>
      <c r="I843" s="6" t="n">
        <v>83</v>
      </c>
      <c r="J843" s="6" t="s">
        <v>6271</v>
      </c>
      <c r="K843" s="6" t="n">
        <v>57</v>
      </c>
      <c r="L843" s="6" t="s">
        <v>6272</v>
      </c>
      <c r="M843" s="6" t="n">
        <v>27</v>
      </c>
      <c r="N843" s="6" t="s">
        <v>6273</v>
      </c>
      <c r="O843" s="6" t="n">
        <v>16</v>
      </c>
      <c r="P843" s="6" t="s">
        <v>6274</v>
      </c>
      <c r="Q843" s="6" t="n">
        <v>9</v>
      </c>
      <c r="R843" s="6" t="s">
        <v>6275</v>
      </c>
      <c r="S843" s="6" t="n">
        <v>6</v>
      </c>
      <c r="T843" s="6" t="s">
        <v>6276</v>
      </c>
      <c r="U843" s="6" t="n">
        <v>6</v>
      </c>
      <c r="V843" s="6" t="s">
        <v>6277</v>
      </c>
      <c r="W843" s="6" t="n">
        <v>5</v>
      </c>
      <c r="X843" s="6" t="s">
        <v>6278</v>
      </c>
      <c r="Y843" s="6" t="n">
        <v>1</v>
      </c>
      <c r="Z843" s="6" t="s">
        <v>6279</v>
      </c>
      <c r="AA843" s="6" t="n">
        <v>1</v>
      </c>
      <c r="AB843" s="6" t="s">
        <v>6280</v>
      </c>
      <c r="AC843" s="6" t="n">
        <v>1</v>
      </c>
      <c r="AD843" s="6" t="s">
        <v>6281</v>
      </c>
      <c r="AE843" s="6" t="n">
        <v>1</v>
      </c>
      <c r="AF843" s="6" t="s">
        <v>6282</v>
      </c>
      <c r="AG843" s="6" t="n">
        <v>1</v>
      </c>
      <c r="AH843" s="6" t="s">
        <v>6283</v>
      </c>
      <c r="AI843" s="6" t="n">
        <v>1</v>
      </c>
      <c r="AJ843" s="6" t="s">
        <v>6284</v>
      </c>
      <c r="AK843" s="6" t="n">
        <v>0</v>
      </c>
      <c r="AL843" s="6" t="s">
        <v>6285</v>
      </c>
      <c r="AM843" s="6" t="n">
        <v>0</v>
      </c>
    </row>
    <row r="844" customFormat="false" ht="12.8" hidden="false" customHeight="false" outlineLevel="0" collapsed="false">
      <c r="A844" s="6" t="s">
        <v>6286</v>
      </c>
      <c r="B844" s="6" t="n">
        <v>207</v>
      </c>
      <c r="C844" s="6" t="n">
        <v>5139</v>
      </c>
      <c r="D844" s="12" t="n">
        <f aca="false">C844/(B844+C844)*100</f>
        <v>96.1279461279461</v>
      </c>
      <c r="E844" s="6" t="n">
        <v>67</v>
      </c>
      <c r="F844" s="6" t="s">
        <v>6287</v>
      </c>
      <c r="G844" s="6" t="n">
        <v>1348</v>
      </c>
      <c r="H844" s="6" t="s">
        <v>6288</v>
      </c>
      <c r="I844" s="6" t="n">
        <v>873</v>
      </c>
      <c r="J844" s="6" t="s">
        <v>6288</v>
      </c>
      <c r="K844" s="6" t="n">
        <v>873</v>
      </c>
      <c r="L844" s="6" t="s">
        <v>6289</v>
      </c>
      <c r="M844" s="6" t="n">
        <v>736</v>
      </c>
      <c r="N844" s="6" t="s">
        <v>6290</v>
      </c>
      <c r="O844" s="6" t="n">
        <v>284</v>
      </c>
      <c r="P844" s="6" t="s">
        <v>6291</v>
      </c>
      <c r="Q844" s="6" t="n">
        <v>209</v>
      </c>
      <c r="R844" s="6" t="s">
        <v>6292</v>
      </c>
      <c r="S844" s="6" t="n">
        <v>126</v>
      </c>
      <c r="T844" s="6" t="s">
        <v>6293</v>
      </c>
      <c r="U844" s="6" t="n">
        <v>118</v>
      </c>
      <c r="V844" s="6" t="s">
        <v>6294</v>
      </c>
      <c r="W844" s="6" t="n">
        <v>89</v>
      </c>
      <c r="X844" s="6" t="s">
        <v>6295</v>
      </c>
      <c r="Y844" s="6" t="n">
        <v>48</v>
      </c>
      <c r="Z844" s="6" t="s">
        <v>6295</v>
      </c>
      <c r="AA844" s="6" t="n">
        <v>48</v>
      </c>
      <c r="AB844" s="6" t="s">
        <v>6296</v>
      </c>
      <c r="AC844" s="6" t="n">
        <v>45</v>
      </c>
      <c r="AD844" s="6" t="s">
        <v>6297</v>
      </c>
      <c r="AE844" s="6" t="n">
        <v>40</v>
      </c>
      <c r="AF844" s="6" t="s">
        <v>6298</v>
      </c>
      <c r="AG844" s="6" t="n">
        <v>34</v>
      </c>
      <c r="AH844" s="6" t="s">
        <v>6299</v>
      </c>
      <c r="AI844" s="6" t="n">
        <v>29</v>
      </c>
      <c r="AJ844" s="6" t="s">
        <v>6299</v>
      </c>
      <c r="AK844" s="6" t="n">
        <v>29</v>
      </c>
      <c r="AL844" s="6" t="s">
        <v>6300</v>
      </c>
      <c r="AM844" s="6" t="n">
        <v>28</v>
      </c>
      <c r="AN844" s="6" t="s">
        <v>6301</v>
      </c>
      <c r="AO844" s="6" t="n">
        <v>19</v>
      </c>
      <c r="AP844" s="6" t="s">
        <v>741</v>
      </c>
      <c r="AQ844" s="6" t="n">
        <v>15</v>
      </c>
      <c r="AR844" s="6" t="s">
        <v>741</v>
      </c>
      <c r="AS844" s="6" t="n">
        <v>15</v>
      </c>
      <c r="AT844" s="6" t="s">
        <v>6302</v>
      </c>
      <c r="AU844" s="6" t="n">
        <v>14</v>
      </c>
      <c r="AV844" s="6" t="s">
        <v>6303</v>
      </c>
      <c r="AW844" s="6" t="n">
        <v>12</v>
      </c>
      <c r="AX844" s="6" t="s">
        <v>6304</v>
      </c>
      <c r="AY844" s="6" t="n">
        <v>12</v>
      </c>
      <c r="AZ844" s="6" t="s">
        <v>6303</v>
      </c>
      <c r="BA844" s="6" t="n">
        <v>12</v>
      </c>
      <c r="BB844" s="6" t="s">
        <v>6304</v>
      </c>
      <c r="BC844" s="6" t="n">
        <v>12</v>
      </c>
      <c r="BD844" s="6" t="s">
        <v>6305</v>
      </c>
      <c r="BE844" s="6" t="n">
        <v>11</v>
      </c>
      <c r="BF844" s="6" t="s">
        <v>6306</v>
      </c>
      <c r="BG844" s="6" t="n">
        <v>11</v>
      </c>
      <c r="BH844" s="6" t="s">
        <v>6307</v>
      </c>
      <c r="BI844" s="6" t="n">
        <v>8</v>
      </c>
      <c r="BJ844" s="6" t="s">
        <v>6308</v>
      </c>
      <c r="BK844" s="6" t="n">
        <v>6</v>
      </c>
      <c r="BL844" s="6" t="s">
        <v>6309</v>
      </c>
      <c r="BM844" s="6" t="n">
        <v>5</v>
      </c>
      <c r="BN844" s="6" t="s">
        <v>6310</v>
      </c>
      <c r="BO844" s="6" t="n">
        <v>3</v>
      </c>
      <c r="BP844" s="6" t="s">
        <v>6311</v>
      </c>
      <c r="BQ844" s="6" t="n">
        <v>2</v>
      </c>
      <c r="BR844" s="6" t="s">
        <v>6312</v>
      </c>
      <c r="BS844" s="6" t="n">
        <v>2</v>
      </c>
      <c r="BT844" s="6" t="s">
        <v>6313</v>
      </c>
      <c r="BU844" s="6" t="n">
        <v>2</v>
      </c>
      <c r="BV844" s="6" t="s">
        <v>6314</v>
      </c>
      <c r="BW844" s="6" t="n">
        <v>2</v>
      </c>
      <c r="BX844" s="6" t="s">
        <v>6311</v>
      </c>
      <c r="BY844" s="6" t="n">
        <v>2</v>
      </c>
      <c r="BZ844" s="6" t="s">
        <v>6312</v>
      </c>
      <c r="CA844" s="6" t="n">
        <v>2</v>
      </c>
      <c r="CB844" s="6" t="s">
        <v>6315</v>
      </c>
      <c r="CC844" s="6" t="n">
        <v>2</v>
      </c>
      <c r="CD844" s="6" t="s">
        <v>6316</v>
      </c>
      <c r="CE844" s="6" t="n">
        <v>2</v>
      </c>
      <c r="CF844" s="6" t="s">
        <v>6317</v>
      </c>
      <c r="CG844" s="6" t="n">
        <v>1</v>
      </c>
      <c r="CH844" s="6" t="s">
        <v>6318</v>
      </c>
      <c r="CI844" s="6" t="n">
        <v>1</v>
      </c>
      <c r="CJ844" s="6" t="s">
        <v>6319</v>
      </c>
      <c r="CK844" s="6" t="n">
        <v>1</v>
      </c>
      <c r="CL844" s="6" t="s">
        <v>6317</v>
      </c>
      <c r="CM844" s="6" t="n">
        <v>1</v>
      </c>
      <c r="CN844" s="6" t="s">
        <v>6320</v>
      </c>
      <c r="CO844" s="6" t="n">
        <v>1</v>
      </c>
      <c r="CP844" s="6" t="s">
        <v>6321</v>
      </c>
      <c r="CQ844" s="6" t="n">
        <v>1</v>
      </c>
      <c r="CR844" s="6" t="s">
        <v>6322</v>
      </c>
      <c r="CS844" s="6" t="n">
        <v>1</v>
      </c>
      <c r="CT844" s="6" t="s">
        <v>6323</v>
      </c>
      <c r="CU844" s="6" t="n">
        <v>1</v>
      </c>
      <c r="CV844" s="6" t="s">
        <v>6324</v>
      </c>
      <c r="CW844" s="6" t="n">
        <v>1</v>
      </c>
      <c r="CX844" s="6" t="s">
        <v>6325</v>
      </c>
      <c r="CY844" s="6" t="n">
        <v>1</v>
      </c>
      <c r="CZ844" s="6" t="s">
        <v>6326</v>
      </c>
      <c r="DA844" s="6" t="n">
        <v>1</v>
      </c>
      <c r="DB844" s="6" t="s">
        <v>6327</v>
      </c>
      <c r="DC844" s="6" t="n">
        <v>0</v>
      </c>
      <c r="DD844" s="6" t="s">
        <v>6328</v>
      </c>
      <c r="DE844" s="6" t="n">
        <v>0</v>
      </c>
      <c r="DF844" s="6" t="s">
        <v>6329</v>
      </c>
      <c r="DG844" s="6" t="n">
        <v>0</v>
      </c>
      <c r="DH844" s="6" t="s">
        <v>6330</v>
      </c>
      <c r="DI844" s="6" t="n">
        <v>0</v>
      </c>
      <c r="DJ844" s="6" t="s">
        <v>6331</v>
      </c>
      <c r="DK844" s="6" t="n">
        <v>0</v>
      </c>
      <c r="DL844" s="6" t="s">
        <v>6332</v>
      </c>
      <c r="DM844" s="6" t="n">
        <v>0</v>
      </c>
      <c r="DN844" s="6" t="s">
        <v>6333</v>
      </c>
      <c r="DO844" s="6" t="n">
        <v>0</v>
      </c>
      <c r="DP844" s="6" t="s">
        <v>6334</v>
      </c>
      <c r="DQ844" s="6" t="n">
        <v>0</v>
      </c>
      <c r="DR844" s="6" t="s">
        <v>6335</v>
      </c>
      <c r="DS844" s="6" t="n">
        <v>0</v>
      </c>
      <c r="DT844" s="6" t="s">
        <v>6336</v>
      </c>
      <c r="DU844" s="6" t="n">
        <v>0</v>
      </c>
      <c r="DV844" s="6" t="s">
        <v>6337</v>
      </c>
      <c r="DW844" s="6" t="n">
        <v>0</v>
      </c>
      <c r="DX844" s="6" t="s">
        <v>6338</v>
      </c>
      <c r="DY844" s="6" t="n">
        <v>0</v>
      </c>
      <c r="DZ844" s="6" t="s">
        <v>6339</v>
      </c>
      <c r="EA844" s="6" t="n">
        <v>0</v>
      </c>
      <c r="EB844" s="6" t="s">
        <v>6340</v>
      </c>
      <c r="EC844" s="6" t="n">
        <v>0</v>
      </c>
      <c r="ED844" s="6" t="s">
        <v>6341</v>
      </c>
      <c r="EE844" s="6" t="n">
        <v>0</v>
      </c>
      <c r="EF844" s="6" t="s">
        <v>6342</v>
      </c>
      <c r="EG844" s="6" t="n">
        <v>0</v>
      </c>
      <c r="EH844" s="6" t="s">
        <v>6343</v>
      </c>
      <c r="EI844" s="6" t="n">
        <v>0</v>
      </c>
    </row>
    <row r="845" customFormat="false" ht="12.8" hidden="false" customHeight="false" outlineLevel="0" collapsed="false">
      <c r="A845" s="6" t="s">
        <v>6344</v>
      </c>
      <c r="B845" s="6" t="n">
        <v>210</v>
      </c>
      <c r="C845" s="6" t="n">
        <v>266</v>
      </c>
      <c r="D845" s="12" t="n">
        <f aca="false">C845/(B845+C845)*100</f>
        <v>55.8823529411765</v>
      </c>
      <c r="E845" s="6" t="n">
        <v>11</v>
      </c>
      <c r="F845" s="6" t="s">
        <v>6345</v>
      </c>
      <c r="G845" s="6" t="n">
        <v>141</v>
      </c>
      <c r="H845" s="6" t="s">
        <v>6346</v>
      </c>
      <c r="I845" s="6" t="n">
        <v>52</v>
      </c>
      <c r="J845" s="6" t="s">
        <v>6347</v>
      </c>
      <c r="K845" s="6" t="n">
        <v>22</v>
      </c>
      <c r="L845" s="6" t="s">
        <v>6348</v>
      </c>
      <c r="M845" s="6" t="n">
        <v>22</v>
      </c>
      <c r="N845" s="6" t="s">
        <v>6349</v>
      </c>
      <c r="O845" s="6" t="n">
        <v>15</v>
      </c>
      <c r="P845" s="6" t="s">
        <v>6350</v>
      </c>
      <c r="Q845" s="6" t="n">
        <v>6</v>
      </c>
      <c r="R845" s="6" t="s">
        <v>6351</v>
      </c>
      <c r="S845" s="6" t="n">
        <v>4</v>
      </c>
      <c r="T845" s="6" t="s">
        <v>6352</v>
      </c>
      <c r="U845" s="6" t="n">
        <v>2</v>
      </c>
      <c r="V845" s="6" t="s">
        <v>6353</v>
      </c>
      <c r="W845" s="6" t="n">
        <v>1</v>
      </c>
      <c r="X845" s="6" t="s">
        <v>6354</v>
      </c>
      <c r="Y845" s="6" t="n">
        <v>1</v>
      </c>
      <c r="Z845" s="6" t="s">
        <v>6355</v>
      </c>
      <c r="AA845" s="6" t="n">
        <v>0</v>
      </c>
    </row>
    <row r="846" customFormat="false" ht="12.8" hidden="false" customHeight="false" outlineLevel="0" collapsed="false">
      <c r="A846" s="6" t="s">
        <v>6356</v>
      </c>
      <c r="B846" s="6" t="n">
        <v>211</v>
      </c>
      <c r="C846" s="6" t="n">
        <v>202</v>
      </c>
      <c r="D846" s="12" t="n">
        <f aca="false">C846/(B846+C846)*100</f>
        <v>48.910411622276</v>
      </c>
      <c r="E846" s="6" t="n">
        <v>16</v>
      </c>
      <c r="F846" s="6" t="s">
        <v>6357</v>
      </c>
      <c r="G846" s="6" t="n">
        <v>77</v>
      </c>
      <c r="H846" s="6" t="s">
        <v>6358</v>
      </c>
      <c r="I846" s="6" t="n">
        <v>61</v>
      </c>
      <c r="J846" s="6" t="s">
        <v>6359</v>
      </c>
      <c r="K846" s="6" t="n">
        <v>26</v>
      </c>
      <c r="L846" s="6" t="s">
        <v>6360</v>
      </c>
      <c r="M846" s="6" t="n">
        <v>10</v>
      </c>
      <c r="N846" s="6" t="s">
        <v>6361</v>
      </c>
      <c r="O846" s="6" t="n">
        <v>7</v>
      </c>
      <c r="P846" s="6" t="s">
        <v>6362</v>
      </c>
      <c r="Q846" s="6" t="n">
        <v>7</v>
      </c>
      <c r="R846" s="6" t="s">
        <v>6363</v>
      </c>
      <c r="S846" s="6" t="n">
        <v>3</v>
      </c>
      <c r="T846" s="6" t="s">
        <v>6364</v>
      </c>
      <c r="U846" s="6" t="n">
        <v>3</v>
      </c>
      <c r="V846" s="6" t="s">
        <v>6365</v>
      </c>
      <c r="W846" s="6" t="n">
        <v>3</v>
      </c>
      <c r="X846" s="6" t="s">
        <v>6366</v>
      </c>
      <c r="Y846" s="6" t="n">
        <v>3</v>
      </c>
      <c r="Z846" s="6" t="s">
        <v>6367</v>
      </c>
      <c r="AA846" s="6" t="n">
        <v>1</v>
      </c>
      <c r="AB846" s="6" t="s">
        <v>6368</v>
      </c>
      <c r="AC846" s="6" t="n">
        <v>1</v>
      </c>
      <c r="AD846" s="6" t="s">
        <v>6369</v>
      </c>
      <c r="AE846" s="6" t="n">
        <v>0</v>
      </c>
      <c r="AF846" s="6" t="s">
        <v>6370</v>
      </c>
      <c r="AG846" s="6" t="n">
        <v>0</v>
      </c>
      <c r="AH846" s="6" t="s">
        <v>6371</v>
      </c>
      <c r="AI846" s="6" t="n">
        <v>0</v>
      </c>
      <c r="AJ846" s="6" t="s">
        <v>6372</v>
      </c>
      <c r="AK846" s="6" t="n">
        <v>0</v>
      </c>
    </row>
    <row r="847" customFormat="false" ht="12.8" hidden="false" customHeight="false" outlineLevel="0" collapsed="false">
      <c r="A847" s="6" t="s">
        <v>6373</v>
      </c>
      <c r="B847" s="6" t="n">
        <v>212</v>
      </c>
      <c r="C847" s="6" t="n">
        <v>152</v>
      </c>
      <c r="D847" s="12" t="n">
        <f aca="false">C847/(B847+C847)*100</f>
        <v>41.7582417582418</v>
      </c>
      <c r="E847" s="6" t="n">
        <v>20</v>
      </c>
      <c r="F847" s="6" t="s">
        <v>6374</v>
      </c>
      <c r="G847" s="6" t="n">
        <v>67</v>
      </c>
      <c r="H847" s="6" t="s">
        <v>6375</v>
      </c>
      <c r="I847" s="6" t="n">
        <v>33</v>
      </c>
      <c r="J847" s="6" t="s">
        <v>6376</v>
      </c>
      <c r="K847" s="6" t="n">
        <v>27</v>
      </c>
      <c r="L847" s="6" t="s">
        <v>6377</v>
      </c>
      <c r="M847" s="6" t="n">
        <v>5</v>
      </c>
      <c r="N847" s="6" t="s">
        <v>6378</v>
      </c>
      <c r="O847" s="6" t="n">
        <v>5</v>
      </c>
      <c r="P847" s="6" t="s">
        <v>6379</v>
      </c>
      <c r="Q847" s="6" t="n">
        <v>4</v>
      </c>
      <c r="R847" s="6" t="s">
        <v>6380</v>
      </c>
      <c r="S847" s="6" t="n">
        <v>4</v>
      </c>
      <c r="T847" s="6" t="s">
        <v>6381</v>
      </c>
      <c r="U847" s="6" t="n">
        <v>3</v>
      </c>
      <c r="V847" s="6" t="s">
        <v>6382</v>
      </c>
      <c r="W847" s="6" t="n">
        <v>1</v>
      </c>
      <c r="X847" s="6" t="s">
        <v>6383</v>
      </c>
      <c r="Y847" s="6" t="n">
        <v>1</v>
      </c>
      <c r="Z847" s="6" t="s">
        <v>6384</v>
      </c>
      <c r="AA847" s="6" t="n">
        <v>1</v>
      </c>
      <c r="AB847" s="6" t="s">
        <v>6385</v>
      </c>
      <c r="AC847" s="6" t="n">
        <v>1</v>
      </c>
      <c r="AD847" s="6" t="s">
        <v>6386</v>
      </c>
      <c r="AE847" s="6" t="n">
        <v>0</v>
      </c>
      <c r="AF847" s="6" t="s">
        <v>6387</v>
      </c>
      <c r="AG847" s="6" t="n">
        <v>0</v>
      </c>
      <c r="AH847" s="6" t="s">
        <v>6388</v>
      </c>
      <c r="AI847" s="6" t="n">
        <v>0</v>
      </c>
      <c r="AJ847" s="6" t="s">
        <v>6389</v>
      </c>
      <c r="AK847" s="6" t="n">
        <v>0</v>
      </c>
      <c r="AL847" s="6" t="s">
        <v>6390</v>
      </c>
      <c r="AM847" s="6" t="n">
        <v>0</v>
      </c>
      <c r="AN847" s="6" t="s">
        <v>6391</v>
      </c>
      <c r="AO847" s="6" t="n">
        <v>0</v>
      </c>
      <c r="AP847" s="6" t="s">
        <v>6392</v>
      </c>
      <c r="AQ847" s="6" t="n">
        <v>0</v>
      </c>
      <c r="AR847" s="6" t="s">
        <v>6393</v>
      </c>
      <c r="AS847" s="6" t="n">
        <v>0</v>
      </c>
    </row>
    <row r="848" customFormat="false" ht="12.8" hidden="false" customHeight="false" outlineLevel="0" collapsed="false">
      <c r="A848" s="6" t="s">
        <v>6394</v>
      </c>
      <c r="B848" s="6" t="n">
        <v>212</v>
      </c>
      <c r="C848" s="6" t="n">
        <v>7</v>
      </c>
      <c r="D848" s="12" t="n">
        <f aca="false">C848/(B848+C848)*100</f>
        <v>3.19634703196347</v>
      </c>
      <c r="E848" s="6" t="n">
        <v>5</v>
      </c>
      <c r="F848" s="6" t="s">
        <v>6395</v>
      </c>
      <c r="G848" s="6" t="n">
        <v>2</v>
      </c>
      <c r="H848" s="6" t="s">
        <v>6396</v>
      </c>
      <c r="I848" s="6" t="n">
        <v>2</v>
      </c>
      <c r="J848" s="6" t="s">
        <v>6397</v>
      </c>
      <c r="K848" s="6" t="n">
        <v>1</v>
      </c>
      <c r="L848" s="6" t="s">
        <v>6398</v>
      </c>
      <c r="M848" s="6" t="n">
        <v>1</v>
      </c>
      <c r="N848" s="6" t="s">
        <v>6399</v>
      </c>
      <c r="O848" s="6" t="n">
        <v>1</v>
      </c>
    </row>
    <row r="849" customFormat="false" ht="12.8" hidden="false" customHeight="false" outlineLevel="0" collapsed="false">
      <c r="A849" s="6" t="s">
        <v>6400</v>
      </c>
      <c r="B849" s="6" t="n">
        <v>214</v>
      </c>
      <c r="C849" s="6" t="n">
        <v>72</v>
      </c>
      <c r="D849" s="12" t="n">
        <f aca="false">C849/(B849+C849)*100</f>
        <v>25.1748251748252</v>
      </c>
      <c r="E849" s="6" t="n">
        <v>16</v>
      </c>
      <c r="F849" s="6" t="s">
        <v>6401</v>
      </c>
      <c r="G849" s="6" t="n">
        <v>32</v>
      </c>
      <c r="H849" s="6" t="s">
        <v>6402</v>
      </c>
      <c r="I849" s="6" t="n">
        <v>9</v>
      </c>
      <c r="J849" s="6" t="s">
        <v>6403</v>
      </c>
      <c r="K849" s="6" t="n">
        <v>8</v>
      </c>
      <c r="L849" s="6" t="s">
        <v>6404</v>
      </c>
      <c r="M849" s="6" t="n">
        <v>4</v>
      </c>
      <c r="N849" s="6" t="s">
        <v>6405</v>
      </c>
      <c r="O849" s="6" t="n">
        <v>4</v>
      </c>
      <c r="P849" s="6" t="s">
        <v>6406</v>
      </c>
      <c r="Q849" s="6" t="n">
        <v>3</v>
      </c>
      <c r="R849" s="6" t="s">
        <v>6407</v>
      </c>
      <c r="S849" s="6" t="n">
        <v>2</v>
      </c>
      <c r="T849" s="6" t="s">
        <v>6408</v>
      </c>
      <c r="U849" s="6" t="n">
        <v>2</v>
      </c>
      <c r="V849" s="6" t="s">
        <v>6409</v>
      </c>
      <c r="W849" s="6" t="n">
        <v>2</v>
      </c>
      <c r="X849" s="6" t="s">
        <v>6410</v>
      </c>
      <c r="Y849" s="6" t="n">
        <v>1</v>
      </c>
      <c r="Z849" s="6" t="s">
        <v>6411</v>
      </c>
      <c r="AA849" s="6" t="n">
        <v>1</v>
      </c>
      <c r="AB849" s="6" t="s">
        <v>6412</v>
      </c>
      <c r="AC849" s="6" t="n">
        <v>1</v>
      </c>
      <c r="AD849" s="6" t="s">
        <v>6413</v>
      </c>
      <c r="AE849" s="6" t="n">
        <v>1</v>
      </c>
      <c r="AF849" s="6" t="s">
        <v>6414</v>
      </c>
      <c r="AG849" s="6" t="n">
        <v>1</v>
      </c>
      <c r="AH849" s="6" t="s">
        <v>6415</v>
      </c>
      <c r="AI849" s="6" t="n">
        <v>1</v>
      </c>
      <c r="AJ849" s="6" t="s">
        <v>6416</v>
      </c>
      <c r="AK849" s="6" t="n">
        <v>0</v>
      </c>
    </row>
    <row r="850" customFormat="false" ht="12.8" hidden="false" customHeight="false" outlineLevel="0" collapsed="false">
      <c r="A850" s="6" t="s">
        <v>6417</v>
      </c>
      <c r="B850" s="6" t="n">
        <v>216</v>
      </c>
      <c r="C850" s="6" t="n">
        <v>1</v>
      </c>
      <c r="D850" s="12" t="n">
        <f aca="false">C850/(B850+C850)*100</f>
        <v>0.460829493087558</v>
      </c>
      <c r="E850" s="6" t="n">
        <v>4</v>
      </c>
      <c r="F850" s="6" t="s">
        <v>6418</v>
      </c>
      <c r="G850" s="6" t="n">
        <v>1</v>
      </c>
      <c r="H850" s="6" t="s">
        <v>6419</v>
      </c>
      <c r="I850" s="6" t="n">
        <v>0</v>
      </c>
      <c r="J850" s="6" t="s">
        <v>6420</v>
      </c>
      <c r="K850" s="6" t="n">
        <v>0</v>
      </c>
      <c r="L850" s="6" t="s">
        <v>6421</v>
      </c>
      <c r="M850" s="6" t="n">
        <v>0</v>
      </c>
    </row>
    <row r="851" customFormat="false" ht="12.8" hidden="false" customHeight="false" outlineLevel="0" collapsed="false">
      <c r="A851" s="6" t="s">
        <v>6422</v>
      </c>
      <c r="B851" s="6" t="n">
        <v>219</v>
      </c>
      <c r="C851" s="6" t="n">
        <v>0</v>
      </c>
      <c r="D851" s="12" t="n">
        <f aca="false">C851/(B851+C851)*100</f>
        <v>0</v>
      </c>
      <c r="E851" s="6" t="n">
        <v>1</v>
      </c>
      <c r="F851" s="6" t="s">
        <v>6423</v>
      </c>
      <c r="G851" s="6" t="n">
        <v>0</v>
      </c>
    </row>
    <row r="852" customFormat="false" ht="12.8" hidden="false" customHeight="false" outlineLevel="0" collapsed="false">
      <c r="A852" s="6" t="s">
        <v>6424</v>
      </c>
      <c r="B852" s="6" t="n">
        <v>220</v>
      </c>
      <c r="C852" s="6" t="n">
        <v>163</v>
      </c>
      <c r="D852" s="12" t="n">
        <f aca="false">C852/(B852+C852)*100</f>
        <v>42.5587467362924</v>
      </c>
      <c r="E852" s="6" t="n">
        <v>12</v>
      </c>
      <c r="F852" s="6" t="s">
        <v>6425</v>
      </c>
      <c r="G852" s="6" t="n">
        <v>48</v>
      </c>
      <c r="H852" s="6" t="s">
        <v>6426</v>
      </c>
      <c r="I852" s="6" t="n">
        <v>43</v>
      </c>
      <c r="J852" s="6" t="s">
        <v>6427</v>
      </c>
      <c r="K852" s="6" t="n">
        <v>42</v>
      </c>
      <c r="L852" s="6" t="s">
        <v>6428</v>
      </c>
      <c r="M852" s="6" t="n">
        <v>9</v>
      </c>
      <c r="N852" s="6" t="s">
        <v>6429</v>
      </c>
      <c r="O852" s="6" t="n">
        <v>8</v>
      </c>
      <c r="P852" s="6" t="s">
        <v>6430</v>
      </c>
      <c r="Q852" s="6" t="n">
        <v>4</v>
      </c>
      <c r="R852" s="6" t="s">
        <v>6431</v>
      </c>
      <c r="S852" s="6" t="n">
        <v>4</v>
      </c>
      <c r="T852" s="6" t="s">
        <v>6432</v>
      </c>
      <c r="U852" s="6" t="n">
        <v>3</v>
      </c>
      <c r="V852" s="6" t="s">
        <v>6433</v>
      </c>
      <c r="W852" s="6" t="n">
        <v>1</v>
      </c>
      <c r="X852" s="6" t="s">
        <v>6434</v>
      </c>
      <c r="Y852" s="6" t="n">
        <v>1</v>
      </c>
      <c r="Z852" s="6" t="s">
        <v>6435</v>
      </c>
      <c r="AA852" s="6" t="n">
        <v>0</v>
      </c>
      <c r="AB852" s="6" t="s">
        <v>6436</v>
      </c>
      <c r="AC852" s="6" t="n">
        <v>0</v>
      </c>
    </row>
    <row r="853" customFormat="false" ht="14.4" hidden="false" customHeight="false" outlineLevel="0" collapsed="false">
      <c r="A853" s="6" t="s">
        <v>6437</v>
      </c>
      <c r="B853" s="6" t="n">
        <v>221</v>
      </c>
      <c r="C853" s="6" t="n">
        <v>211</v>
      </c>
      <c r="D853" s="12" t="n">
        <f aca="false">C853/(B853+C853)*100</f>
        <v>48.8425925925926</v>
      </c>
      <c r="E853" s="6" t="n">
        <v>18</v>
      </c>
      <c r="F853" s="6" t="s">
        <v>6438</v>
      </c>
      <c r="G853" s="6" t="n">
        <v>181</v>
      </c>
      <c r="H853" s="6" t="s">
        <v>6439</v>
      </c>
      <c r="I853" s="6" t="n">
        <v>7</v>
      </c>
      <c r="J853" s="6" t="s">
        <v>6440</v>
      </c>
      <c r="K853" s="6" t="n">
        <v>5</v>
      </c>
      <c r="L853" s="6" t="s">
        <v>6441</v>
      </c>
      <c r="M853" s="6" t="n">
        <v>4</v>
      </c>
      <c r="N853" s="6" t="s">
        <v>6442</v>
      </c>
      <c r="O853" s="6" t="n">
        <v>2</v>
      </c>
      <c r="P853" s="6" t="s">
        <v>6443</v>
      </c>
      <c r="Q853" s="6" t="n">
        <v>2</v>
      </c>
      <c r="R853" s="6" t="s">
        <v>6444</v>
      </c>
      <c r="S853" s="6" t="n">
        <v>2</v>
      </c>
      <c r="T853" s="6" t="s">
        <v>6445</v>
      </c>
      <c r="U853" s="6" t="n">
        <v>2</v>
      </c>
      <c r="V853" s="6" t="s">
        <v>6446</v>
      </c>
      <c r="W853" s="6" t="n">
        <v>1</v>
      </c>
      <c r="X853" s="6" t="s">
        <v>6447</v>
      </c>
      <c r="Y853" s="6" t="n">
        <v>1</v>
      </c>
      <c r="Z853" s="6" t="s">
        <v>6448</v>
      </c>
      <c r="AA853" s="6" t="n">
        <v>1</v>
      </c>
      <c r="AB853" s="6" t="s">
        <v>6449</v>
      </c>
      <c r="AC853" s="6" t="n">
        <v>1</v>
      </c>
      <c r="AD853" s="6" t="s">
        <v>6450</v>
      </c>
      <c r="AE853" s="6" t="n">
        <v>1</v>
      </c>
      <c r="AF853" s="6" t="s">
        <v>6451</v>
      </c>
      <c r="AG853" s="6" t="n">
        <v>1</v>
      </c>
      <c r="AH853" s="6" t="s">
        <v>6452</v>
      </c>
      <c r="AI853" s="6" t="n">
        <v>0</v>
      </c>
      <c r="AJ853" s="6" t="s">
        <v>6453</v>
      </c>
      <c r="AK853" s="6" t="n">
        <v>0</v>
      </c>
      <c r="AL853" s="6" t="s">
        <v>6454</v>
      </c>
      <c r="AM853" s="6" t="n">
        <v>0</v>
      </c>
      <c r="AN853" s="6" t="s">
        <v>6455</v>
      </c>
      <c r="AO853" s="6" t="n">
        <v>0</v>
      </c>
    </row>
    <row r="854" customFormat="false" ht="12.8" hidden="false" customHeight="false" outlineLevel="0" collapsed="false">
      <c r="A854" s="6" t="s">
        <v>6456</v>
      </c>
      <c r="B854" s="6" t="n">
        <v>227</v>
      </c>
      <c r="C854" s="6" t="n">
        <v>3</v>
      </c>
      <c r="D854" s="12" t="n">
        <f aca="false">C854/(B854+C854)*100</f>
        <v>1.30434782608696</v>
      </c>
      <c r="E854" s="6" t="n">
        <v>4</v>
      </c>
      <c r="F854" s="6" t="s">
        <v>6457</v>
      </c>
      <c r="G854" s="6" t="n">
        <v>1</v>
      </c>
      <c r="H854" s="6" t="s">
        <v>6458</v>
      </c>
      <c r="I854" s="6" t="n">
        <v>1</v>
      </c>
      <c r="J854" s="6" t="s">
        <v>6459</v>
      </c>
      <c r="K854" s="6" t="n">
        <v>1</v>
      </c>
      <c r="L854" s="6" t="s">
        <v>6460</v>
      </c>
      <c r="M854" s="6" t="n">
        <v>0</v>
      </c>
    </row>
    <row r="855" customFormat="false" ht="12.8" hidden="false" customHeight="false" outlineLevel="0" collapsed="false">
      <c r="A855" s="6" t="s">
        <v>6461</v>
      </c>
      <c r="B855" s="6" t="n">
        <v>228</v>
      </c>
      <c r="C855" s="6" t="n">
        <v>22</v>
      </c>
      <c r="D855" s="12" t="n">
        <f aca="false">C855/(B855+C855)*100</f>
        <v>8.8</v>
      </c>
      <c r="E855" s="6" t="n">
        <v>8</v>
      </c>
      <c r="F855" s="6" t="s">
        <v>6462</v>
      </c>
      <c r="G855" s="6" t="n">
        <v>15</v>
      </c>
      <c r="H855" s="6" t="s">
        <v>6463</v>
      </c>
      <c r="I855" s="6" t="n">
        <v>2</v>
      </c>
      <c r="J855" s="6" t="s">
        <v>6464</v>
      </c>
      <c r="K855" s="6" t="n">
        <v>2</v>
      </c>
      <c r="L855" s="6" t="s">
        <v>6465</v>
      </c>
      <c r="M855" s="6" t="n">
        <v>1</v>
      </c>
      <c r="N855" s="6" t="s">
        <v>6466</v>
      </c>
      <c r="O855" s="6" t="n">
        <v>1</v>
      </c>
      <c r="P855" s="6" t="s">
        <v>6467</v>
      </c>
      <c r="Q855" s="6" t="n">
        <v>1</v>
      </c>
      <c r="R855" s="6" t="s">
        <v>6468</v>
      </c>
      <c r="S855" s="6" t="n">
        <v>0</v>
      </c>
      <c r="T855" s="6" t="s">
        <v>6469</v>
      </c>
      <c r="U855" s="6" t="n">
        <v>0</v>
      </c>
    </row>
    <row r="856" customFormat="false" ht="12.8" hidden="false" customHeight="false" outlineLevel="0" collapsed="false">
      <c r="A856" s="6" t="s">
        <v>6470</v>
      </c>
      <c r="B856" s="6" t="n">
        <v>229</v>
      </c>
      <c r="C856" s="6" t="n">
        <v>404</v>
      </c>
      <c r="D856" s="12" t="n">
        <f aca="false">C856/(B856+C856)*100</f>
        <v>63.8230647709321</v>
      </c>
      <c r="E856" s="6" t="n">
        <v>22</v>
      </c>
      <c r="F856" s="6" t="s">
        <v>6471</v>
      </c>
      <c r="G856" s="6" t="n">
        <v>145</v>
      </c>
      <c r="H856" s="6" t="s">
        <v>6472</v>
      </c>
      <c r="I856" s="6" t="n">
        <v>75</v>
      </c>
      <c r="J856" s="6" t="s">
        <v>6473</v>
      </c>
      <c r="K856" s="6" t="n">
        <v>41</v>
      </c>
      <c r="L856" s="6" t="s">
        <v>6474</v>
      </c>
      <c r="M856" s="6" t="n">
        <v>29</v>
      </c>
      <c r="N856" s="6" t="s">
        <v>6475</v>
      </c>
      <c r="O856" s="6" t="n">
        <v>25</v>
      </c>
      <c r="P856" s="6" t="s">
        <v>6476</v>
      </c>
      <c r="Q856" s="6" t="n">
        <v>22</v>
      </c>
      <c r="R856" s="6" t="s">
        <v>6477</v>
      </c>
      <c r="S856" s="6" t="n">
        <v>17</v>
      </c>
      <c r="T856" s="6" t="s">
        <v>6478</v>
      </c>
      <c r="U856" s="6" t="n">
        <v>11</v>
      </c>
      <c r="V856" s="6" t="s">
        <v>6479</v>
      </c>
      <c r="W856" s="6" t="n">
        <v>7</v>
      </c>
      <c r="X856" s="6" t="s">
        <v>6480</v>
      </c>
      <c r="Y856" s="6" t="n">
        <v>6</v>
      </c>
      <c r="Z856" s="6" t="s">
        <v>6481</v>
      </c>
      <c r="AA856" s="6" t="n">
        <v>5</v>
      </c>
      <c r="AB856" s="6" t="s">
        <v>6482</v>
      </c>
      <c r="AC856" s="6" t="n">
        <v>5</v>
      </c>
      <c r="AD856" s="6" t="s">
        <v>6483</v>
      </c>
      <c r="AE856" s="6" t="n">
        <v>3</v>
      </c>
      <c r="AF856" s="6" t="s">
        <v>6484</v>
      </c>
      <c r="AG856" s="6" t="n">
        <v>3</v>
      </c>
      <c r="AH856" s="6" t="s">
        <v>6485</v>
      </c>
      <c r="AI856" s="6" t="n">
        <v>3</v>
      </c>
      <c r="AJ856" s="6" t="s">
        <v>6486</v>
      </c>
      <c r="AK856" s="6" t="n">
        <v>2</v>
      </c>
      <c r="AL856" s="6" t="s">
        <v>6487</v>
      </c>
      <c r="AM856" s="6" t="n">
        <v>2</v>
      </c>
      <c r="AN856" s="6" t="s">
        <v>6488</v>
      </c>
      <c r="AO856" s="6" t="n">
        <v>1</v>
      </c>
      <c r="AP856" s="6" t="s">
        <v>6489</v>
      </c>
      <c r="AQ856" s="6" t="n">
        <v>1</v>
      </c>
      <c r="AR856" s="6" t="s">
        <v>6490</v>
      </c>
      <c r="AS856" s="6" t="n">
        <v>1</v>
      </c>
      <c r="AT856" s="6" t="s">
        <v>6491</v>
      </c>
      <c r="AU856" s="6" t="n">
        <v>0</v>
      </c>
      <c r="AV856" s="6" t="s">
        <v>6492</v>
      </c>
      <c r="AW856" s="6" t="n">
        <v>0</v>
      </c>
    </row>
    <row r="857" customFormat="false" ht="12.8" hidden="false" customHeight="false" outlineLevel="0" collapsed="false">
      <c r="A857" s="6" t="s">
        <v>6493</v>
      </c>
      <c r="B857" s="6" t="n">
        <v>231</v>
      </c>
      <c r="C857" s="6" t="n">
        <v>269</v>
      </c>
      <c r="D857" s="12" t="n">
        <f aca="false">C857/(B857+C857)*100</f>
        <v>53.8</v>
      </c>
      <c r="E857" s="6" t="n">
        <v>24</v>
      </c>
      <c r="F857" s="6" t="s">
        <v>6494</v>
      </c>
      <c r="G857" s="6" t="n">
        <v>69</v>
      </c>
      <c r="H857" s="6" t="s">
        <v>6495</v>
      </c>
      <c r="I857" s="6" t="n">
        <v>60</v>
      </c>
      <c r="J857" s="6" t="s">
        <v>6496</v>
      </c>
      <c r="K857" s="6" t="n">
        <v>52</v>
      </c>
      <c r="L857" s="6" t="s">
        <v>6497</v>
      </c>
      <c r="M857" s="6" t="n">
        <v>38</v>
      </c>
      <c r="N857" s="6" t="s">
        <v>6498</v>
      </c>
      <c r="O857" s="6" t="n">
        <v>7</v>
      </c>
      <c r="P857" s="6" t="s">
        <v>6499</v>
      </c>
      <c r="Q857" s="6" t="n">
        <v>6</v>
      </c>
      <c r="R857" s="6" t="s">
        <v>6500</v>
      </c>
      <c r="S857" s="6" t="n">
        <v>6</v>
      </c>
      <c r="T857" s="6" t="s">
        <v>6501</v>
      </c>
      <c r="U857" s="6" t="n">
        <v>6</v>
      </c>
      <c r="V857" s="6" t="s">
        <v>6502</v>
      </c>
      <c r="W857" s="6" t="n">
        <v>4</v>
      </c>
      <c r="X857" s="6" t="s">
        <v>6503</v>
      </c>
      <c r="Y857" s="6" t="n">
        <v>4</v>
      </c>
      <c r="Z857" s="6" t="s">
        <v>6504</v>
      </c>
      <c r="AA857" s="6" t="n">
        <v>3</v>
      </c>
      <c r="AB857" s="6" t="s">
        <v>6505</v>
      </c>
      <c r="AC857" s="6" t="n">
        <v>3</v>
      </c>
      <c r="AD857" s="6" t="s">
        <v>6506</v>
      </c>
      <c r="AE857" s="6" t="n">
        <v>2</v>
      </c>
      <c r="AF857" s="6" t="s">
        <v>6507</v>
      </c>
      <c r="AG857" s="6" t="n">
        <v>2</v>
      </c>
      <c r="AH857" s="6" t="s">
        <v>6508</v>
      </c>
      <c r="AI857" s="6" t="n">
        <v>2</v>
      </c>
      <c r="AJ857" s="6" t="s">
        <v>6509</v>
      </c>
      <c r="AK857" s="6" t="n">
        <v>1</v>
      </c>
      <c r="AL857" s="6" t="s">
        <v>6510</v>
      </c>
      <c r="AM857" s="6" t="n">
        <v>1</v>
      </c>
      <c r="AN857" s="6" t="s">
        <v>6511</v>
      </c>
      <c r="AO857" s="6" t="n">
        <v>1</v>
      </c>
      <c r="AP857" s="6" t="s">
        <v>6512</v>
      </c>
      <c r="AQ857" s="6" t="n">
        <v>1</v>
      </c>
      <c r="AR857" s="6" t="s">
        <v>6513</v>
      </c>
      <c r="AS857" s="6" t="n">
        <v>1</v>
      </c>
      <c r="AT857" s="6" t="s">
        <v>6514</v>
      </c>
      <c r="AU857" s="6" t="n">
        <v>0</v>
      </c>
      <c r="AV857" s="6" t="s">
        <v>6515</v>
      </c>
      <c r="AW857" s="6" t="n">
        <v>0</v>
      </c>
      <c r="AX857" s="6" t="s">
        <v>6516</v>
      </c>
      <c r="AY857" s="6" t="n">
        <v>0</v>
      </c>
      <c r="AZ857" s="6" t="s">
        <v>6517</v>
      </c>
      <c r="BA857" s="6" t="n">
        <v>0</v>
      </c>
    </row>
    <row r="858" customFormat="false" ht="12.8" hidden="false" customHeight="false" outlineLevel="0" collapsed="false">
      <c r="A858" s="6" t="s">
        <v>6518</v>
      </c>
      <c r="B858" s="6" t="n">
        <v>232</v>
      </c>
      <c r="C858" s="6" t="n">
        <v>312</v>
      </c>
      <c r="D858" s="12" t="n">
        <f aca="false">C858/(B858+C858)*100</f>
        <v>57.3529411764706</v>
      </c>
      <c r="E858" s="6" t="n">
        <v>25</v>
      </c>
      <c r="F858" s="6" t="s">
        <v>6519</v>
      </c>
      <c r="G858" s="6" t="n">
        <v>81</v>
      </c>
      <c r="H858" s="6" t="s">
        <v>6520</v>
      </c>
      <c r="I858" s="6" t="n">
        <v>74</v>
      </c>
      <c r="J858" s="6" t="s">
        <v>6521</v>
      </c>
      <c r="K858" s="6" t="n">
        <v>56</v>
      </c>
      <c r="L858" s="6" t="s">
        <v>6522</v>
      </c>
      <c r="M858" s="6" t="n">
        <v>20</v>
      </c>
      <c r="N858" s="6" t="s">
        <v>6523</v>
      </c>
      <c r="O858" s="6" t="n">
        <v>14</v>
      </c>
      <c r="P858" s="6" t="s">
        <v>6524</v>
      </c>
      <c r="Q858" s="6" t="n">
        <v>11</v>
      </c>
      <c r="R858" s="6" t="s">
        <v>6525</v>
      </c>
      <c r="S858" s="6" t="n">
        <v>11</v>
      </c>
      <c r="T858" s="6" t="s">
        <v>6526</v>
      </c>
      <c r="U858" s="6" t="n">
        <v>9</v>
      </c>
      <c r="V858" s="6" t="s">
        <v>6527</v>
      </c>
      <c r="W858" s="6" t="n">
        <v>9</v>
      </c>
      <c r="X858" s="6" t="s">
        <v>6528</v>
      </c>
      <c r="Y858" s="6" t="n">
        <v>8</v>
      </c>
      <c r="Z858" s="6" t="s">
        <v>6529</v>
      </c>
      <c r="AA858" s="6" t="n">
        <v>4</v>
      </c>
      <c r="AB858" s="6" t="s">
        <v>6530</v>
      </c>
      <c r="AC858" s="6" t="n">
        <v>2</v>
      </c>
      <c r="AD858" s="6" t="s">
        <v>6531</v>
      </c>
      <c r="AE858" s="6" t="n">
        <v>2</v>
      </c>
      <c r="AF858" s="6" t="s">
        <v>6532</v>
      </c>
      <c r="AG858" s="6" t="n">
        <v>2</v>
      </c>
      <c r="AH858" s="6" t="s">
        <v>6533</v>
      </c>
      <c r="AI858" s="6" t="n">
        <v>2</v>
      </c>
      <c r="AJ858" s="6" t="s">
        <v>6534</v>
      </c>
      <c r="AK858" s="6" t="n">
        <v>1</v>
      </c>
      <c r="AL858" s="6" t="s">
        <v>6535</v>
      </c>
      <c r="AM858" s="6" t="n">
        <v>1</v>
      </c>
      <c r="AN858" s="6" t="s">
        <v>6536</v>
      </c>
      <c r="AO858" s="6" t="n">
        <v>1</v>
      </c>
      <c r="AP858" s="6" t="s">
        <v>6537</v>
      </c>
      <c r="AQ858" s="6" t="n">
        <v>1</v>
      </c>
      <c r="AR858" s="6" t="s">
        <v>6538</v>
      </c>
      <c r="AS858" s="6" t="n">
        <v>1</v>
      </c>
      <c r="AT858" s="6" t="s">
        <v>6539</v>
      </c>
      <c r="AU858" s="6" t="n">
        <v>1</v>
      </c>
      <c r="AV858" s="6" t="s">
        <v>6540</v>
      </c>
      <c r="AW858" s="6" t="n">
        <v>1</v>
      </c>
      <c r="AX858" s="6" t="s">
        <v>6541</v>
      </c>
      <c r="AY858" s="6" t="n">
        <v>0</v>
      </c>
      <c r="AZ858" s="6" t="s">
        <v>6542</v>
      </c>
      <c r="BA858" s="6" t="n">
        <v>0</v>
      </c>
      <c r="BB858" s="6" t="s">
        <v>6543</v>
      </c>
      <c r="BC858" s="6" t="n">
        <v>0</v>
      </c>
    </row>
    <row r="859" customFormat="false" ht="12.8" hidden="false" customHeight="false" outlineLevel="0" collapsed="false">
      <c r="A859" s="6" t="s">
        <v>6544</v>
      </c>
      <c r="B859" s="6" t="n">
        <v>237</v>
      </c>
      <c r="C859" s="6" t="n">
        <v>74</v>
      </c>
      <c r="D859" s="12" t="n">
        <f aca="false">C859/(B859+C859)*100</f>
        <v>23.7942122186495</v>
      </c>
      <c r="E859" s="6" t="n">
        <v>5</v>
      </c>
      <c r="F859" s="6" t="s">
        <v>6545</v>
      </c>
      <c r="G859" s="6" t="n">
        <v>47</v>
      </c>
      <c r="H859" s="6" t="s">
        <v>6546</v>
      </c>
      <c r="I859" s="6" t="n">
        <v>11</v>
      </c>
      <c r="J859" s="6" t="s">
        <v>6547</v>
      </c>
      <c r="K859" s="6" t="n">
        <v>11</v>
      </c>
      <c r="L859" s="6" t="s">
        <v>6548</v>
      </c>
      <c r="M859" s="6" t="n">
        <v>4</v>
      </c>
      <c r="N859" s="6" t="s">
        <v>6549</v>
      </c>
      <c r="O859" s="6" t="n">
        <v>1</v>
      </c>
    </row>
    <row r="860" customFormat="false" ht="12.8" hidden="false" customHeight="false" outlineLevel="0" collapsed="false">
      <c r="A860" s="6" t="s">
        <v>6550</v>
      </c>
      <c r="B860" s="6" t="n">
        <v>237</v>
      </c>
      <c r="C860" s="6" t="n">
        <v>47</v>
      </c>
      <c r="D860" s="12" t="n">
        <f aca="false">C860/(B860+C860)*100</f>
        <v>16.5492957746479</v>
      </c>
      <c r="E860" s="6" t="n">
        <v>11</v>
      </c>
      <c r="F860" s="6" t="s">
        <v>6551</v>
      </c>
      <c r="G860" s="6" t="n">
        <v>22</v>
      </c>
      <c r="H860" s="6" t="s">
        <v>6552</v>
      </c>
      <c r="I860" s="6" t="n">
        <v>7</v>
      </c>
      <c r="J860" s="6" t="s">
        <v>6553</v>
      </c>
      <c r="K860" s="6" t="n">
        <v>5</v>
      </c>
      <c r="L860" s="6" t="s">
        <v>6554</v>
      </c>
      <c r="M860" s="6" t="n">
        <v>4</v>
      </c>
      <c r="N860" s="6" t="s">
        <v>6555</v>
      </c>
      <c r="O860" s="6" t="n">
        <v>3</v>
      </c>
      <c r="P860" s="6" t="s">
        <v>6556</v>
      </c>
      <c r="Q860" s="6" t="n">
        <v>2</v>
      </c>
      <c r="R860" s="6" t="s">
        <v>6557</v>
      </c>
      <c r="S860" s="6" t="n">
        <v>2</v>
      </c>
      <c r="T860" s="6" t="s">
        <v>6558</v>
      </c>
      <c r="U860" s="6" t="n">
        <v>1</v>
      </c>
      <c r="V860" s="6" t="s">
        <v>6559</v>
      </c>
      <c r="W860" s="6" t="n">
        <v>1</v>
      </c>
      <c r="X860" s="6" t="s">
        <v>6560</v>
      </c>
      <c r="Y860" s="6" t="n">
        <v>0</v>
      </c>
      <c r="Z860" s="6" t="s">
        <v>6561</v>
      </c>
      <c r="AA860" s="6" t="n">
        <v>0</v>
      </c>
    </row>
    <row r="861" customFormat="false" ht="12.8" hidden="false" customHeight="false" outlineLevel="0" collapsed="false">
      <c r="A861" s="6" t="s">
        <v>6562</v>
      </c>
      <c r="B861" s="6" t="n">
        <v>239</v>
      </c>
      <c r="C861" s="6" t="n">
        <v>0</v>
      </c>
      <c r="D861" s="12" t="n">
        <f aca="false">C861/(B861+C861)*100</f>
        <v>0</v>
      </c>
      <c r="E861" s="6" t="n">
        <v>1</v>
      </c>
      <c r="F861" s="6" t="s">
        <v>6563</v>
      </c>
      <c r="G861" s="6" t="n">
        <v>0</v>
      </c>
    </row>
    <row r="862" customFormat="false" ht="12.8" hidden="false" customHeight="false" outlineLevel="0" collapsed="false">
      <c r="A862" s="6" t="s">
        <v>6564</v>
      </c>
      <c r="B862" s="6" t="n">
        <v>243</v>
      </c>
      <c r="C862" s="6" t="n">
        <v>162</v>
      </c>
      <c r="D862" s="12" t="n">
        <f aca="false">C862/(B862+C862)*100</f>
        <v>40</v>
      </c>
      <c r="E862" s="6" t="n">
        <v>11</v>
      </c>
      <c r="F862" s="6" t="s">
        <v>6565</v>
      </c>
      <c r="G862" s="6" t="n">
        <v>65</v>
      </c>
      <c r="H862" s="6" t="s">
        <v>6566</v>
      </c>
      <c r="I862" s="6" t="n">
        <v>38</v>
      </c>
      <c r="J862" s="6" t="s">
        <v>6567</v>
      </c>
      <c r="K862" s="6" t="n">
        <v>24</v>
      </c>
      <c r="L862" s="6" t="s">
        <v>6568</v>
      </c>
      <c r="M862" s="6" t="n">
        <v>18</v>
      </c>
      <c r="N862" s="6" t="s">
        <v>6569</v>
      </c>
      <c r="O862" s="6" t="n">
        <v>11</v>
      </c>
      <c r="P862" s="6" t="s">
        <v>6570</v>
      </c>
      <c r="Q862" s="6" t="n">
        <v>1</v>
      </c>
      <c r="R862" s="6" t="s">
        <v>6571</v>
      </c>
      <c r="S862" s="6" t="n">
        <v>1</v>
      </c>
      <c r="T862" s="6" t="s">
        <v>6572</v>
      </c>
      <c r="U862" s="6" t="n">
        <v>1</v>
      </c>
      <c r="V862" s="6" t="s">
        <v>6573</v>
      </c>
      <c r="W862" s="6" t="n">
        <v>1</v>
      </c>
      <c r="X862" s="6" t="s">
        <v>6574</v>
      </c>
      <c r="Y862" s="6" t="n">
        <v>1</v>
      </c>
      <c r="Z862" s="6" t="s">
        <v>6575</v>
      </c>
      <c r="AA862" s="6" t="n">
        <v>1</v>
      </c>
    </row>
    <row r="863" customFormat="false" ht="12.8" hidden="false" customHeight="false" outlineLevel="0" collapsed="false">
      <c r="A863" s="6" t="s">
        <v>6576</v>
      </c>
      <c r="B863" s="6" t="n">
        <v>245</v>
      </c>
      <c r="C863" s="6" t="n">
        <v>0</v>
      </c>
      <c r="D863" s="12" t="n">
        <f aca="false">C863/(B863+C863)*100</f>
        <v>0</v>
      </c>
      <c r="E863" s="6" t="n">
        <v>1</v>
      </c>
      <c r="F863" s="6" t="s">
        <v>6577</v>
      </c>
      <c r="G863" s="6" t="n">
        <v>0</v>
      </c>
    </row>
    <row r="864" customFormat="false" ht="12.8" hidden="false" customHeight="false" outlineLevel="0" collapsed="false">
      <c r="A864" s="6" t="s">
        <v>6578</v>
      </c>
      <c r="B864" s="6" t="n">
        <v>246</v>
      </c>
      <c r="C864" s="6" t="n">
        <v>237</v>
      </c>
      <c r="D864" s="12" t="n">
        <f aca="false">C864/(B864+C864)*100</f>
        <v>49.0683229813665</v>
      </c>
      <c r="E864" s="6" t="n">
        <v>10</v>
      </c>
      <c r="F864" s="6" t="s">
        <v>6579</v>
      </c>
      <c r="G864" s="6" t="n">
        <v>111</v>
      </c>
      <c r="H864" s="6" t="s">
        <v>6580</v>
      </c>
      <c r="I864" s="6" t="n">
        <v>85</v>
      </c>
      <c r="J864" s="6" t="s">
        <v>6581</v>
      </c>
      <c r="K864" s="6" t="n">
        <v>20</v>
      </c>
      <c r="L864" s="6" t="s">
        <v>6582</v>
      </c>
      <c r="M864" s="6" t="n">
        <v>16</v>
      </c>
      <c r="N864" s="6" t="s">
        <v>6583</v>
      </c>
      <c r="O864" s="6" t="n">
        <v>2</v>
      </c>
      <c r="P864" s="6" t="s">
        <v>6584</v>
      </c>
      <c r="Q864" s="6" t="n">
        <v>1</v>
      </c>
      <c r="R864" s="6" t="s">
        <v>6585</v>
      </c>
      <c r="S864" s="6" t="n">
        <v>1</v>
      </c>
      <c r="T864" s="6" t="s">
        <v>6586</v>
      </c>
      <c r="U864" s="6" t="n">
        <v>1</v>
      </c>
      <c r="V864" s="6" t="s">
        <v>6587</v>
      </c>
      <c r="W864" s="6" t="n">
        <v>0</v>
      </c>
      <c r="X864" s="6" t="s">
        <v>6588</v>
      </c>
      <c r="Y864" s="6" t="n">
        <v>0</v>
      </c>
    </row>
    <row r="865" customFormat="false" ht="12.8" hidden="false" customHeight="false" outlineLevel="0" collapsed="false">
      <c r="A865" s="6" t="s">
        <v>6589</v>
      </c>
      <c r="B865" s="6" t="n">
        <v>249</v>
      </c>
      <c r="C865" s="6" t="n">
        <v>61</v>
      </c>
      <c r="D865" s="12" t="n">
        <f aca="false">C865/(B865+C865)*100</f>
        <v>19.6774193548387</v>
      </c>
      <c r="E865" s="6" t="n">
        <v>6</v>
      </c>
      <c r="F865" s="6" t="s">
        <v>6590</v>
      </c>
      <c r="G865" s="6" t="n">
        <v>35</v>
      </c>
      <c r="H865" s="6" t="s">
        <v>6591</v>
      </c>
      <c r="I865" s="6" t="n">
        <v>23</v>
      </c>
      <c r="J865" s="6" t="s">
        <v>6592</v>
      </c>
      <c r="K865" s="6" t="n">
        <v>1</v>
      </c>
      <c r="L865" s="6" t="s">
        <v>6593</v>
      </c>
      <c r="M865" s="6" t="n">
        <v>1</v>
      </c>
      <c r="N865" s="6" t="s">
        <v>6594</v>
      </c>
      <c r="O865" s="6" t="n">
        <v>1</v>
      </c>
      <c r="P865" s="6" t="s">
        <v>6595</v>
      </c>
      <c r="Q865" s="6" t="n">
        <v>0</v>
      </c>
    </row>
    <row r="866" customFormat="false" ht="12.8" hidden="false" customHeight="false" outlineLevel="0" collapsed="false">
      <c r="A866" s="6" t="s">
        <v>6596</v>
      </c>
      <c r="B866" s="6" t="n">
        <v>250</v>
      </c>
      <c r="C866" s="6" t="n">
        <v>297</v>
      </c>
      <c r="D866" s="12" t="n">
        <f aca="false">C866/(B866+C866)*100</f>
        <v>54.2961608775137</v>
      </c>
      <c r="E866" s="6" t="n">
        <v>19</v>
      </c>
      <c r="F866" s="6" t="s">
        <v>6597</v>
      </c>
      <c r="G866" s="6" t="n">
        <v>108</v>
      </c>
      <c r="H866" s="6" t="s">
        <v>6598</v>
      </c>
      <c r="I866" s="6" t="n">
        <v>68</v>
      </c>
      <c r="J866" s="6" t="s">
        <v>6599</v>
      </c>
      <c r="K866" s="6" t="n">
        <v>55</v>
      </c>
      <c r="L866" s="6" t="s">
        <v>6600</v>
      </c>
      <c r="M866" s="6" t="n">
        <v>29</v>
      </c>
      <c r="N866" s="6" t="s">
        <v>6601</v>
      </c>
      <c r="O866" s="6" t="n">
        <v>9</v>
      </c>
      <c r="P866" s="6" t="s">
        <v>6602</v>
      </c>
      <c r="Q866" s="6" t="n">
        <v>8</v>
      </c>
      <c r="R866" s="6" t="s">
        <v>6603</v>
      </c>
      <c r="S866" s="6" t="n">
        <v>8</v>
      </c>
      <c r="T866" s="6" t="s">
        <v>6604</v>
      </c>
      <c r="U866" s="6" t="n">
        <v>3</v>
      </c>
      <c r="V866" s="6" t="s">
        <v>6605</v>
      </c>
      <c r="W866" s="6" t="n">
        <v>3</v>
      </c>
      <c r="X866" s="6" t="s">
        <v>6606</v>
      </c>
      <c r="Y866" s="6" t="n">
        <v>3</v>
      </c>
      <c r="Z866" s="6" t="s">
        <v>6607</v>
      </c>
      <c r="AA866" s="6" t="n">
        <v>1</v>
      </c>
      <c r="AB866" s="6" t="s">
        <v>6608</v>
      </c>
      <c r="AC866" s="6" t="n">
        <v>1</v>
      </c>
      <c r="AD866" s="6" t="s">
        <v>6609</v>
      </c>
      <c r="AE866" s="6" t="n">
        <v>1</v>
      </c>
      <c r="AF866" s="6" t="s">
        <v>6610</v>
      </c>
      <c r="AG866" s="6" t="n">
        <v>0</v>
      </c>
      <c r="AH866" s="6" t="s">
        <v>6611</v>
      </c>
      <c r="AI866" s="6" t="n">
        <v>0</v>
      </c>
      <c r="AJ866" s="6" t="s">
        <v>6612</v>
      </c>
      <c r="AK866" s="6" t="n">
        <v>0</v>
      </c>
      <c r="AL866" s="6" t="s">
        <v>6613</v>
      </c>
      <c r="AM866" s="6" t="n">
        <v>0</v>
      </c>
      <c r="AN866" s="6" t="s">
        <v>6614</v>
      </c>
      <c r="AO866" s="6" t="n">
        <v>0</v>
      </c>
      <c r="AP866" s="6" t="s">
        <v>6615</v>
      </c>
      <c r="AQ866" s="6" t="n">
        <v>0</v>
      </c>
    </row>
    <row r="867" customFormat="false" ht="12.8" hidden="false" customHeight="false" outlineLevel="0" collapsed="false">
      <c r="A867" s="6" t="s">
        <v>6616</v>
      </c>
      <c r="B867" s="6" t="n">
        <v>253</v>
      </c>
      <c r="C867" s="6" t="n">
        <v>2</v>
      </c>
      <c r="D867" s="12" t="n">
        <f aca="false">C867/(B867+C867)*100</f>
        <v>0.784313725490196</v>
      </c>
      <c r="E867" s="6" t="n">
        <v>2</v>
      </c>
      <c r="F867" s="6" t="s">
        <v>6617</v>
      </c>
      <c r="G867" s="6" t="n">
        <v>1</v>
      </c>
      <c r="H867" s="6" t="s">
        <v>6618</v>
      </c>
      <c r="I867" s="6" t="n">
        <v>1</v>
      </c>
    </row>
    <row r="868" customFormat="false" ht="12.8" hidden="false" customHeight="false" outlineLevel="0" collapsed="false">
      <c r="A868" s="6" t="s">
        <v>6619</v>
      </c>
      <c r="B868" s="6" t="n">
        <v>254</v>
      </c>
      <c r="C868" s="6" t="n">
        <v>904</v>
      </c>
      <c r="D868" s="12" t="n">
        <f aca="false">C868/(B868+C868)*100</f>
        <v>78.0656303972366</v>
      </c>
      <c r="E868" s="6" t="n">
        <v>16</v>
      </c>
      <c r="F868" s="6" t="s">
        <v>6620</v>
      </c>
      <c r="G868" s="6" t="n">
        <v>410</v>
      </c>
      <c r="H868" s="6" t="s">
        <v>6621</v>
      </c>
      <c r="I868" s="6" t="n">
        <v>170</v>
      </c>
      <c r="J868" s="6" t="s">
        <v>6622</v>
      </c>
      <c r="K868" s="6" t="n">
        <v>84</v>
      </c>
      <c r="L868" s="6" t="s">
        <v>6623</v>
      </c>
      <c r="M868" s="6" t="n">
        <v>73</v>
      </c>
      <c r="N868" s="6" t="s">
        <v>6624</v>
      </c>
      <c r="O868" s="6" t="n">
        <v>71</v>
      </c>
      <c r="P868" s="6" t="s">
        <v>6625</v>
      </c>
      <c r="Q868" s="6" t="n">
        <v>37</v>
      </c>
      <c r="R868" s="6" t="s">
        <v>6626</v>
      </c>
      <c r="S868" s="6" t="n">
        <v>19</v>
      </c>
      <c r="T868" s="6" t="s">
        <v>6627</v>
      </c>
      <c r="U868" s="6" t="n">
        <v>15</v>
      </c>
      <c r="V868" s="6" t="s">
        <v>6628</v>
      </c>
      <c r="W868" s="6" t="n">
        <v>10</v>
      </c>
      <c r="X868" s="6" t="s">
        <v>6629</v>
      </c>
      <c r="Y868" s="6" t="n">
        <v>4</v>
      </c>
      <c r="Z868" s="6" t="s">
        <v>6630</v>
      </c>
      <c r="AA868" s="6" t="n">
        <v>4</v>
      </c>
      <c r="AB868" s="6" t="s">
        <v>6631</v>
      </c>
      <c r="AC868" s="6" t="n">
        <v>3</v>
      </c>
      <c r="AD868" s="6" t="s">
        <v>6632</v>
      </c>
      <c r="AE868" s="6" t="n">
        <v>2</v>
      </c>
      <c r="AF868" s="6" t="s">
        <v>6633</v>
      </c>
      <c r="AG868" s="6" t="n">
        <v>1</v>
      </c>
      <c r="AH868" s="6" t="s">
        <v>6634</v>
      </c>
      <c r="AI868" s="6" t="n">
        <v>1</v>
      </c>
      <c r="AJ868" s="6" t="s">
        <v>6635</v>
      </c>
      <c r="AK868" s="6" t="n">
        <v>0</v>
      </c>
    </row>
    <row r="869" customFormat="false" ht="12.8" hidden="false" customHeight="false" outlineLevel="0" collapsed="false">
      <c r="A869" s="6" t="s">
        <v>6636</v>
      </c>
      <c r="B869" s="6" t="n">
        <v>257</v>
      </c>
      <c r="C869" s="6" t="n">
        <v>62</v>
      </c>
      <c r="D869" s="12" t="n">
        <f aca="false">C869/(B869+C869)*100</f>
        <v>19.435736677116</v>
      </c>
      <c r="E869" s="6" t="n">
        <v>6</v>
      </c>
      <c r="F869" s="6" t="s">
        <v>6637</v>
      </c>
      <c r="G869" s="6" t="n">
        <v>26</v>
      </c>
      <c r="H869" s="6" t="s">
        <v>6638</v>
      </c>
      <c r="I869" s="6" t="n">
        <v>23</v>
      </c>
      <c r="J869" s="6" t="s">
        <v>6639</v>
      </c>
      <c r="K869" s="6" t="n">
        <v>6</v>
      </c>
      <c r="L869" s="6" t="s">
        <v>6640</v>
      </c>
      <c r="M869" s="6" t="n">
        <v>3</v>
      </c>
      <c r="N869" s="6" t="s">
        <v>6641</v>
      </c>
      <c r="O869" s="6" t="n">
        <v>3</v>
      </c>
      <c r="P869" s="6" t="s">
        <v>6642</v>
      </c>
      <c r="Q869" s="6" t="n">
        <v>1</v>
      </c>
    </row>
    <row r="870" customFormat="false" ht="12.8" hidden="false" customHeight="false" outlineLevel="0" collapsed="false">
      <c r="A870" s="6" t="s">
        <v>6643</v>
      </c>
      <c r="B870" s="6" t="n">
        <v>257</v>
      </c>
      <c r="C870" s="6" t="n">
        <v>25</v>
      </c>
      <c r="D870" s="12" t="n">
        <f aca="false">C870/(B870+C870)*100</f>
        <v>8.86524822695036</v>
      </c>
      <c r="E870" s="6" t="n">
        <v>6</v>
      </c>
      <c r="F870" s="6" t="s">
        <v>6644</v>
      </c>
      <c r="G870" s="6" t="n">
        <v>13</v>
      </c>
      <c r="H870" s="6" t="s">
        <v>6645</v>
      </c>
      <c r="I870" s="6" t="n">
        <v>6</v>
      </c>
      <c r="J870" s="6" t="s">
        <v>6646</v>
      </c>
      <c r="K870" s="6" t="n">
        <v>3</v>
      </c>
      <c r="L870" s="6" t="s">
        <v>6647</v>
      </c>
      <c r="M870" s="6" t="n">
        <v>1</v>
      </c>
      <c r="N870" s="6" t="s">
        <v>6648</v>
      </c>
      <c r="O870" s="6" t="n">
        <v>1</v>
      </c>
      <c r="P870" s="6" t="s">
        <v>6649</v>
      </c>
      <c r="Q870" s="6" t="n">
        <v>1</v>
      </c>
    </row>
    <row r="871" customFormat="false" ht="12.8" hidden="false" customHeight="false" outlineLevel="0" collapsed="false">
      <c r="A871" s="6" t="s">
        <v>6650</v>
      </c>
      <c r="B871" s="6" t="n">
        <v>260</v>
      </c>
      <c r="C871" s="6" t="n">
        <v>432</v>
      </c>
      <c r="D871" s="12" t="n">
        <f aca="false">C871/(B871+C871)*100</f>
        <v>62.4277456647399</v>
      </c>
      <c r="E871" s="6" t="n">
        <v>16</v>
      </c>
      <c r="F871" s="6" t="s">
        <v>6651</v>
      </c>
      <c r="G871" s="6" t="n">
        <v>217</v>
      </c>
      <c r="H871" s="6" t="s">
        <v>6652</v>
      </c>
      <c r="I871" s="6" t="n">
        <v>127</v>
      </c>
      <c r="J871" s="6" t="s">
        <v>6653</v>
      </c>
      <c r="K871" s="6" t="n">
        <v>55</v>
      </c>
      <c r="L871" s="6" t="s">
        <v>6654</v>
      </c>
      <c r="M871" s="6" t="n">
        <v>12</v>
      </c>
      <c r="N871" s="6" t="s">
        <v>6655</v>
      </c>
      <c r="O871" s="6" t="n">
        <v>5</v>
      </c>
      <c r="P871" s="6" t="s">
        <v>6656</v>
      </c>
      <c r="Q871" s="6" t="n">
        <v>4</v>
      </c>
      <c r="R871" s="6" t="s">
        <v>6657</v>
      </c>
      <c r="S871" s="6" t="n">
        <v>3</v>
      </c>
      <c r="T871" s="6" t="s">
        <v>6658</v>
      </c>
      <c r="U871" s="6" t="n">
        <v>2</v>
      </c>
      <c r="V871" s="6" t="s">
        <v>6659</v>
      </c>
      <c r="W871" s="6" t="n">
        <v>2</v>
      </c>
      <c r="X871" s="6" t="s">
        <v>6660</v>
      </c>
      <c r="Y871" s="6" t="n">
        <v>2</v>
      </c>
      <c r="Z871" s="6" t="s">
        <v>6661</v>
      </c>
      <c r="AA871" s="6" t="n">
        <v>1</v>
      </c>
      <c r="AB871" s="6" t="s">
        <v>6662</v>
      </c>
      <c r="AC871" s="6" t="n">
        <v>1</v>
      </c>
      <c r="AD871" s="6" t="s">
        <v>6663</v>
      </c>
      <c r="AE871" s="6" t="n">
        <v>1</v>
      </c>
      <c r="AF871" s="6" t="s">
        <v>6664</v>
      </c>
      <c r="AG871" s="6" t="n">
        <v>0</v>
      </c>
      <c r="AH871" s="6" t="s">
        <v>6665</v>
      </c>
      <c r="AI871" s="6" t="n">
        <v>0</v>
      </c>
      <c r="AJ871" s="6" t="s">
        <v>6666</v>
      </c>
      <c r="AK871" s="6" t="n">
        <v>0</v>
      </c>
    </row>
    <row r="872" customFormat="false" ht="12.8" hidden="false" customHeight="false" outlineLevel="0" collapsed="false">
      <c r="A872" s="6" t="s">
        <v>6667</v>
      </c>
      <c r="B872" s="6" t="n">
        <v>261</v>
      </c>
      <c r="C872" s="6" t="n">
        <v>399</v>
      </c>
      <c r="D872" s="12" t="n">
        <f aca="false">C872/(B872+C872)*100</f>
        <v>60.4545454545455</v>
      </c>
      <c r="E872" s="6" t="n">
        <v>23</v>
      </c>
      <c r="F872" s="6" t="s">
        <v>6668</v>
      </c>
      <c r="G872" s="6" t="n">
        <v>112</v>
      </c>
      <c r="H872" s="6" t="s">
        <v>6669</v>
      </c>
      <c r="I872" s="6" t="n">
        <v>108</v>
      </c>
      <c r="J872" s="6" t="s">
        <v>6670</v>
      </c>
      <c r="K872" s="6" t="n">
        <v>62</v>
      </c>
      <c r="L872" s="6" t="s">
        <v>6671</v>
      </c>
      <c r="M872" s="6" t="n">
        <v>33</v>
      </c>
      <c r="N872" s="6" t="s">
        <v>6672</v>
      </c>
      <c r="O872" s="6" t="n">
        <v>20</v>
      </c>
      <c r="P872" s="6" t="s">
        <v>6673</v>
      </c>
      <c r="Q872" s="6" t="n">
        <v>17</v>
      </c>
      <c r="R872" s="6" t="s">
        <v>6674</v>
      </c>
      <c r="S872" s="6" t="n">
        <v>16</v>
      </c>
      <c r="T872" s="6" t="s">
        <v>6675</v>
      </c>
      <c r="U872" s="6" t="n">
        <v>7</v>
      </c>
      <c r="V872" s="6" t="s">
        <v>6676</v>
      </c>
      <c r="W872" s="6" t="n">
        <v>5</v>
      </c>
      <c r="X872" s="6" t="s">
        <v>6677</v>
      </c>
      <c r="Y872" s="6" t="n">
        <v>5</v>
      </c>
      <c r="Z872" s="6" t="s">
        <v>6678</v>
      </c>
      <c r="AA872" s="6" t="n">
        <v>3</v>
      </c>
      <c r="AB872" s="6" t="s">
        <v>6679</v>
      </c>
      <c r="AC872" s="6" t="n">
        <v>3</v>
      </c>
      <c r="AD872" s="6" t="s">
        <v>6680</v>
      </c>
      <c r="AE872" s="6" t="n">
        <v>2</v>
      </c>
      <c r="AF872" s="6" t="s">
        <v>6681</v>
      </c>
      <c r="AG872" s="6" t="n">
        <v>1</v>
      </c>
      <c r="AH872" s="6" t="s">
        <v>6682</v>
      </c>
      <c r="AI872" s="6" t="n">
        <v>1</v>
      </c>
      <c r="AJ872" s="6" t="s">
        <v>6683</v>
      </c>
      <c r="AK872" s="6" t="n">
        <v>1</v>
      </c>
      <c r="AL872" s="6" t="s">
        <v>6684</v>
      </c>
      <c r="AM872" s="6" t="n">
        <v>1</v>
      </c>
      <c r="AN872" s="6" t="s">
        <v>6685</v>
      </c>
      <c r="AO872" s="6" t="n">
        <v>1</v>
      </c>
      <c r="AP872" s="6" t="s">
        <v>6686</v>
      </c>
      <c r="AQ872" s="6" t="n">
        <v>1</v>
      </c>
      <c r="AR872" s="6" t="s">
        <v>6687</v>
      </c>
      <c r="AS872" s="6" t="n">
        <v>0</v>
      </c>
      <c r="AT872" s="6" t="s">
        <v>6688</v>
      </c>
      <c r="AU872" s="6" t="n">
        <v>0</v>
      </c>
      <c r="AV872" s="6" t="s">
        <v>6689</v>
      </c>
      <c r="AW872" s="6" t="n">
        <v>0</v>
      </c>
      <c r="AX872" s="6" t="s">
        <v>6690</v>
      </c>
      <c r="AY872" s="6" t="n">
        <v>0</v>
      </c>
    </row>
    <row r="873" customFormat="false" ht="12.8" hidden="false" customHeight="false" outlineLevel="0" collapsed="false">
      <c r="A873" s="6" t="s">
        <v>6691</v>
      </c>
      <c r="B873" s="6" t="n">
        <v>262</v>
      </c>
      <c r="C873" s="6" t="n">
        <v>875</v>
      </c>
      <c r="D873" s="12" t="n">
        <f aca="false">C873/(B873+C873)*100</f>
        <v>76.9569041336851</v>
      </c>
      <c r="E873" s="6" t="n">
        <v>34</v>
      </c>
      <c r="F873" s="6" t="s">
        <v>6692</v>
      </c>
      <c r="G873" s="6" t="n">
        <v>279</v>
      </c>
      <c r="H873" s="6" t="s">
        <v>6693</v>
      </c>
      <c r="I873" s="6" t="n">
        <v>160</v>
      </c>
      <c r="J873" s="6" t="s">
        <v>6694</v>
      </c>
      <c r="K873" s="6" t="n">
        <v>133</v>
      </c>
      <c r="L873" s="6" t="s">
        <v>6695</v>
      </c>
      <c r="M873" s="6" t="n">
        <v>66</v>
      </c>
      <c r="N873" s="6" t="s">
        <v>6696</v>
      </c>
      <c r="O873" s="6" t="n">
        <v>39</v>
      </c>
      <c r="P873" s="6" t="s">
        <v>6697</v>
      </c>
      <c r="Q873" s="6" t="n">
        <v>36</v>
      </c>
      <c r="R873" s="6" t="s">
        <v>6698</v>
      </c>
      <c r="S873" s="6" t="n">
        <v>34</v>
      </c>
      <c r="T873" s="6" t="s">
        <v>6699</v>
      </c>
      <c r="U873" s="6" t="n">
        <v>30</v>
      </c>
      <c r="V873" s="6" t="s">
        <v>6700</v>
      </c>
      <c r="W873" s="6" t="n">
        <v>20</v>
      </c>
      <c r="X873" s="6" t="s">
        <v>6701</v>
      </c>
      <c r="Y873" s="6" t="n">
        <v>15</v>
      </c>
      <c r="Z873" s="6" t="s">
        <v>6702</v>
      </c>
      <c r="AA873" s="6" t="n">
        <v>7</v>
      </c>
      <c r="AB873" s="6" t="s">
        <v>6703</v>
      </c>
      <c r="AC873" s="6" t="n">
        <v>6</v>
      </c>
      <c r="AD873" s="6" t="s">
        <v>6704</v>
      </c>
      <c r="AE873" s="6" t="n">
        <v>6</v>
      </c>
      <c r="AF873" s="6" t="s">
        <v>6705</v>
      </c>
      <c r="AG873" s="6" t="n">
        <v>6</v>
      </c>
      <c r="AH873" s="6" t="s">
        <v>6706</v>
      </c>
      <c r="AI873" s="6" t="n">
        <v>5</v>
      </c>
      <c r="AJ873" s="6" t="s">
        <v>6707</v>
      </c>
      <c r="AK873" s="6" t="n">
        <v>4</v>
      </c>
      <c r="AL873" s="6" t="s">
        <v>6708</v>
      </c>
      <c r="AM873" s="6" t="n">
        <v>4</v>
      </c>
      <c r="AN873" s="6" t="s">
        <v>6709</v>
      </c>
      <c r="AO873" s="6" t="n">
        <v>3</v>
      </c>
      <c r="AP873" s="6" t="s">
        <v>6710</v>
      </c>
      <c r="AQ873" s="6" t="n">
        <v>3</v>
      </c>
      <c r="AR873" s="6" t="s">
        <v>6711</v>
      </c>
      <c r="AS873" s="6" t="n">
        <v>3</v>
      </c>
      <c r="AT873" s="6" t="s">
        <v>6712</v>
      </c>
      <c r="AU873" s="6" t="n">
        <v>3</v>
      </c>
      <c r="AV873" s="6" t="s">
        <v>6713</v>
      </c>
      <c r="AW873" s="6" t="n">
        <v>3</v>
      </c>
      <c r="AX873" s="6" t="s">
        <v>6714</v>
      </c>
      <c r="AY873" s="6" t="n">
        <v>2</v>
      </c>
      <c r="AZ873" s="6" t="s">
        <v>6715</v>
      </c>
      <c r="BA873" s="6" t="n">
        <v>2</v>
      </c>
      <c r="BB873" s="6" t="s">
        <v>6716</v>
      </c>
      <c r="BC873" s="6" t="n">
        <v>2</v>
      </c>
      <c r="BD873" s="6" t="s">
        <v>6717</v>
      </c>
      <c r="BE873" s="6" t="n">
        <v>1</v>
      </c>
      <c r="BF873" s="6" t="s">
        <v>6718</v>
      </c>
      <c r="BG873" s="6" t="n">
        <v>1</v>
      </c>
      <c r="BH873" s="6" t="s">
        <v>6719</v>
      </c>
      <c r="BI873" s="6" t="n">
        <v>1</v>
      </c>
      <c r="BJ873" s="6" t="s">
        <v>6720</v>
      </c>
      <c r="BK873" s="6" t="n">
        <v>1</v>
      </c>
      <c r="BL873" s="6" t="s">
        <v>6721</v>
      </c>
      <c r="BM873" s="6" t="n">
        <v>0</v>
      </c>
      <c r="BN873" s="6" t="s">
        <v>6722</v>
      </c>
      <c r="BO873" s="6" t="n">
        <v>0</v>
      </c>
      <c r="BP873" s="6" t="s">
        <v>6723</v>
      </c>
      <c r="BQ873" s="6" t="n">
        <v>0</v>
      </c>
      <c r="BR873" s="6" t="s">
        <v>6724</v>
      </c>
      <c r="BS873" s="6" t="n">
        <v>0</v>
      </c>
      <c r="BT873" s="6" t="s">
        <v>6725</v>
      </c>
      <c r="BU873" s="6" t="n">
        <v>0</v>
      </c>
    </row>
    <row r="874" customFormat="false" ht="12.8" hidden="false" customHeight="false" outlineLevel="0" collapsed="false">
      <c r="A874" s="6" t="s">
        <v>6726</v>
      </c>
      <c r="B874" s="6" t="n">
        <v>262</v>
      </c>
      <c r="C874" s="6" t="n">
        <v>657</v>
      </c>
      <c r="D874" s="12" t="n">
        <f aca="false">C874/(B874+C874)*100</f>
        <v>71.4907508161045</v>
      </c>
      <c r="E874" s="6" t="n">
        <v>22</v>
      </c>
      <c r="F874" s="6" t="s">
        <v>6727</v>
      </c>
      <c r="G874" s="6" t="n">
        <v>222</v>
      </c>
      <c r="H874" s="6" t="s">
        <v>6728</v>
      </c>
      <c r="I874" s="6" t="n">
        <v>127</v>
      </c>
      <c r="J874" s="6" t="s">
        <v>6729</v>
      </c>
      <c r="K874" s="6" t="n">
        <v>84</v>
      </c>
      <c r="L874" s="6" t="s">
        <v>6730</v>
      </c>
      <c r="M874" s="6" t="n">
        <v>43</v>
      </c>
      <c r="N874" s="6" t="s">
        <v>6731</v>
      </c>
      <c r="O874" s="6" t="n">
        <v>35</v>
      </c>
      <c r="P874" s="6" t="s">
        <v>6732</v>
      </c>
      <c r="Q874" s="6" t="n">
        <v>29</v>
      </c>
      <c r="R874" s="6" t="s">
        <v>6733</v>
      </c>
      <c r="S874" s="6" t="n">
        <v>28</v>
      </c>
      <c r="T874" s="6" t="s">
        <v>6734</v>
      </c>
      <c r="U874" s="6" t="n">
        <v>24</v>
      </c>
      <c r="V874" s="6" t="s">
        <v>6735</v>
      </c>
      <c r="W874" s="6" t="n">
        <v>23</v>
      </c>
      <c r="X874" s="6" t="s">
        <v>6736</v>
      </c>
      <c r="Y874" s="6" t="n">
        <v>12</v>
      </c>
      <c r="Z874" s="6" t="s">
        <v>6737</v>
      </c>
      <c r="AA874" s="6" t="n">
        <v>8</v>
      </c>
      <c r="AB874" s="6" t="s">
        <v>6738</v>
      </c>
      <c r="AC874" s="6" t="n">
        <v>6</v>
      </c>
      <c r="AD874" s="6" t="s">
        <v>6739</v>
      </c>
      <c r="AE874" s="6" t="n">
        <v>5</v>
      </c>
      <c r="AF874" s="6" t="s">
        <v>6740</v>
      </c>
      <c r="AG874" s="6" t="n">
        <v>4</v>
      </c>
      <c r="AH874" s="6" t="s">
        <v>6741</v>
      </c>
      <c r="AI874" s="6" t="n">
        <v>2</v>
      </c>
      <c r="AJ874" s="6" t="s">
        <v>6742</v>
      </c>
      <c r="AK874" s="6" t="n">
        <v>2</v>
      </c>
      <c r="AL874" s="6" t="s">
        <v>6743</v>
      </c>
      <c r="AM874" s="6" t="n">
        <v>1</v>
      </c>
      <c r="AN874" s="6" t="s">
        <v>6744</v>
      </c>
      <c r="AO874" s="6" t="n">
        <v>1</v>
      </c>
      <c r="AP874" s="6" t="s">
        <v>6745</v>
      </c>
      <c r="AQ874" s="6" t="n">
        <v>1</v>
      </c>
      <c r="AR874" s="6" t="s">
        <v>6746</v>
      </c>
      <c r="AS874" s="6" t="n">
        <v>0</v>
      </c>
      <c r="AT874" s="6" t="s">
        <v>6747</v>
      </c>
      <c r="AU874" s="6" t="n">
        <v>0</v>
      </c>
      <c r="AV874" s="6" t="s">
        <v>6748</v>
      </c>
      <c r="AW874" s="6" t="n">
        <v>0</v>
      </c>
    </row>
    <row r="875" customFormat="false" ht="12.8" hidden="false" customHeight="false" outlineLevel="0" collapsed="false">
      <c r="A875" s="6" t="s">
        <v>6749</v>
      </c>
      <c r="B875" s="6" t="n">
        <v>265</v>
      </c>
      <c r="C875" s="6" t="n">
        <v>67</v>
      </c>
      <c r="D875" s="12" t="n">
        <f aca="false">C875/(B875+C875)*100</f>
        <v>20.1807228915663</v>
      </c>
      <c r="E875" s="6" t="n">
        <v>11</v>
      </c>
      <c r="F875" s="6" t="s">
        <v>6750</v>
      </c>
      <c r="G875" s="6" t="n">
        <v>26</v>
      </c>
      <c r="H875" s="6" t="s">
        <v>6751</v>
      </c>
      <c r="I875" s="6" t="n">
        <v>12</v>
      </c>
      <c r="J875" s="6" t="s">
        <v>6752</v>
      </c>
      <c r="K875" s="6" t="n">
        <v>11</v>
      </c>
      <c r="L875" s="6" t="s">
        <v>6753</v>
      </c>
      <c r="M875" s="6" t="n">
        <v>10</v>
      </c>
      <c r="N875" s="6" t="s">
        <v>6754</v>
      </c>
      <c r="O875" s="6" t="n">
        <v>2</v>
      </c>
      <c r="P875" s="6" t="s">
        <v>6755</v>
      </c>
      <c r="Q875" s="6" t="n">
        <v>1</v>
      </c>
      <c r="R875" s="6" t="s">
        <v>6756</v>
      </c>
      <c r="S875" s="6" t="n">
        <v>1</v>
      </c>
      <c r="T875" s="6" t="s">
        <v>6757</v>
      </c>
      <c r="U875" s="6" t="n">
        <v>1</v>
      </c>
      <c r="V875" s="6" t="s">
        <v>6758</v>
      </c>
      <c r="W875" s="6" t="n">
        <v>1</v>
      </c>
      <c r="X875" s="6" t="s">
        <v>6759</v>
      </c>
      <c r="Y875" s="6" t="n">
        <v>1</v>
      </c>
      <c r="Z875" s="6" t="s">
        <v>6760</v>
      </c>
      <c r="AA875" s="6" t="n">
        <v>1</v>
      </c>
    </row>
    <row r="876" customFormat="false" ht="12.8" hidden="false" customHeight="false" outlineLevel="0" collapsed="false">
      <c r="A876" s="6" t="s">
        <v>6761</v>
      </c>
      <c r="B876" s="6" t="n">
        <v>268</v>
      </c>
      <c r="C876" s="6" t="n">
        <v>7</v>
      </c>
      <c r="D876" s="12" t="n">
        <f aca="false">C876/(B876+C876)*100</f>
        <v>2.54545454545455</v>
      </c>
      <c r="E876" s="6" t="n">
        <v>5</v>
      </c>
      <c r="F876" s="6" t="s">
        <v>6762</v>
      </c>
      <c r="G876" s="6" t="n">
        <v>3</v>
      </c>
      <c r="H876" s="6" t="s">
        <v>6763</v>
      </c>
      <c r="I876" s="6" t="n">
        <v>1</v>
      </c>
      <c r="J876" s="6" t="s">
        <v>6764</v>
      </c>
      <c r="K876" s="6" t="n">
        <v>1</v>
      </c>
      <c r="L876" s="6" t="s">
        <v>6765</v>
      </c>
      <c r="M876" s="6" t="n">
        <v>1</v>
      </c>
      <c r="N876" s="6" t="s">
        <v>6766</v>
      </c>
      <c r="O876" s="6" t="n">
        <v>1</v>
      </c>
    </row>
    <row r="877" customFormat="false" ht="12.8" hidden="false" customHeight="false" outlineLevel="0" collapsed="false">
      <c r="A877" s="6" t="s">
        <v>6767</v>
      </c>
      <c r="B877" s="6" t="n">
        <v>271</v>
      </c>
      <c r="C877" s="6" t="n">
        <v>3</v>
      </c>
      <c r="D877" s="12" t="n">
        <f aca="false">C877/(B877+C877)*100</f>
        <v>1.09489051094891</v>
      </c>
      <c r="E877" s="6" t="n">
        <v>5</v>
      </c>
      <c r="F877" s="6" t="s">
        <v>6768</v>
      </c>
      <c r="G877" s="6" t="n">
        <v>3</v>
      </c>
      <c r="H877" s="6" t="s">
        <v>6769</v>
      </c>
      <c r="I877" s="6" t="n">
        <v>0</v>
      </c>
      <c r="J877" s="6" t="s">
        <v>6770</v>
      </c>
      <c r="K877" s="6" t="n">
        <v>0</v>
      </c>
      <c r="L877" s="6" t="s">
        <v>6771</v>
      </c>
      <c r="M877" s="6" t="n">
        <v>0</v>
      </c>
      <c r="N877" s="6" t="s">
        <v>6772</v>
      </c>
      <c r="O877" s="6" t="n">
        <v>0</v>
      </c>
    </row>
    <row r="878" customFormat="false" ht="12.8" hidden="false" customHeight="false" outlineLevel="0" collapsed="false">
      <c r="A878" s="6" t="s">
        <v>6773</v>
      </c>
      <c r="B878" s="6" t="n">
        <v>272</v>
      </c>
      <c r="C878" s="6" t="n">
        <v>3472</v>
      </c>
      <c r="D878" s="12" t="n">
        <f aca="false">C878/(B878+C878)*100</f>
        <v>92.7350427350427</v>
      </c>
      <c r="E878" s="6" t="n">
        <v>68</v>
      </c>
      <c r="F878" s="6" t="s">
        <v>6774</v>
      </c>
      <c r="G878" s="6" t="n">
        <v>525</v>
      </c>
      <c r="H878" s="6" t="s">
        <v>6775</v>
      </c>
      <c r="I878" s="6" t="n">
        <v>408</v>
      </c>
      <c r="J878" s="6" t="s">
        <v>6776</v>
      </c>
      <c r="K878" s="6" t="n">
        <v>385</v>
      </c>
      <c r="L878" s="6" t="s">
        <v>6777</v>
      </c>
      <c r="M878" s="6" t="n">
        <v>291</v>
      </c>
      <c r="N878" s="6" t="s">
        <v>6778</v>
      </c>
      <c r="O878" s="6" t="n">
        <v>283</v>
      </c>
      <c r="P878" s="6" t="s">
        <v>6779</v>
      </c>
      <c r="Q878" s="6" t="n">
        <v>264</v>
      </c>
      <c r="R878" s="6" t="s">
        <v>6780</v>
      </c>
      <c r="S878" s="6" t="n">
        <v>203</v>
      </c>
      <c r="T878" s="6" t="s">
        <v>6781</v>
      </c>
      <c r="U878" s="6" t="n">
        <v>154</v>
      </c>
      <c r="V878" s="6" t="s">
        <v>6782</v>
      </c>
      <c r="W878" s="6" t="n">
        <v>123</v>
      </c>
      <c r="X878" s="6" t="s">
        <v>6783</v>
      </c>
      <c r="Y878" s="6" t="n">
        <v>99</v>
      </c>
      <c r="Z878" s="6" t="s">
        <v>6784</v>
      </c>
      <c r="AA878" s="6" t="n">
        <v>81</v>
      </c>
      <c r="AB878" s="6" t="s">
        <v>6785</v>
      </c>
      <c r="AC878" s="6" t="n">
        <v>78</v>
      </c>
      <c r="AD878" s="6" t="s">
        <v>6786</v>
      </c>
      <c r="AE878" s="6" t="n">
        <v>73</v>
      </c>
      <c r="AF878" s="6" t="s">
        <v>6787</v>
      </c>
      <c r="AG878" s="6" t="n">
        <v>67</v>
      </c>
      <c r="AH878" s="6" t="s">
        <v>6788</v>
      </c>
      <c r="AI878" s="6" t="n">
        <v>62</v>
      </c>
      <c r="AJ878" s="6" t="s">
        <v>6789</v>
      </c>
      <c r="AK878" s="6" t="n">
        <v>55</v>
      </c>
      <c r="AL878" s="6" t="s">
        <v>6790</v>
      </c>
      <c r="AM878" s="6" t="n">
        <v>45</v>
      </c>
      <c r="AN878" s="6" t="s">
        <v>6791</v>
      </c>
      <c r="AO878" s="6" t="n">
        <v>44</v>
      </c>
      <c r="AP878" s="6" t="s">
        <v>6792</v>
      </c>
      <c r="AQ878" s="6" t="n">
        <v>35</v>
      </c>
      <c r="AR878" s="6" t="s">
        <v>6793</v>
      </c>
      <c r="AS878" s="6" t="n">
        <v>26</v>
      </c>
      <c r="AT878" s="6" t="s">
        <v>6794</v>
      </c>
      <c r="AU878" s="6" t="n">
        <v>23</v>
      </c>
      <c r="AV878" s="6" t="s">
        <v>6795</v>
      </c>
      <c r="AW878" s="6" t="n">
        <v>18</v>
      </c>
      <c r="AX878" s="6" t="s">
        <v>6796</v>
      </c>
      <c r="AY878" s="6" t="n">
        <v>17</v>
      </c>
      <c r="AZ878" s="6" t="s">
        <v>6797</v>
      </c>
      <c r="BA878" s="6" t="n">
        <v>12</v>
      </c>
      <c r="BB878" s="6" t="s">
        <v>6798</v>
      </c>
      <c r="BC878" s="6" t="n">
        <v>12</v>
      </c>
      <c r="BD878" s="6" t="s">
        <v>6799</v>
      </c>
      <c r="BE878" s="6" t="n">
        <v>7</v>
      </c>
      <c r="BF878" s="6" t="s">
        <v>6800</v>
      </c>
      <c r="BG878" s="6" t="n">
        <v>7</v>
      </c>
      <c r="BH878" s="6" t="s">
        <v>6801</v>
      </c>
      <c r="BI878" s="6" t="n">
        <v>6</v>
      </c>
      <c r="BJ878" s="6" t="s">
        <v>6802</v>
      </c>
      <c r="BK878" s="6" t="n">
        <v>6</v>
      </c>
      <c r="BL878" s="6" t="s">
        <v>6803</v>
      </c>
      <c r="BM878" s="6" t="n">
        <v>5</v>
      </c>
      <c r="BN878" s="6" t="s">
        <v>6804</v>
      </c>
      <c r="BO878" s="6" t="n">
        <v>5</v>
      </c>
      <c r="BP878" s="6" t="s">
        <v>6805</v>
      </c>
      <c r="BQ878" s="6" t="n">
        <v>5</v>
      </c>
      <c r="BR878" s="6" t="s">
        <v>6806</v>
      </c>
      <c r="BS878" s="6" t="n">
        <v>4</v>
      </c>
      <c r="BT878" s="6" t="s">
        <v>6807</v>
      </c>
      <c r="BU878" s="6" t="n">
        <v>4</v>
      </c>
      <c r="BV878" s="6" t="s">
        <v>6808</v>
      </c>
      <c r="BW878" s="6" t="n">
        <v>3</v>
      </c>
      <c r="BX878" s="6" t="s">
        <v>6809</v>
      </c>
      <c r="BY878" s="6" t="n">
        <v>3</v>
      </c>
      <c r="BZ878" s="6" t="s">
        <v>6810</v>
      </c>
      <c r="CA878" s="6" t="n">
        <v>3</v>
      </c>
      <c r="CB878" s="6" t="s">
        <v>6811</v>
      </c>
      <c r="CC878" s="6" t="n">
        <v>3</v>
      </c>
      <c r="CD878" s="6" t="s">
        <v>6812</v>
      </c>
      <c r="CE878" s="6" t="n">
        <v>3</v>
      </c>
      <c r="CF878" s="6" t="s">
        <v>6813</v>
      </c>
      <c r="CG878" s="6" t="n">
        <v>3</v>
      </c>
      <c r="CH878" s="6" t="s">
        <v>6814</v>
      </c>
      <c r="CI878" s="6" t="n">
        <v>2</v>
      </c>
      <c r="CJ878" s="6" t="s">
        <v>6815</v>
      </c>
      <c r="CK878" s="6" t="n">
        <v>2</v>
      </c>
      <c r="CL878" s="6" t="s">
        <v>6816</v>
      </c>
      <c r="CM878" s="6" t="n">
        <v>2</v>
      </c>
      <c r="CN878" s="6" t="s">
        <v>6817</v>
      </c>
      <c r="CO878" s="6" t="n">
        <v>2</v>
      </c>
      <c r="CP878" s="6" t="s">
        <v>6818</v>
      </c>
      <c r="CQ878" s="6" t="n">
        <v>2</v>
      </c>
      <c r="CR878" s="6" t="s">
        <v>6819</v>
      </c>
      <c r="CS878" s="6" t="n">
        <v>2</v>
      </c>
      <c r="CT878" s="6" t="s">
        <v>6820</v>
      </c>
      <c r="CU878" s="6" t="n">
        <v>1</v>
      </c>
      <c r="CV878" s="6" t="s">
        <v>6821</v>
      </c>
      <c r="CW878" s="6" t="n">
        <v>1</v>
      </c>
      <c r="CX878" s="6" t="s">
        <v>6822</v>
      </c>
      <c r="CY878" s="6" t="n">
        <v>1</v>
      </c>
      <c r="CZ878" s="6" t="s">
        <v>6823</v>
      </c>
      <c r="DA878" s="6" t="n">
        <v>1</v>
      </c>
      <c r="DB878" s="6" t="s">
        <v>6824</v>
      </c>
      <c r="DC878" s="6" t="n">
        <v>1</v>
      </c>
      <c r="DD878" s="6" t="s">
        <v>6825</v>
      </c>
      <c r="DE878" s="6" t="n">
        <v>1</v>
      </c>
      <c r="DF878" s="6" t="s">
        <v>6826</v>
      </c>
      <c r="DG878" s="6" t="n">
        <v>1</v>
      </c>
      <c r="DH878" s="6" t="s">
        <v>6827</v>
      </c>
      <c r="DI878" s="6" t="n">
        <v>1</v>
      </c>
      <c r="DJ878" s="6" t="s">
        <v>6828</v>
      </c>
      <c r="DK878" s="6" t="n">
        <v>1</v>
      </c>
      <c r="DL878" s="6" t="s">
        <v>6829</v>
      </c>
      <c r="DM878" s="6" t="n">
        <v>1</v>
      </c>
      <c r="DN878" s="6" t="s">
        <v>6830</v>
      </c>
      <c r="DO878" s="6" t="n">
        <v>0</v>
      </c>
      <c r="DP878" s="6" t="s">
        <v>6831</v>
      </c>
      <c r="DQ878" s="6" t="n">
        <v>0</v>
      </c>
      <c r="DR878" s="6" t="s">
        <v>6832</v>
      </c>
      <c r="DS878" s="6" t="n">
        <v>0</v>
      </c>
      <c r="DT878" s="6" t="s">
        <v>6833</v>
      </c>
      <c r="DU878" s="6" t="n">
        <v>0</v>
      </c>
      <c r="DV878" s="6" t="s">
        <v>6834</v>
      </c>
      <c r="DW878" s="6" t="n">
        <v>0</v>
      </c>
      <c r="DX878" s="6" t="s">
        <v>6835</v>
      </c>
      <c r="DY878" s="6" t="n">
        <v>0</v>
      </c>
      <c r="DZ878" s="6" t="s">
        <v>6836</v>
      </c>
      <c r="EA878" s="6" t="n">
        <v>0</v>
      </c>
      <c r="EB878" s="6" t="s">
        <v>6837</v>
      </c>
      <c r="EC878" s="6" t="n">
        <v>0</v>
      </c>
      <c r="ED878" s="6" t="s">
        <v>6838</v>
      </c>
      <c r="EE878" s="6" t="n">
        <v>0</v>
      </c>
      <c r="EF878" s="6" t="s">
        <v>6839</v>
      </c>
      <c r="EG878" s="6" t="n">
        <v>0</v>
      </c>
      <c r="EH878" s="6" t="s">
        <v>6840</v>
      </c>
      <c r="EI878" s="6" t="n">
        <v>0</v>
      </c>
      <c r="EJ878" s="6" t="s">
        <v>6841</v>
      </c>
      <c r="EK878" s="6" t="n">
        <v>0</v>
      </c>
    </row>
    <row r="879" customFormat="false" ht="12.8" hidden="false" customHeight="false" outlineLevel="0" collapsed="false">
      <c r="A879" s="6" t="s">
        <v>6842</v>
      </c>
      <c r="B879" s="6" t="n">
        <v>273</v>
      </c>
      <c r="C879" s="6" t="n">
        <v>2</v>
      </c>
      <c r="D879" s="12" t="n">
        <f aca="false">C879/(B879+C879)*100</f>
        <v>0.727272727272727</v>
      </c>
      <c r="E879" s="6" t="n">
        <v>5</v>
      </c>
      <c r="F879" s="6" t="s">
        <v>6843</v>
      </c>
      <c r="G879" s="6" t="n">
        <v>1</v>
      </c>
      <c r="H879" s="6" t="s">
        <v>6844</v>
      </c>
      <c r="I879" s="6" t="n">
        <v>1</v>
      </c>
      <c r="J879" s="6" t="s">
        <v>6845</v>
      </c>
      <c r="K879" s="6" t="n">
        <v>0</v>
      </c>
      <c r="L879" s="6" t="s">
        <v>6846</v>
      </c>
      <c r="M879" s="6" t="n">
        <v>0</v>
      </c>
      <c r="N879" s="6" t="s">
        <v>6847</v>
      </c>
      <c r="O879" s="6" t="n">
        <v>0</v>
      </c>
    </row>
    <row r="880" customFormat="false" ht="12.8" hidden="false" customHeight="false" outlineLevel="0" collapsed="false">
      <c r="A880" s="6" t="s">
        <v>6848</v>
      </c>
      <c r="B880" s="6" t="n">
        <v>274</v>
      </c>
      <c r="C880" s="6" t="n">
        <v>65</v>
      </c>
      <c r="D880" s="12" t="n">
        <f aca="false">C880/(B880+C880)*100</f>
        <v>19.1740412979351</v>
      </c>
      <c r="E880" s="6" t="n">
        <v>6</v>
      </c>
      <c r="F880" s="6" t="s">
        <v>6849</v>
      </c>
      <c r="G880" s="6" t="n">
        <v>34</v>
      </c>
      <c r="H880" s="6" t="s">
        <v>6850</v>
      </c>
      <c r="I880" s="6" t="n">
        <v>19</v>
      </c>
      <c r="J880" s="6" t="s">
        <v>6851</v>
      </c>
      <c r="K880" s="6" t="n">
        <v>5</v>
      </c>
      <c r="L880" s="6" t="s">
        <v>6852</v>
      </c>
      <c r="M880" s="6" t="n">
        <v>4</v>
      </c>
      <c r="N880" s="6" t="s">
        <v>6853</v>
      </c>
      <c r="O880" s="6" t="n">
        <v>2</v>
      </c>
      <c r="P880" s="6" t="s">
        <v>6854</v>
      </c>
      <c r="Q880" s="6" t="n">
        <v>1</v>
      </c>
    </row>
    <row r="881" customFormat="false" ht="12.8" hidden="false" customHeight="false" outlineLevel="0" collapsed="false">
      <c r="A881" s="6" t="s">
        <v>6855</v>
      </c>
      <c r="B881" s="6" t="n">
        <v>279</v>
      </c>
      <c r="C881" s="6" t="n">
        <v>71</v>
      </c>
      <c r="D881" s="12" t="n">
        <f aca="false">C881/(B881+C881)*100</f>
        <v>20.2857142857143</v>
      </c>
      <c r="E881" s="6" t="n">
        <v>1</v>
      </c>
      <c r="F881" s="6" t="s">
        <v>6856</v>
      </c>
      <c r="G881" s="6" t="n">
        <v>71</v>
      </c>
    </row>
    <row r="882" customFormat="false" ht="12.8" hidden="false" customHeight="false" outlineLevel="0" collapsed="false">
      <c r="A882" s="6" t="s">
        <v>6857</v>
      </c>
      <c r="B882" s="6" t="n">
        <v>289</v>
      </c>
      <c r="C882" s="6" t="n">
        <v>23</v>
      </c>
      <c r="D882" s="12" t="n">
        <f aca="false">C882/(B882+C882)*100</f>
        <v>7.37179487179487</v>
      </c>
      <c r="E882" s="6" t="n">
        <v>6</v>
      </c>
      <c r="F882" s="6" t="s">
        <v>6858</v>
      </c>
      <c r="G882" s="6" t="n">
        <v>13</v>
      </c>
      <c r="H882" s="6" t="s">
        <v>6859</v>
      </c>
      <c r="I882" s="6" t="n">
        <v>8</v>
      </c>
      <c r="J882" s="6" t="s">
        <v>6860</v>
      </c>
      <c r="K882" s="6" t="n">
        <v>1</v>
      </c>
      <c r="L882" s="6" t="s">
        <v>6861</v>
      </c>
      <c r="M882" s="6" t="n">
        <v>1</v>
      </c>
      <c r="N882" s="6" t="s">
        <v>6862</v>
      </c>
      <c r="O882" s="6" t="n">
        <v>0</v>
      </c>
      <c r="P882" s="6" t="s">
        <v>6863</v>
      </c>
      <c r="Q882" s="6" t="n">
        <v>0</v>
      </c>
    </row>
    <row r="883" customFormat="false" ht="12.8" hidden="false" customHeight="false" outlineLevel="0" collapsed="false">
      <c r="A883" s="6" t="s">
        <v>6864</v>
      </c>
      <c r="B883" s="6" t="n">
        <v>291</v>
      </c>
      <c r="C883" s="6" t="n">
        <v>223</v>
      </c>
      <c r="D883" s="12" t="n">
        <f aca="false">C883/(B883+C883)*100</f>
        <v>43.3852140077821</v>
      </c>
      <c r="E883" s="6" t="n">
        <v>7</v>
      </c>
      <c r="F883" s="6" t="s">
        <v>6865</v>
      </c>
      <c r="G883" s="6" t="n">
        <v>212</v>
      </c>
      <c r="H883" s="6" t="s">
        <v>6866</v>
      </c>
      <c r="I883" s="6" t="n">
        <v>4</v>
      </c>
      <c r="J883" s="6" t="s">
        <v>6867</v>
      </c>
      <c r="K883" s="6" t="n">
        <v>4</v>
      </c>
      <c r="L883" s="6" t="s">
        <v>6868</v>
      </c>
      <c r="M883" s="6" t="n">
        <v>1</v>
      </c>
      <c r="N883" s="6" t="s">
        <v>6869</v>
      </c>
      <c r="O883" s="6" t="n">
        <v>1</v>
      </c>
      <c r="P883" s="6" t="s">
        <v>6870</v>
      </c>
      <c r="Q883" s="6" t="n">
        <v>1</v>
      </c>
      <c r="R883" s="6" t="s">
        <v>6871</v>
      </c>
      <c r="S883" s="6" t="n">
        <v>0</v>
      </c>
    </row>
    <row r="884" customFormat="false" ht="12.8" hidden="false" customHeight="false" outlineLevel="0" collapsed="false">
      <c r="A884" s="6" t="s">
        <v>6872</v>
      </c>
      <c r="B884" s="6" t="n">
        <v>291</v>
      </c>
      <c r="C884" s="6" t="n">
        <v>168</v>
      </c>
      <c r="D884" s="12" t="n">
        <f aca="false">C884/(B884+C884)*100</f>
        <v>36.6013071895425</v>
      </c>
      <c r="E884" s="6" t="n">
        <v>8</v>
      </c>
      <c r="F884" s="6" t="s">
        <v>6873</v>
      </c>
      <c r="G884" s="6" t="n">
        <v>54</v>
      </c>
      <c r="H884" s="6" t="s">
        <v>6874</v>
      </c>
      <c r="I884" s="6" t="n">
        <v>52</v>
      </c>
      <c r="J884" s="6" t="s">
        <v>6875</v>
      </c>
      <c r="K884" s="6" t="n">
        <v>30</v>
      </c>
      <c r="L884" s="6" t="s">
        <v>6876</v>
      </c>
      <c r="M884" s="6" t="n">
        <v>19</v>
      </c>
      <c r="N884" s="6" t="s">
        <v>6877</v>
      </c>
      <c r="O884" s="6" t="n">
        <v>6</v>
      </c>
      <c r="P884" s="6" t="s">
        <v>6878</v>
      </c>
      <c r="Q884" s="6" t="n">
        <v>4</v>
      </c>
      <c r="R884" s="6" t="s">
        <v>6879</v>
      </c>
      <c r="S884" s="6" t="n">
        <v>2</v>
      </c>
      <c r="T884" s="6" t="s">
        <v>6880</v>
      </c>
      <c r="U884" s="6" t="n">
        <v>1</v>
      </c>
    </row>
    <row r="885" customFormat="false" ht="12.8" hidden="false" customHeight="false" outlineLevel="0" collapsed="false">
      <c r="A885" s="6" t="s">
        <v>6881</v>
      </c>
      <c r="B885" s="6" t="n">
        <v>291</v>
      </c>
      <c r="C885" s="6" t="n">
        <v>107</v>
      </c>
      <c r="D885" s="12" t="n">
        <f aca="false">C885/(B885+C885)*100</f>
        <v>26.8844221105528</v>
      </c>
      <c r="E885" s="6" t="n">
        <v>13</v>
      </c>
      <c r="F885" s="6" t="s">
        <v>6882</v>
      </c>
      <c r="G885" s="6" t="n">
        <v>39</v>
      </c>
      <c r="H885" s="6" t="s">
        <v>6883</v>
      </c>
      <c r="I885" s="6" t="n">
        <v>32</v>
      </c>
      <c r="J885" s="6" t="s">
        <v>6884</v>
      </c>
      <c r="K885" s="6" t="n">
        <v>13</v>
      </c>
      <c r="L885" s="6" t="s">
        <v>6885</v>
      </c>
      <c r="M885" s="6" t="n">
        <v>9</v>
      </c>
      <c r="N885" s="6" t="s">
        <v>6886</v>
      </c>
      <c r="O885" s="6" t="n">
        <v>4</v>
      </c>
      <c r="P885" s="6" t="s">
        <v>6887</v>
      </c>
      <c r="Q885" s="6" t="n">
        <v>3</v>
      </c>
      <c r="R885" s="6" t="s">
        <v>6888</v>
      </c>
      <c r="S885" s="6" t="n">
        <v>2</v>
      </c>
      <c r="T885" s="6" t="s">
        <v>6889</v>
      </c>
      <c r="U885" s="6" t="n">
        <v>1</v>
      </c>
      <c r="V885" s="6" t="s">
        <v>6890</v>
      </c>
      <c r="W885" s="6" t="n">
        <v>1</v>
      </c>
      <c r="X885" s="6" t="s">
        <v>6891</v>
      </c>
      <c r="Y885" s="6" t="n">
        <v>1</v>
      </c>
      <c r="Z885" s="6" t="s">
        <v>6892</v>
      </c>
      <c r="AA885" s="6" t="n">
        <v>1</v>
      </c>
      <c r="AB885" s="6" t="s">
        <v>6893</v>
      </c>
      <c r="AC885" s="6" t="n">
        <v>1</v>
      </c>
      <c r="AD885" s="6" t="s">
        <v>6894</v>
      </c>
      <c r="AE885" s="6" t="n">
        <v>0</v>
      </c>
    </row>
    <row r="886" customFormat="false" ht="12.8" hidden="false" customHeight="false" outlineLevel="0" collapsed="false">
      <c r="A886" s="6" t="s">
        <v>6895</v>
      </c>
      <c r="B886" s="6" t="n">
        <v>296</v>
      </c>
      <c r="C886" s="6" t="n">
        <v>350</v>
      </c>
      <c r="D886" s="12" t="n">
        <f aca="false">C886/(B886+C886)*100</f>
        <v>54.1795665634675</v>
      </c>
      <c r="E886" s="6" t="n">
        <v>10</v>
      </c>
      <c r="F886" s="6" t="s">
        <v>6896</v>
      </c>
      <c r="G886" s="6" t="n">
        <v>215</v>
      </c>
      <c r="H886" s="6" t="s">
        <v>6897</v>
      </c>
      <c r="I886" s="6" t="n">
        <v>107</v>
      </c>
      <c r="J886" s="6" t="s">
        <v>6898</v>
      </c>
      <c r="K886" s="6" t="n">
        <v>18</v>
      </c>
      <c r="L886" s="6" t="s">
        <v>6899</v>
      </c>
      <c r="M886" s="6" t="n">
        <v>3</v>
      </c>
      <c r="N886" s="6" t="s">
        <v>6900</v>
      </c>
      <c r="O886" s="6" t="n">
        <v>2</v>
      </c>
      <c r="P886" s="6" t="s">
        <v>6901</v>
      </c>
      <c r="Q886" s="6" t="n">
        <v>2</v>
      </c>
      <c r="R886" s="6" t="s">
        <v>6902</v>
      </c>
      <c r="S886" s="6" t="n">
        <v>1</v>
      </c>
      <c r="T886" s="6" t="s">
        <v>6903</v>
      </c>
      <c r="U886" s="6" t="n">
        <v>1</v>
      </c>
      <c r="V886" s="6" t="s">
        <v>6904</v>
      </c>
      <c r="W886" s="6" t="n">
        <v>1</v>
      </c>
      <c r="X886" s="6" t="s">
        <v>6905</v>
      </c>
      <c r="Y886" s="6" t="n">
        <v>0</v>
      </c>
    </row>
    <row r="887" customFormat="false" ht="12.8" hidden="false" customHeight="false" outlineLevel="0" collapsed="false">
      <c r="A887" s="6" t="s">
        <v>6906</v>
      </c>
      <c r="B887" s="6" t="n">
        <v>303</v>
      </c>
      <c r="C887" s="6" t="n">
        <v>38</v>
      </c>
      <c r="D887" s="12" t="n">
        <f aca="false">C887/(B887+C887)*100</f>
        <v>11.1436950146628</v>
      </c>
      <c r="E887" s="6" t="n">
        <v>7</v>
      </c>
      <c r="F887" s="6" t="s">
        <v>6907</v>
      </c>
      <c r="G887" s="6" t="n">
        <v>25</v>
      </c>
      <c r="H887" s="6" t="s">
        <v>6908</v>
      </c>
      <c r="I887" s="6" t="n">
        <v>3</v>
      </c>
      <c r="J887" s="6" t="s">
        <v>6909</v>
      </c>
      <c r="K887" s="6" t="n">
        <v>3</v>
      </c>
      <c r="L887" s="6" t="s">
        <v>6910</v>
      </c>
      <c r="M887" s="6" t="n">
        <v>2</v>
      </c>
      <c r="N887" s="6" t="s">
        <v>6911</v>
      </c>
      <c r="O887" s="6" t="n">
        <v>2</v>
      </c>
      <c r="P887" s="6" t="s">
        <v>6912</v>
      </c>
      <c r="Q887" s="6" t="n">
        <v>2</v>
      </c>
      <c r="R887" s="6" t="s">
        <v>6913</v>
      </c>
      <c r="S887" s="6" t="n">
        <v>1</v>
      </c>
    </row>
    <row r="888" customFormat="false" ht="12.8" hidden="false" customHeight="false" outlineLevel="0" collapsed="false">
      <c r="A888" s="6" t="s">
        <v>6914</v>
      </c>
      <c r="B888" s="6" t="n">
        <v>307</v>
      </c>
      <c r="C888" s="6" t="n">
        <v>100</v>
      </c>
      <c r="D888" s="12" t="n">
        <f aca="false">C888/(B888+C888)*100</f>
        <v>24.5700245700246</v>
      </c>
      <c r="E888" s="6" t="n">
        <v>5</v>
      </c>
      <c r="F888" s="6" t="s">
        <v>6915</v>
      </c>
      <c r="G888" s="6" t="n">
        <v>72</v>
      </c>
      <c r="H888" s="6" t="s">
        <v>6916</v>
      </c>
      <c r="I888" s="6" t="n">
        <v>20</v>
      </c>
      <c r="J888" s="6" t="s">
        <v>6917</v>
      </c>
      <c r="K888" s="6" t="n">
        <v>3</v>
      </c>
      <c r="L888" s="6" t="s">
        <v>6918</v>
      </c>
      <c r="M888" s="6" t="n">
        <v>3</v>
      </c>
      <c r="N888" s="6" t="s">
        <v>6919</v>
      </c>
      <c r="O888" s="6" t="n">
        <v>2</v>
      </c>
    </row>
    <row r="889" customFormat="false" ht="12.8" hidden="false" customHeight="false" outlineLevel="0" collapsed="false">
      <c r="A889" s="6" t="s">
        <v>6920</v>
      </c>
      <c r="B889" s="6" t="n">
        <v>308</v>
      </c>
      <c r="C889" s="6" t="n">
        <v>1588</v>
      </c>
      <c r="D889" s="12" t="n">
        <f aca="false">C889/(B889+C889)*100</f>
        <v>83.7552742616034</v>
      </c>
      <c r="E889" s="6" t="n">
        <v>44</v>
      </c>
      <c r="F889" s="6" t="s">
        <v>6921</v>
      </c>
      <c r="G889" s="6" t="n">
        <v>928</v>
      </c>
      <c r="H889" s="6" t="s">
        <v>6922</v>
      </c>
      <c r="I889" s="6" t="n">
        <v>166</v>
      </c>
      <c r="J889" s="6" t="s">
        <v>6923</v>
      </c>
      <c r="K889" s="6" t="n">
        <v>149</v>
      </c>
      <c r="L889" s="6" t="s">
        <v>6924</v>
      </c>
      <c r="M889" s="6" t="n">
        <v>73</v>
      </c>
      <c r="N889" s="6" t="s">
        <v>6925</v>
      </c>
      <c r="O889" s="6" t="n">
        <v>55</v>
      </c>
      <c r="P889" s="6" t="s">
        <v>6926</v>
      </c>
      <c r="Q889" s="6" t="n">
        <v>42</v>
      </c>
      <c r="R889" s="6" t="s">
        <v>6927</v>
      </c>
      <c r="S889" s="6" t="n">
        <v>34</v>
      </c>
      <c r="T889" s="6" t="s">
        <v>6928</v>
      </c>
      <c r="U889" s="6" t="n">
        <v>20</v>
      </c>
      <c r="V889" s="6" t="s">
        <v>6929</v>
      </c>
      <c r="W889" s="6" t="n">
        <v>19</v>
      </c>
      <c r="X889" s="6" t="s">
        <v>6930</v>
      </c>
      <c r="Y889" s="6" t="n">
        <v>18</v>
      </c>
      <c r="Z889" s="6" t="s">
        <v>6931</v>
      </c>
      <c r="AA889" s="6" t="n">
        <v>16</v>
      </c>
      <c r="AB889" s="6" t="s">
        <v>6932</v>
      </c>
      <c r="AC889" s="6" t="n">
        <v>11</v>
      </c>
      <c r="AD889" s="6" t="s">
        <v>6933</v>
      </c>
      <c r="AE889" s="6" t="n">
        <v>8</v>
      </c>
      <c r="AF889" s="6" t="s">
        <v>6934</v>
      </c>
      <c r="AG889" s="6" t="n">
        <v>8</v>
      </c>
      <c r="AH889" s="6" t="s">
        <v>6935</v>
      </c>
      <c r="AI889" s="6" t="n">
        <v>7</v>
      </c>
      <c r="AJ889" s="6" t="s">
        <v>6936</v>
      </c>
      <c r="AK889" s="6" t="n">
        <v>7</v>
      </c>
      <c r="AL889" s="6" t="s">
        <v>6937</v>
      </c>
      <c r="AM889" s="6" t="n">
        <v>5</v>
      </c>
      <c r="AN889" s="6" t="s">
        <v>6938</v>
      </c>
      <c r="AO889" s="6" t="n">
        <v>4</v>
      </c>
      <c r="AP889" s="6" t="s">
        <v>6939</v>
      </c>
      <c r="AQ889" s="6" t="n">
        <v>3</v>
      </c>
      <c r="AR889" s="6" t="s">
        <v>6940</v>
      </c>
      <c r="AS889" s="6" t="n">
        <v>2</v>
      </c>
      <c r="AT889" s="6" t="s">
        <v>6941</v>
      </c>
      <c r="AU889" s="6" t="n">
        <v>2</v>
      </c>
      <c r="AV889" s="6" t="s">
        <v>6942</v>
      </c>
      <c r="AW889" s="6" t="n">
        <v>2</v>
      </c>
      <c r="AX889" s="6" t="s">
        <v>6943</v>
      </c>
      <c r="AY889" s="6" t="n">
        <v>1</v>
      </c>
      <c r="AZ889" s="6" t="s">
        <v>6944</v>
      </c>
      <c r="BA889" s="6" t="n">
        <v>1</v>
      </c>
      <c r="BB889" s="6" t="s">
        <v>6945</v>
      </c>
      <c r="BC889" s="6" t="n">
        <v>1</v>
      </c>
      <c r="BD889" s="6" t="s">
        <v>6946</v>
      </c>
      <c r="BE889" s="6" t="n">
        <v>1</v>
      </c>
      <c r="BF889" s="6" t="s">
        <v>6947</v>
      </c>
      <c r="BG889" s="6" t="n">
        <v>1</v>
      </c>
      <c r="BH889" s="6" t="s">
        <v>6948</v>
      </c>
      <c r="BI889" s="6" t="n">
        <v>1</v>
      </c>
      <c r="BJ889" s="6" t="s">
        <v>6949</v>
      </c>
      <c r="BK889" s="6" t="n">
        <v>1</v>
      </c>
      <c r="BL889" s="6" t="s">
        <v>6950</v>
      </c>
      <c r="BM889" s="6" t="n">
        <v>1</v>
      </c>
      <c r="BN889" s="6" t="s">
        <v>6951</v>
      </c>
      <c r="BO889" s="6" t="n">
        <v>1</v>
      </c>
      <c r="BP889" s="6" t="s">
        <v>6952</v>
      </c>
      <c r="BQ889" s="6" t="n">
        <v>0</v>
      </c>
      <c r="BR889" s="6" t="s">
        <v>6953</v>
      </c>
      <c r="BS889" s="6" t="n">
        <v>0</v>
      </c>
      <c r="BT889" s="6" t="s">
        <v>6954</v>
      </c>
      <c r="BU889" s="6" t="n">
        <v>0</v>
      </c>
      <c r="BV889" s="6" t="s">
        <v>6955</v>
      </c>
      <c r="BW889" s="6" t="n">
        <v>0</v>
      </c>
      <c r="BX889" s="6" t="s">
        <v>6956</v>
      </c>
      <c r="BY889" s="6" t="n">
        <v>0</v>
      </c>
      <c r="BZ889" s="6" t="s">
        <v>6957</v>
      </c>
      <c r="CA889" s="6" t="n">
        <v>0</v>
      </c>
      <c r="CB889" s="6" t="s">
        <v>6958</v>
      </c>
      <c r="CC889" s="6" t="n">
        <v>0</v>
      </c>
      <c r="CD889" s="6" t="s">
        <v>6959</v>
      </c>
      <c r="CE889" s="6" t="n">
        <v>0</v>
      </c>
      <c r="CF889" s="6" t="s">
        <v>6960</v>
      </c>
      <c r="CG889" s="6" t="n">
        <v>0</v>
      </c>
      <c r="CH889" s="6" t="s">
        <v>6961</v>
      </c>
      <c r="CI889" s="6" t="n">
        <v>0</v>
      </c>
      <c r="CJ889" s="6" t="s">
        <v>6962</v>
      </c>
      <c r="CK889" s="6" t="n">
        <v>0</v>
      </c>
      <c r="CL889" s="6" t="s">
        <v>6963</v>
      </c>
      <c r="CM889" s="6" t="n">
        <v>0</v>
      </c>
      <c r="CN889" s="6" t="s">
        <v>6964</v>
      </c>
      <c r="CO889" s="6" t="n">
        <v>0</v>
      </c>
    </row>
    <row r="890" customFormat="false" ht="12.8" hidden="false" customHeight="false" outlineLevel="0" collapsed="false">
      <c r="A890" s="6" t="s">
        <v>6965</v>
      </c>
      <c r="B890" s="6" t="n">
        <v>311</v>
      </c>
      <c r="C890" s="6" t="n">
        <v>790</v>
      </c>
      <c r="D890" s="12" t="n">
        <f aca="false">C890/(B890+C890)*100</f>
        <v>71.7529518619437</v>
      </c>
      <c r="E890" s="6" t="n">
        <v>39</v>
      </c>
      <c r="F890" s="6" t="s">
        <v>6966</v>
      </c>
      <c r="G890" s="6" t="n">
        <v>268</v>
      </c>
      <c r="H890" s="6" t="s">
        <v>6967</v>
      </c>
      <c r="I890" s="6" t="n">
        <v>87</v>
      </c>
      <c r="J890" s="6" t="s">
        <v>6967</v>
      </c>
      <c r="K890" s="6" t="n">
        <v>87</v>
      </c>
      <c r="L890" s="6" t="s">
        <v>6968</v>
      </c>
      <c r="M890" s="6" t="n">
        <v>67</v>
      </c>
      <c r="N890" s="6" t="s">
        <v>6969</v>
      </c>
      <c r="O890" s="6" t="n">
        <v>63</v>
      </c>
      <c r="P890" s="6" t="s">
        <v>6969</v>
      </c>
      <c r="Q890" s="6" t="n">
        <v>63</v>
      </c>
      <c r="R890" s="6" t="s">
        <v>6970</v>
      </c>
      <c r="S890" s="6" t="n">
        <v>44</v>
      </c>
      <c r="T890" s="6" t="s">
        <v>6971</v>
      </c>
      <c r="U890" s="6" t="n">
        <v>17</v>
      </c>
      <c r="V890" s="6" t="s">
        <v>6971</v>
      </c>
      <c r="W890" s="6" t="n">
        <v>17</v>
      </c>
      <c r="X890" s="6" t="s">
        <v>6972</v>
      </c>
      <c r="Y890" s="6" t="n">
        <v>14</v>
      </c>
      <c r="Z890" s="6" t="s">
        <v>6973</v>
      </c>
      <c r="AA890" s="6" t="n">
        <v>11</v>
      </c>
      <c r="AB890" s="6" t="s">
        <v>6974</v>
      </c>
      <c r="AC890" s="6" t="n">
        <v>11</v>
      </c>
      <c r="AD890" s="6" t="s">
        <v>6975</v>
      </c>
      <c r="AE890" s="6" t="n">
        <v>7</v>
      </c>
      <c r="AF890" s="6" t="s">
        <v>6976</v>
      </c>
      <c r="AG890" s="6" t="n">
        <v>6</v>
      </c>
      <c r="AH890" s="6" t="s">
        <v>6977</v>
      </c>
      <c r="AI890" s="6" t="n">
        <v>5</v>
      </c>
      <c r="AJ890" s="6" t="s">
        <v>6978</v>
      </c>
      <c r="AK890" s="6" t="n">
        <v>3</v>
      </c>
      <c r="AL890" s="6" t="s">
        <v>6979</v>
      </c>
      <c r="AM890" s="6" t="n">
        <v>3</v>
      </c>
      <c r="AN890" s="6" t="s">
        <v>6980</v>
      </c>
      <c r="AO890" s="6" t="n">
        <v>2</v>
      </c>
      <c r="AP890" s="6" t="s">
        <v>6981</v>
      </c>
      <c r="AQ890" s="6" t="n">
        <v>2</v>
      </c>
      <c r="AR890" s="6" t="s">
        <v>6982</v>
      </c>
      <c r="AS890" s="6" t="n">
        <v>2</v>
      </c>
      <c r="AT890" s="6" t="s">
        <v>6983</v>
      </c>
      <c r="AU890" s="6" t="n">
        <v>2</v>
      </c>
      <c r="AV890" s="6" t="s">
        <v>6984</v>
      </c>
      <c r="AW890" s="6" t="n">
        <v>1</v>
      </c>
      <c r="AX890" s="6" t="s">
        <v>6985</v>
      </c>
      <c r="AY890" s="6" t="n">
        <v>1</v>
      </c>
      <c r="AZ890" s="6" t="s">
        <v>6986</v>
      </c>
      <c r="BA890" s="6" t="n">
        <v>1</v>
      </c>
      <c r="BB890" s="6" t="s">
        <v>6987</v>
      </c>
      <c r="BC890" s="6" t="n">
        <v>1</v>
      </c>
      <c r="BD890" s="6" t="s">
        <v>6988</v>
      </c>
      <c r="BE890" s="6" t="n">
        <v>1</v>
      </c>
      <c r="BF890" s="6" t="s">
        <v>6989</v>
      </c>
      <c r="BG890" s="6" t="n">
        <v>1</v>
      </c>
      <c r="BH890" s="6" t="s">
        <v>6990</v>
      </c>
      <c r="BI890" s="6" t="n">
        <v>1</v>
      </c>
      <c r="BJ890" s="6" t="s">
        <v>6991</v>
      </c>
      <c r="BK890" s="6" t="n">
        <v>1</v>
      </c>
      <c r="BL890" s="6" t="s">
        <v>6992</v>
      </c>
      <c r="BM890" s="6" t="n">
        <v>1</v>
      </c>
      <c r="BN890" s="6" t="s">
        <v>6993</v>
      </c>
      <c r="BO890" s="6" t="n">
        <v>0</v>
      </c>
      <c r="BP890" s="6" t="s">
        <v>6994</v>
      </c>
      <c r="BQ890" s="6" t="n">
        <v>0</v>
      </c>
      <c r="BR890" s="6" t="s">
        <v>6995</v>
      </c>
      <c r="BS890" s="6" t="n">
        <v>0</v>
      </c>
      <c r="BT890" s="6" t="s">
        <v>6996</v>
      </c>
      <c r="BU890" s="6" t="n">
        <v>0</v>
      </c>
      <c r="BV890" s="6" t="s">
        <v>6997</v>
      </c>
      <c r="BW890" s="6" t="n">
        <v>0</v>
      </c>
      <c r="BX890" s="6" t="s">
        <v>6998</v>
      </c>
      <c r="BY890" s="6" t="n">
        <v>0</v>
      </c>
      <c r="BZ890" s="6" t="s">
        <v>6999</v>
      </c>
      <c r="CA890" s="6" t="n">
        <v>0</v>
      </c>
      <c r="CB890" s="6" t="s">
        <v>7000</v>
      </c>
      <c r="CC890" s="6" t="n">
        <v>0</v>
      </c>
      <c r="CD890" s="6" t="s">
        <v>7001</v>
      </c>
      <c r="CE890" s="6" t="n">
        <v>0</v>
      </c>
    </row>
    <row r="891" customFormat="false" ht="12.8" hidden="false" customHeight="false" outlineLevel="0" collapsed="false">
      <c r="A891" s="6" t="s">
        <v>7002</v>
      </c>
      <c r="B891" s="6" t="n">
        <v>311</v>
      </c>
      <c r="C891" s="6" t="n">
        <v>159</v>
      </c>
      <c r="D891" s="12" t="n">
        <f aca="false">C891/(B891+C891)*100</f>
        <v>33.8297872340426</v>
      </c>
      <c r="E891" s="6" t="n">
        <v>6</v>
      </c>
      <c r="F891" s="6" t="s">
        <v>7003</v>
      </c>
      <c r="G891" s="6" t="n">
        <v>97</v>
      </c>
      <c r="H891" s="6" t="s">
        <v>7004</v>
      </c>
      <c r="I891" s="6" t="n">
        <v>33</v>
      </c>
      <c r="J891" s="6" t="s">
        <v>7005</v>
      </c>
      <c r="K891" s="6" t="n">
        <v>19</v>
      </c>
      <c r="L891" s="6" t="s">
        <v>7006</v>
      </c>
      <c r="M891" s="6" t="n">
        <v>5</v>
      </c>
      <c r="N891" s="6" t="s">
        <v>7007</v>
      </c>
      <c r="O891" s="6" t="n">
        <v>4</v>
      </c>
      <c r="P891" s="6" t="s">
        <v>7008</v>
      </c>
      <c r="Q891" s="6" t="n">
        <v>1</v>
      </c>
    </row>
    <row r="892" customFormat="false" ht="12.8" hidden="false" customHeight="false" outlineLevel="0" collapsed="false">
      <c r="A892" s="6" t="s">
        <v>7009</v>
      </c>
      <c r="B892" s="6" t="n">
        <v>311</v>
      </c>
      <c r="C892" s="6" t="n">
        <v>59</v>
      </c>
      <c r="D892" s="12" t="n">
        <f aca="false">C892/(B892+C892)*100</f>
        <v>15.9459459459459</v>
      </c>
      <c r="E892" s="6" t="n">
        <v>6</v>
      </c>
      <c r="F892" s="6" t="s">
        <v>7010</v>
      </c>
      <c r="G892" s="6" t="n">
        <v>33</v>
      </c>
      <c r="H892" s="6" t="s">
        <v>7011</v>
      </c>
      <c r="I892" s="6" t="n">
        <v>16</v>
      </c>
      <c r="J892" s="6" t="s">
        <v>7012</v>
      </c>
      <c r="K892" s="6" t="n">
        <v>5</v>
      </c>
      <c r="L892" s="6" t="s">
        <v>7013</v>
      </c>
      <c r="M892" s="6" t="n">
        <v>2</v>
      </c>
      <c r="N892" s="6" t="s">
        <v>7014</v>
      </c>
      <c r="O892" s="6" t="n">
        <v>2</v>
      </c>
      <c r="P892" s="6" t="s">
        <v>7015</v>
      </c>
      <c r="Q892" s="6" t="n">
        <v>1</v>
      </c>
    </row>
    <row r="893" customFormat="false" ht="12.8" hidden="false" customHeight="false" outlineLevel="0" collapsed="false">
      <c r="A893" s="6" t="s">
        <v>7016</v>
      </c>
      <c r="B893" s="6" t="n">
        <v>312</v>
      </c>
      <c r="C893" s="6" t="n">
        <v>252</v>
      </c>
      <c r="D893" s="12" t="n">
        <f aca="false">C893/(B893+C893)*100</f>
        <v>44.6808510638298</v>
      </c>
      <c r="E893" s="6" t="n">
        <v>17</v>
      </c>
      <c r="F893" s="6" t="s">
        <v>7017</v>
      </c>
      <c r="G893" s="6" t="n">
        <v>202</v>
      </c>
      <c r="H893" s="6" t="s">
        <v>7018</v>
      </c>
      <c r="I893" s="6" t="n">
        <v>33</v>
      </c>
      <c r="J893" s="6" t="s">
        <v>7019</v>
      </c>
      <c r="K893" s="6" t="n">
        <v>3</v>
      </c>
      <c r="L893" s="6" t="s">
        <v>7020</v>
      </c>
      <c r="M893" s="6" t="n">
        <v>3</v>
      </c>
      <c r="N893" s="6" t="s">
        <v>7021</v>
      </c>
      <c r="O893" s="6" t="n">
        <v>2</v>
      </c>
      <c r="P893" s="6" t="s">
        <v>7022</v>
      </c>
      <c r="Q893" s="6" t="n">
        <v>2</v>
      </c>
      <c r="R893" s="6" t="s">
        <v>7023</v>
      </c>
      <c r="S893" s="6" t="n">
        <v>2</v>
      </c>
      <c r="T893" s="6" t="s">
        <v>7024</v>
      </c>
      <c r="U893" s="6" t="n">
        <v>1</v>
      </c>
      <c r="V893" s="6" t="s">
        <v>7025</v>
      </c>
      <c r="W893" s="6" t="n">
        <v>1</v>
      </c>
      <c r="X893" s="6" t="s">
        <v>7026</v>
      </c>
      <c r="Y893" s="6" t="n">
        <v>1</v>
      </c>
      <c r="Z893" s="6" t="s">
        <v>7027</v>
      </c>
      <c r="AA893" s="6" t="n">
        <v>1</v>
      </c>
      <c r="AB893" s="6" t="s">
        <v>7028</v>
      </c>
      <c r="AC893" s="6" t="n">
        <v>1</v>
      </c>
      <c r="AD893" s="6" t="s">
        <v>7029</v>
      </c>
      <c r="AE893" s="6" t="n">
        <v>0</v>
      </c>
      <c r="AF893" s="6" t="s">
        <v>7030</v>
      </c>
      <c r="AG893" s="6" t="n">
        <v>0</v>
      </c>
      <c r="AH893" s="6" t="s">
        <v>7031</v>
      </c>
      <c r="AI893" s="6" t="n">
        <v>0</v>
      </c>
      <c r="AJ893" s="6" t="s">
        <v>7032</v>
      </c>
      <c r="AK893" s="6" t="n">
        <v>0</v>
      </c>
      <c r="AL893" s="6" t="s">
        <v>7033</v>
      </c>
      <c r="AM893" s="6" t="n">
        <v>0</v>
      </c>
    </row>
    <row r="894" customFormat="false" ht="12.8" hidden="false" customHeight="false" outlineLevel="0" collapsed="false">
      <c r="A894" s="6" t="s">
        <v>7034</v>
      </c>
      <c r="B894" s="6" t="n">
        <v>314</v>
      </c>
      <c r="C894" s="6" t="n">
        <v>27</v>
      </c>
      <c r="D894" s="12" t="n">
        <f aca="false">C894/(B894+C894)*100</f>
        <v>7.91788856304985</v>
      </c>
      <c r="E894" s="6" t="n">
        <v>3</v>
      </c>
      <c r="F894" s="6" t="s">
        <v>7035</v>
      </c>
      <c r="G894" s="6" t="n">
        <v>22</v>
      </c>
      <c r="H894" s="6" t="s">
        <v>7036</v>
      </c>
      <c r="I894" s="6" t="n">
        <v>4</v>
      </c>
      <c r="J894" s="6" t="s">
        <v>7037</v>
      </c>
      <c r="K894" s="6" t="n">
        <v>1</v>
      </c>
    </row>
    <row r="895" customFormat="false" ht="12.8" hidden="false" customHeight="false" outlineLevel="0" collapsed="false">
      <c r="A895" s="6" t="s">
        <v>7038</v>
      </c>
      <c r="B895" s="6" t="n">
        <v>315</v>
      </c>
      <c r="C895" s="6" t="n">
        <v>8</v>
      </c>
      <c r="D895" s="12" t="n">
        <f aca="false">C895/(B895+C895)*100</f>
        <v>2.47678018575851</v>
      </c>
      <c r="E895" s="6" t="n">
        <v>6</v>
      </c>
      <c r="F895" s="6" t="s">
        <v>7039</v>
      </c>
      <c r="G895" s="6" t="n">
        <v>4</v>
      </c>
      <c r="H895" s="6" t="s">
        <v>7040</v>
      </c>
      <c r="I895" s="6" t="n">
        <v>1</v>
      </c>
      <c r="J895" s="6" t="s">
        <v>7041</v>
      </c>
      <c r="K895" s="6" t="n">
        <v>1</v>
      </c>
      <c r="L895" s="6" t="s">
        <v>7042</v>
      </c>
      <c r="M895" s="6" t="n">
        <v>1</v>
      </c>
      <c r="N895" s="6" t="s">
        <v>7043</v>
      </c>
      <c r="O895" s="6" t="n">
        <v>1</v>
      </c>
      <c r="P895" s="6" t="s">
        <v>7044</v>
      </c>
      <c r="Q895" s="6" t="n">
        <v>0</v>
      </c>
    </row>
    <row r="896" customFormat="false" ht="12.8" hidden="false" customHeight="false" outlineLevel="0" collapsed="false">
      <c r="A896" s="6" t="s">
        <v>7045</v>
      </c>
      <c r="B896" s="6" t="n">
        <v>319</v>
      </c>
      <c r="C896" s="6" t="n">
        <v>99</v>
      </c>
      <c r="D896" s="12" t="n">
        <f aca="false">C896/(B896+C896)*100</f>
        <v>23.6842105263158</v>
      </c>
      <c r="E896" s="6" t="n">
        <v>10</v>
      </c>
      <c r="F896" s="6" t="s">
        <v>7046</v>
      </c>
      <c r="G896" s="6" t="n">
        <v>49</v>
      </c>
      <c r="H896" s="6" t="s">
        <v>7047</v>
      </c>
      <c r="I896" s="6" t="n">
        <v>36</v>
      </c>
      <c r="J896" s="6" t="s">
        <v>7048</v>
      </c>
      <c r="K896" s="6" t="n">
        <v>8</v>
      </c>
      <c r="L896" s="6" t="s">
        <v>7049</v>
      </c>
      <c r="M896" s="6" t="n">
        <v>4</v>
      </c>
      <c r="N896" s="6" t="s">
        <v>7050</v>
      </c>
      <c r="O896" s="6" t="n">
        <v>2</v>
      </c>
      <c r="P896" s="6" t="s">
        <v>7051</v>
      </c>
      <c r="Q896" s="6" t="n">
        <v>0</v>
      </c>
      <c r="R896" s="6" t="s">
        <v>7052</v>
      </c>
      <c r="S896" s="6" t="n">
        <v>0</v>
      </c>
      <c r="T896" s="6" t="s">
        <v>7053</v>
      </c>
      <c r="U896" s="6" t="n">
        <v>0</v>
      </c>
      <c r="V896" s="6" t="s">
        <v>7054</v>
      </c>
      <c r="W896" s="6" t="n">
        <v>0</v>
      </c>
      <c r="X896" s="6" t="s">
        <v>7055</v>
      </c>
      <c r="Y896" s="6" t="n">
        <v>0</v>
      </c>
    </row>
    <row r="897" customFormat="false" ht="12.8" hidden="false" customHeight="false" outlineLevel="0" collapsed="false">
      <c r="A897" s="6" t="s">
        <v>7056</v>
      </c>
      <c r="B897" s="6" t="n">
        <v>320</v>
      </c>
      <c r="C897" s="6" t="n">
        <v>64</v>
      </c>
      <c r="D897" s="12" t="n">
        <f aca="false">C897/(B897+C897)*100</f>
        <v>16.6666666666667</v>
      </c>
      <c r="E897" s="6" t="n">
        <v>2</v>
      </c>
      <c r="F897" s="6" t="s">
        <v>7057</v>
      </c>
      <c r="G897" s="6" t="n">
        <v>63</v>
      </c>
      <c r="H897" s="6" t="s">
        <v>7058</v>
      </c>
      <c r="I897" s="6" t="n">
        <v>1</v>
      </c>
    </row>
    <row r="898" customFormat="false" ht="12.8" hidden="false" customHeight="false" outlineLevel="0" collapsed="false">
      <c r="A898" s="6" t="s">
        <v>7059</v>
      </c>
      <c r="B898" s="6" t="n">
        <v>321</v>
      </c>
      <c r="C898" s="6" t="n">
        <v>2234</v>
      </c>
      <c r="D898" s="12" t="n">
        <f aca="false">C898/(B898+C898)*100</f>
        <v>87.4363992172211</v>
      </c>
      <c r="E898" s="6" t="n">
        <v>39</v>
      </c>
      <c r="F898" s="6" t="s">
        <v>7060</v>
      </c>
      <c r="G898" s="6" t="n">
        <v>1078</v>
      </c>
      <c r="H898" s="6" t="s">
        <v>7061</v>
      </c>
      <c r="I898" s="6" t="n">
        <v>265</v>
      </c>
      <c r="J898" s="6" t="s">
        <v>7062</v>
      </c>
      <c r="K898" s="6" t="n">
        <v>250</v>
      </c>
      <c r="L898" s="6" t="s">
        <v>7063</v>
      </c>
      <c r="M898" s="6" t="n">
        <v>227</v>
      </c>
      <c r="N898" s="6" t="s">
        <v>7064</v>
      </c>
      <c r="O898" s="6" t="n">
        <v>108</v>
      </c>
      <c r="P898" s="6" t="s">
        <v>7065</v>
      </c>
      <c r="Q898" s="6" t="n">
        <v>59</v>
      </c>
      <c r="R898" s="6" t="s">
        <v>7066</v>
      </c>
      <c r="S898" s="6" t="n">
        <v>38</v>
      </c>
      <c r="T898" s="6" t="s">
        <v>7067</v>
      </c>
      <c r="U898" s="6" t="n">
        <v>35</v>
      </c>
      <c r="V898" s="6" t="s">
        <v>7068</v>
      </c>
      <c r="W898" s="6" t="n">
        <v>34</v>
      </c>
      <c r="X898" s="6" t="s">
        <v>7069</v>
      </c>
      <c r="Y898" s="6" t="n">
        <v>27</v>
      </c>
      <c r="Z898" s="6" t="s">
        <v>7070</v>
      </c>
      <c r="AA898" s="6" t="n">
        <v>18</v>
      </c>
      <c r="AB898" s="6" t="s">
        <v>7071</v>
      </c>
      <c r="AC898" s="6" t="n">
        <v>17</v>
      </c>
      <c r="AD898" s="6" t="s">
        <v>7072</v>
      </c>
      <c r="AE898" s="6" t="n">
        <v>15</v>
      </c>
      <c r="AF898" s="6" t="s">
        <v>7073</v>
      </c>
      <c r="AG898" s="6" t="n">
        <v>12</v>
      </c>
      <c r="AH898" s="6" t="s">
        <v>7074</v>
      </c>
      <c r="AI898" s="6" t="n">
        <v>9</v>
      </c>
      <c r="AJ898" s="6" t="s">
        <v>7075</v>
      </c>
      <c r="AK898" s="6" t="n">
        <v>8</v>
      </c>
      <c r="AL898" s="6" t="s">
        <v>7076</v>
      </c>
      <c r="AM898" s="6" t="n">
        <v>4</v>
      </c>
      <c r="AN898" s="6" t="s">
        <v>7077</v>
      </c>
      <c r="AO898" s="6" t="n">
        <v>4</v>
      </c>
      <c r="AP898" s="6" t="s">
        <v>7078</v>
      </c>
      <c r="AQ898" s="6" t="n">
        <v>4</v>
      </c>
      <c r="AR898" s="6" t="s">
        <v>7079</v>
      </c>
      <c r="AS898" s="6" t="n">
        <v>3</v>
      </c>
      <c r="AT898" s="6" t="s">
        <v>7080</v>
      </c>
      <c r="AU898" s="6" t="n">
        <v>3</v>
      </c>
      <c r="AV898" s="6" t="s">
        <v>7081</v>
      </c>
      <c r="AW898" s="6" t="n">
        <v>3</v>
      </c>
      <c r="AX898" s="6" t="s">
        <v>7082</v>
      </c>
      <c r="AY898" s="6" t="n">
        <v>2</v>
      </c>
      <c r="AZ898" s="6" t="s">
        <v>7083</v>
      </c>
      <c r="BA898" s="6" t="n">
        <v>2</v>
      </c>
      <c r="BB898" s="6" t="s">
        <v>7084</v>
      </c>
      <c r="BC898" s="6" t="n">
        <v>2</v>
      </c>
      <c r="BD898" s="6" t="s">
        <v>7085</v>
      </c>
      <c r="BE898" s="6" t="n">
        <v>2</v>
      </c>
      <c r="BF898" s="6" t="s">
        <v>7086</v>
      </c>
      <c r="BG898" s="6" t="n">
        <v>2</v>
      </c>
      <c r="BH898" s="6" t="s">
        <v>7087</v>
      </c>
      <c r="BI898" s="6" t="n">
        <v>1</v>
      </c>
      <c r="BJ898" s="6" t="s">
        <v>7088</v>
      </c>
      <c r="BK898" s="6" t="n">
        <v>1</v>
      </c>
      <c r="BL898" s="6" t="s">
        <v>7089</v>
      </c>
      <c r="BM898" s="6" t="n">
        <v>1</v>
      </c>
      <c r="BN898" s="6" t="s">
        <v>7090</v>
      </c>
      <c r="BO898" s="6" t="n">
        <v>0</v>
      </c>
      <c r="BP898" s="6" t="s">
        <v>7091</v>
      </c>
      <c r="BQ898" s="6" t="n">
        <v>0</v>
      </c>
      <c r="BR898" s="6" t="s">
        <v>7092</v>
      </c>
      <c r="BS898" s="6" t="n">
        <v>0</v>
      </c>
      <c r="BT898" s="6" t="s">
        <v>7093</v>
      </c>
      <c r="BU898" s="6" t="n">
        <v>0</v>
      </c>
      <c r="BV898" s="6" t="s">
        <v>7094</v>
      </c>
      <c r="BW898" s="6" t="n">
        <v>0</v>
      </c>
      <c r="BX898" s="6" t="s">
        <v>7095</v>
      </c>
      <c r="BY898" s="6" t="n">
        <v>0</v>
      </c>
      <c r="BZ898" s="6" t="s">
        <v>7096</v>
      </c>
      <c r="CA898" s="6" t="n">
        <v>0</v>
      </c>
      <c r="CB898" s="6" t="s">
        <v>7097</v>
      </c>
      <c r="CC898" s="6" t="n">
        <v>0</v>
      </c>
      <c r="CD898" s="6" t="s">
        <v>7098</v>
      </c>
      <c r="CE898" s="6" t="n">
        <v>0</v>
      </c>
    </row>
    <row r="899" customFormat="false" ht="12.8" hidden="false" customHeight="false" outlineLevel="0" collapsed="false">
      <c r="A899" s="6" t="s">
        <v>7099</v>
      </c>
      <c r="B899" s="6" t="n">
        <v>321</v>
      </c>
      <c r="C899" s="6" t="n">
        <v>1131</v>
      </c>
      <c r="D899" s="12" t="n">
        <f aca="false">C899/(B899+C899)*100</f>
        <v>77.8925619834711</v>
      </c>
      <c r="E899" s="6" t="n">
        <v>52</v>
      </c>
      <c r="F899" s="6" t="s">
        <v>7100</v>
      </c>
      <c r="G899" s="6" t="n">
        <v>329</v>
      </c>
      <c r="H899" s="6" t="s">
        <v>7101</v>
      </c>
      <c r="I899" s="6" t="n">
        <v>174</v>
      </c>
      <c r="J899" s="6" t="s">
        <v>7102</v>
      </c>
      <c r="K899" s="6" t="n">
        <v>171</v>
      </c>
      <c r="L899" s="6" t="s">
        <v>7103</v>
      </c>
      <c r="M899" s="6" t="n">
        <v>63</v>
      </c>
      <c r="N899" s="6" t="s">
        <v>7104</v>
      </c>
      <c r="O899" s="6" t="n">
        <v>60</v>
      </c>
      <c r="P899" s="6" t="s">
        <v>7105</v>
      </c>
      <c r="Q899" s="6" t="n">
        <v>44</v>
      </c>
      <c r="R899" s="6" t="s">
        <v>7106</v>
      </c>
      <c r="S899" s="6" t="n">
        <v>33</v>
      </c>
      <c r="T899" s="6" t="s">
        <v>7107</v>
      </c>
      <c r="U899" s="6" t="n">
        <v>31</v>
      </c>
      <c r="V899" s="6" t="s">
        <v>7108</v>
      </c>
      <c r="W899" s="6" t="n">
        <v>29</v>
      </c>
      <c r="X899" s="6" t="s">
        <v>7109</v>
      </c>
      <c r="Y899" s="6" t="n">
        <v>26</v>
      </c>
      <c r="Z899" s="6" t="s">
        <v>7110</v>
      </c>
      <c r="AA899" s="6" t="n">
        <v>22</v>
      </c>
      <c r="AB899" s="6" t="s">
        <v>7111</v>
      </c>
      <c r="AC899" s="6" t="n">
        <v>22</v>
      </c>
      <c r="AD899" s="6" t="s">
        <v>7112</v>
      </c>
      <c r="AE899" s="6" t="n">
        <v>22</v>
      </c>
      <c r="AF899" s="6" t="s">
        <v>7113</v>
      </c>
      <c r="AG899" s="6" t="n">
        <v>21</v>
      </c>
      <c r="AH899" s="6" t="s">
        <v>7114</v>
      </c>
      <c r="AI899" s="6" t="n">
        <v>18</v>
      </c>
      <c r="AJ899" s="6" t="s">
        <v>7115</v>
      </c>
      <c r="AK899" s="6" t="n">
        <v>12</v>
      </c>
      <c r="AL899" s="6" t="s">
        <v>7116</v>
      </c>
      <c r="AM899" s="6" t="n">
        <v>9</v>
      </c>
      <c r="AN899" s="6" t="s">
        <v>7117</v>
      </c>
      <c r="AO899" s="6" t="n">
        <v>4</v>
      </c>
      <c r="AP899" s="6" t="s">
        <v>7118</v>
      </c>
      <c r="AQ899" s="6" t="n">
        <v>4</v>
      </c>
      <c r="AR899" s="6" t="s">
        <v>7119</v>
      </c>
      <c r="AS899" s="6" t="n">
        <v>4</v>
      </c>
      <c r="AT899" s="6" t="s">
        <v>7120</v>
      </c>
      <c r="AU899" s="6" t="n">
        <v>3</v>
      </c>
      <c r="AV899" s="6" t="s">
        <v>7121</v>
      </c>
      <c r="AW899" s="6" t="n">
        <v>3</v>
      </c>
      <c r="AX899" s="6" t="s">
        <v>7122</v>
      </c>
      <c r="AY899" s="6" t="n">
        <v>3</v>
      </c>
      <c r="AZ899" s="6" t="s">
        <v>7123</v>
      </c>
      <c r="BA899" s="6" t="n">
        <v>3</v>
      </c>
      <c r="BB899" s="6" t="s">
        <v>7124</v>
      </c>
      <c r="BC899" s="6" t="n">
        <v>3</v>
      </c>
      <c r="BD899" s="6" t="s">
        <v>7125</v>
      </c>
      <c r="BE899" s="6" t="n">
        <v>3</v>
      </c>
      <c r="BF899" s="6" t="s">
        <v>7126</v>
      </c>
      <c r="BG899" s="6" t="n">
        <v>2</v>
      </c>
      <c r="BH899" s="6" t="s">
        <v>7127</v>
      </c>
      <c r="BI899" s="6" t="n">
        <v>2</v>
      </c>
      <c r="BJ899" s="6" t="s">
        <v>7128</v>
      </c>
      <c r="BK899" s="6" t="n">
        <v>1</v>
      </c>
      <c r="BL899" s="6" t="s">
        <v>7129</v>
      </c>
      <c r="BM899" s="6" t="n">
        <v>1</v>
      </c>
      <c r="BN899" s="6" t="s">
        <v>7130</v>
      </c>
      <c r="BO899" s="6" t="n">
        <v>1</v>
      </c>
      <c r="BP899" s="6" t="s">
        <v>7131</v>
      </c>
      <c r="BQ899" s="6" t="n">
        <v>1</v>
      </c>
      <c r="BR899" s="6" t="s">
        <v>7132</v>
      </c>
      <c r="BS899" s="6" t="n">
        <v>1</v>
      </c>
      <c r="BT899" s="6" t="s">
        <v>7133</v>
      </c>
      <c r="BU899" s="6" t="n">
        <v>1</v>
      </c>
      <c r="BV899" s="6" t="s">
        <v>7134</v>
      </c>
      <c r="BW899" s="6" t="n">
        <v>1</v>
      </c>
      <c r="BX899" s="6" t="s">
        <v>7135</v>
      </c>
      <c r="BY899" s="6" t="n">
        <v>1</v>
      </c>
      <c r="BZ899" s="6" t="s">
        <v>7136</v>
      </c>
      <c r="CA899" s="6" t="n">
        <v>1</v>
      </c>
      <c r="CB899" s="6" t="s">
        <v>7137</v>
      </c>
      <c r="CC899" s="6" t="n">
        <v>1</v>
      </c>
      <c r="CD899" s="6" t="s">
        <v>7138</v>
      </c>
      <c r="CE899" s="6" t="n">
        <v>1</v>
      </c>
      <c r="CF899" s="6" t="s">
        <v>7139</v>
      </c>
      <c r="CG899" s="6" t="n">
        <v>0</v>
      </c>
      <c r="CH899" s="6" t="s">
        <v>7140</v>
      </c>
      <c r="CI899" s="6" t="n">
        <v>0</v>
      </c>
      <c r="CJ899" s="6" t="s">
        <v>7141</v>
      </c>
      <c r="CK899" s="6" t="n">
        <v>0</v>
      </c>
      <c r="CL899" s="6" t="s">
        <v>7142</v>
      </c>
      <c r="CM899" s="6" t="n">
        <v>0</v>
      </c>
      <c r="CN899" s="6" t="s">
        <v>7143</v>
      </c>
      <c r="CO899" s="6" t="n">
        <v>0</v>
      </c>
      <c r="CP899" s="6" t="s">
        <v>7144</v>
      </c>
      <c r="CQ899" s="6" t="n">
        <v>0</v>
      </c>
      <c r="CR899" s="6" t="s">
        <v>7145</v>
      </c>
      <c r="CS899" s="6" t="n">
        <v>0</v>
      </c>
      <c r="CT899" s="6" t="s">
        <v>7146</v>
      </c>
      <c r="CU899" s="6" t="n">
        <v>0</v>
      </c>
      <c r="CV899" s="6" t="s">
        <v>7147</v>
      </c>
      <c r="CW899" s="6" t="n">
        <v>0</v>
      </c>
      <c r="CX899" s="6" t="s">
        <v>7148</v>
      </c>
      <c r="CY899" s="6" t="n">
        <v>0</v>
      </c>
      <c r="CZ899" s="6" t="s">
        <v>7149</v>
      </c>
      <c r="DA899" s="6" t="n">
        <v>0</v>
      </c>
      <c r="DB899" s="6" t="s">
        <v>7150</v>
      </c>
      <c r="DC899" s="6" t="n">
        <v>0</v>
      </c>
      <c r="DD899" s="6" t="s">
        <v>7151</v>
      </c>
      <c r="DE899" s="6" t="n">
        <v>0</v>
      </c>
    </row>
    <row r="900" customFormat="false" ht="12.8" hidden="false" customHeight="false" outlineLevel="0" collapsed="false">
      <c r="A900" s="6" t="s">
        <v>7152</v>
      </c>
      <c r="B900" s="6" t="n">
        <v>325</v>
      </c>
      <c r="C900" s="6" t="n">
        <v>3965</v>
      </c>
      <c r="D900" s="12" t="n">
        <f aca="false">C900/(B900+C900)*100</f>
        <v>92.4242424242424</v>
      </c>
      <c r="E900" s="6" t="n">
        <v>64</v>
      </c>
      <c r="F900" s="6" t="s">
        <v>7153</v>
      </c>
      <c r="G900" s="6" t="n">
        <v>504</v>
      </c>
      <c r="H900" s="6" t="s">
        <v>7154</v>
      </c>
      <c r="I900" s="6" t="n">
        <v>484</v>
      </c>
      <c r="J900" s="6" t="s">
        <v>7155</v>
      </c>
      <c r="K900" s="6" t="n">
        <v>439</v>
      </c>
      <c r="L900" s="6" t="s">
        <v>7156</v>
      </c>
      <c r="M900" s="6" t="n">
        <v>353</v>
      </c>
      <c r="N900" s="6" t="s">
        <v>7157</v>
      </c>
      <c r="O900" s="6" t="n">
        <v>311</v>
      </c>
      <c r="P900" s="6" t="s">
        <v>7158</v>
      </c>
      <c r="Q900" s="6" t="n">
        <v>305</v>
      </c>
      <c r="R900" s="6" t="s">
        <v>7159</v>
      </c>
      <c r="S900" s="6" t="n">
        <v>233</v>
      </c>
      <c r="T900" s="6" t="s">
        <v>7160</v>
      </c>
      <c r="U900" s="6" t="n">
        <v>199</v>
      </c>
      <c r="V900" s="6" t="s">
        <v>7161</v>
      </c>
      <c r="W900" s="6" t="n">
        <v>168</v>
      </c>
      <c r="X900" s="6" t="s">
        <v>7162</v>
      </c>
      <c r="Y900" s="6" t="n">
        <v>158</v>
      </c>
      <c r="Z900" s="6" t="s">
        <v>7163</v>
      </c>
      <c r="AA900" s="6" t="n">
        <v>92</v>
      </c>
      <c r="AB900" s="6" t="s">
        <v>7164</v>
      </c>
      <c r="AC900" s="6" t="n">
        <v>82</v>
      </c>
      <c r="AD900" s="6" t="s">
        <v>7165</v>
      </c>
      <c r="AE900" s="6" t="n">
        <v>81</v>
      </c>
      <c r="AF900" s="6" t="s">
        <v>7166</v>
      </c>
      <c r="AG900" s="6" t="n">
        <v>65</v>
      </c>
      <c r="AH900" s="6" t="s">
        <v>7167</v>
      </c>
      <c r="AI900" s="6" t="n">
        <v>55</v>
      </c>
      <c r="AJ900" s="6" t="s">
        <v>7168</v>
      </c>
      <c r="AK900" s="6" t="n">
        <v>53</v>
      </c>
      <c r="AL900" s="6" t="s">
        <v>7169</v>
      </c>
      <c r="AM900" s="6" t="n">
        <v>47</v>
      </c>
      <c r="AN900" s="6" t="s">
        <v>7170</v>
      </c>
      <c r="AO900" s="6" t="n">
        <v>41</v>
      </c>
      <c r="AP900" s="6" t="s">
        <v>7171</v>
      </c>
      <c r="AQ900" s="6" t="n">
        <v>38</v>
      </c>
      <c r="AR900" s="6" t="s">
        <v>7172</v>
      </c>
      <c r="AS900" s="6" t="n">
        <v>36</v>
      </c>
      <c r="AT900" s="6" t="s">
        <v>7173</v>
      </c>
      <c r="AU900" s="6" t="n">
        <v>33</v>
      </c>
      <c r="AV900" s="6" t="s">
        <v>7174</v>
      </c>
      <c r="AW900" s="6" t="n">
        <v>22</v>
      </c>
      <c r="AX900" s="6" t="s">
        <v>7175</v>
      </c>
      <c r="AY900" s="6" t="n">
        <v>21</v>
      </c>
      <c r="AZ900" s="6" t="s">
        <v>7176</v>
      </c>
      <c r="BA900" s="6" t="n">
        <v>18</v>
      </c>
      <c r="BB900" s="6" t="s">
        <v>7177</v>
      </c>
      <c r="BC900" s="6" t="n">
        <v>17</v>
      </c>
      <c r="BD900" s="6" t="s">
        <v>7178</v>
      </c>
      <c r="BE900" s="6" t="n">
        <v>16</v>
      </c>
      <c r="BF900" s="6" t="s">
        <v>7179</v>
      </c>
      <c r="BG900" s="6" t="n">
        <v>12</v>
      </c>
      <c r="BH900" s="6" t="s">
        <v>7180</v>
      </c>
      <c r="BI900" s="6" t="n">
        <v>8</v>
      </c>
      <c r="BJ900" s="6" t="s">
        <v>7181</v>
      </c>
      <c r="BK900" s="6" t="n">
        <v>8</v>
      </c>
      <c r="BL900" s="6" t="s">
        <v>7182</v>
      </c>
      <c r="BM900" s="6" t="n">
        <v>7</v>
      </c>
      <c r="BN900" s="6" t="s">
        <v>7183</v>
      </c>
      <c r="BO900" s="6" t="n">
        <v>7</v>
      </c>
      <c r="BP900" s="6" t="s">
        <v>7184</v>
      </c>
      <c r="BQ900" s="6" t="n">
        <v>5</v>
      </c>
      <c r="BR900" s="6" t="s">
        <v>7185</v>
      </c>
      <c r="BS900" s="6" t="n">
        <v>5</v>
      </c>
      <c r="BT900" s="6" t="s">
        <v>7186</v>
      </c>
      <c r="BU900" s="6" t="n">
        <v>5</v>
      </c>
      <c r="BV900" s="6" t="s">
        <v>7187</v>
      </c>
      <c r="BW900" s="6" t="n">
        <v>5</v>
      </c>
      <c r="BX900" s="6" t="s">
        <v>7188</v>
      </c>
      <c r="BY900" s="6" t="n">
        <v>4</v>
      </c>
      <c r="BZ900" s="6" t="s">
        <v>7189</v>
      </c>
      <c r="CA900" s="6" t="n">
        <v>3</v>
      </c>
      <c r="CB900" s="6" t="s">
        <v>7190</v>
      </c>
      <c r="CC900" s="6" t="n">
        <v>3</v>
      </c>
      <c r="CD900" s="6" t="s">
        <v>7191</v>
      </c>
      <c r="CE900" s="6" t="n">
        <v>3</v>
      </c>
      <c r="CF900" s="6" t="s">
        <v>7192</v>
      </c>
      <c r="CG900" s="6" t="n">
        <v>3</v>
      </c>
      <c r="CH900" s="6" t="s">
        <v>7193</v>
      </c>
      <c r="CI900" s="6" t="n">
        <v>2</v>
      </c>
      <c r="CJ900" s="6" t="s">
        <v>7194</v>
      </c>
      <c r="CK900" s="6" t="n">
        <v>2</v>
      </c>
      <c r="CL900" s="6" t="s">
        <v>7195</v>
      </c>
      <c r="CM900" s="6" t="n">
        <v>2</v>
      </c>
      <c r="CN900" s="6" t="s">
        <v>7196</v>
      </c>
      <c r="CO900" s="6" t="n">
        <v>2</v>
      </c>
      <c r="CP900" s="6" t="s">
        <v>7197</v>
      </c>
      <c r="CQ900" s="6" t="n">
        <v>2</v>
      </c>
      <c r="CR900" s="6" t="s">
        <v>7198</v>
      </c>
      <c r="CS900" s="6" t="n">
        <v>1</v>
      </c>
      <c r="CT900" s="6" t="s">
        <v>7199</v>
      </c>
      <c r="CU900" s="6" t="n">
        <v>1</v>
      </c>
      <c r="CV900" s="6" t="s">
        <v>7200</v>
      </c>
      <c r="CW900" s="6" t="n">
        <v>1</v>
      </c>
      <c r="CX900" s="6" t="s">
        <v>7201</v>
      </c>
      <c r="CY900" s="6" t="n">
        <v>1</v>
      </c>
      <c r="CZ900" s="6" t="s">
        <v>7202</v>
      </c>
      <c r="DA900" s="6" t="n">
        <v>1</v>
      </c>
      <c r="DB900" s="6" t="s">
        <v>7203</v>
      </c>
      <c r="DC900" s="6" t="n">
        <v>1</v>
      </c>
      <c r="DD900" s="6" t="s">
        <v>7204</v>
      </c>
      <c r="DE900" s="6" t="n">
        <v>0</v>
      </c>
      <c r="DF900" s="6" t="s">
        <v>7205</v>
      </c>
      <c r="DG900" s="6" t="n">
        <v>0</v>
      </c>
      <c r="DH900" s="6" t="s">
        <v>7206</v>
      </c>
      <c r="DI900" s="6" t="n">
        <v>0</v>
      </c>
      <c r="DJ900" s="6" t="s">
        <v>7207</v>
      </c>
      <c r="DK900" s="6" t="n">
        <v>0</v>
      </c>
      <c r="DL900" s="6" t="s">
        <v>7208</v>
      </c>
      <c r="DM900" s="6" t="n">
        <v>0</v>
      </c>
      <c r="DN900" s="6" t="s">
        <v>7209</v>
      </c>
      <c r="DO900" s="6" t="n">
        <v>0</v>
      </c>
      <c r="DP900" s="6" t="s">
        <v>7210</v>
      </c>
      <c r="DQ900" s="6" t="n">
        <v>0</v>
      </c>
      <c r="DR900" s="6" t="s">
        <v>7211</v>
      </c>
      <c r="DS900" s="6" t="n">
        <v>0</v>
      </c>
      <c r="DT900" s="6" t="s">
        <v>7212</v>
      </c>
      <c r="DU900" s="6" t="n">
        <v>0</v>
      </c>
      <c r="DV900" s="6" t="s">
        <v>7213</v>
      </c>
      <c r="DW900" s="6" t="n">
        <v>0</v>
      </c>
      <c r="DX900" s="6" t="s">
        <v>7214</v>
      </c>
      <c r="DY900" s="6" t="n">
        <v>0</v>
      </c>
      <c r="DZ900" s="6" t="s">
        <v>7215</v>
      </c>
      <c r="EA900" s="6" t="n">
        <v>0</v>
      </c>
      <c r="EB900" s="6" t="s">
        <v>7216</v>
      </c>
      <c r="EC900" s="6" t="n">
        <v>0</v>
      </c>
    </row>
    <row r="901" customFormat="false" ht="12.8" hidden="false" customHeight="false" outlineLevel="0" collapsed="false">
      <c r="A901" s="6" t="s">
        <v>7217</v>
      </c>
      <c r="B901" s="6" t="n">
        <v>325</v>
      </c>
      <c r="C901" s="6" t="n">
        <v>16</v>
      </c>
      <c r="D901" s="12" t="n">
        <f aca="false">C901/(B901+C901)*100</f>
        <v>4.69208211143695</v>
      </c>
      <c r="E901" s="6" t="n">
        <v>4</v>
      </c>
      <c r="F901" s="6" t="s">
        <v>7218</v>
      </c>
      <c r="G901" s="6" t="n">
        <v>14</v>
      </c>
      <c r="H901" s="6" t="s">
        <v>7219</v>
      </c>
      <c r="I901" s="6" t="n">
        <v>2</v>
      </c>
      <c r="J901" s="6" t="s">
        <v>7220</v>
      </c>
      <c r="K901" s="6" t="n">
        <v>0</v>
      </c>
      <c r="L901" s="6" t="s">
        <v>7221</v>
      </c>
      <c r="M901" s="6" t="n">
        <v>0</v>
      </c>
    </row>
    <row r="902" customFormat="false" ht="12.8" hidden="false" customHeight="false" outlineLevel="0" collapsed="false">
      <c r="A902" s="6" t="s">
        <v>7222</v>
      </c>
      <c r="B902" s="6" t="n">
        <v>326</v>
      </c>
      <c r="C902" s="6" t="n">
        <v>65</v>
      </c>
      <c r="D902" s="12" t="n">
        <f aca="false">C902/(B902+C902)*100</f>
        <v>16.6240409207161</v>
      </c>
      <c r="E902" s="6" t="n">
        <v>15</v>
      </c>
      <c r="F902" s="6" t="s">
        <v>7223</v>
      </c>
      <c r="G902" s="6" t="n">
        <v>45</v>
      </c>
      <c r="H902" s="6" t="s">
        <v>7224</v>
      </c>
      <c r="I902" s="6" t="n">
        <v>9</v>
      </c>
      <c r="J902" s="6" t="s">
        <v>7225</v>
      </c>
      <c r="K902" s="6" t="n">
        <v>4</v>
      </c>
      <c r="L902" s="6" t="s">
        <v>7226</v>
      </c>
      <c r="M902" s="6" t="n">
        <v>2</v>
      </c>
      <c r="N902" s="6" t="s">
        <v>7227</v>
      </c>
      <c r="O902" s="6" t="n">
        <v>1</v>
      </c>
      <c r="P902" s="6" t="s">
        <v>7228</v>
      </c>
      <c r="Q902" s="6" t="n">
        <v>1</v>
      </c>
      <c r="R902" s="6" t="s">
        <v>7229</v>
      </c>
      <c r="S902" s="6" t="n">
        <v>1</v>
      </c>
      <c r="T902" s="6" t="s">
        <v>7230</v>
      </c>
      <c r="U902" s="6" t="n">
        <v>1</v>
      </c>
      <c r="V902" s="6" t="s">
        <v>7231</v>
      </c>
      <c r="W902" s="6" t="n">
        <v>1</v>
      </c>
      <c r="X902" s="6" t="s">
        <v>7232</v>
      </c>
      <c r="Y902" s="6" t="n">
        <v>0</v>
      </c>
      <c r="Z902" s="6" t="s">
        <v>7233</v>
      </c>
      <c r="AA902" s="6" t="n">
        <v>0</v>
      </c>
      <c r="AB902" s="6" t="s">
        <v>7234</v>
      </c>
      <c r="AC902" s="6" t="n">
        <v>0</v>
      </c>
      <c r="AD902" s="6" t="s">
        <v>7235</v>
      </c>
      <c r="AE902" s="6" t="n">
        <v>0</v>
      </c>
      <c r="AF902" s="6" t="s">
        <v>7236</v>
      </c>
      <c r="AG902" s="6" t="n">
        <v>0</v>
      </c>
      <c r="AH902" s="6" t="s">
        <v>7237</v>
      </c>
      <c r="AI902" s="6" t="n">
        <v>0</v>
      </c>
    </row>
    <row r="903" customFormat="false" ht="12.8" hidden="false" customHeight="false" outlineLevel="0" collapsed="false">
      <c r="A903" s="6" t="s">
        <v>7238</v>
      </c>
      <c r="B903" s="6" t="n">
        <v>329</v>
      </c>
      <c r="C903" s="6" t="n">
        <v>50</v>
      </c>
      <c r="D903" s="12" t="n">
        <f aca="false">C903/(B903+C903)*100</f>
        <v>13.1926121372032</v>
      </c>
      <c r="E903" s="6" t="n">
        <v>5</v>
      </c>
      <c r="F903" s="6" t="s">
        <v>7239</v>
      </c>
      <c r="G903" s="6" t="n">
        <v>47</v>
      </c>
      <c r="H903" s="6" t="s">
        <v>7240</v>
      </c>
      <c r="I903" s="6" t="n">
        <v>2</v>
      </c>
      <c r="J903" s="6" t="s">
        <v>7241</v>
      </c>
      <c r="K903" s="6" t="n">
        <v>1</v>
      </c>
      <c r="L903" s="6" t="s">
        <v>7242</v>
      </c>
      <c r="M903" s="6" t="n">
        <v>0</v>
      </c>
      <c r="N903" s="6" t="s">
        <v>7243</v>
      </c>
      <c r="O903" s="6" t="n">
        <v>0</v>
      </c>
    </row>
    <row r="904" customFormat="false" ht="12.8" hidden="false" customHeight="false" outlineLevel="0" collapsed="false">
      <c r="A904" s="6" t="s">
        <v>7244</v>
      </c>
      <c r="B904" s="6" t="n">
        <v>331</v>
      </c>
      <c r="C904" s="6" t="n">
        <v>188</v>
      </c>
      <c r="D904" s="12" t="n">
        <f aca="false">C904/(B904+C904)*100</f>
        <v>36.223506743738</v>
      </c>
      <c r="E904" s="6" t="n">
        <v>5</v>
      </c>
      <c r="F904" s="6" t="s">
        <v>7245</v>
      </c>
      <c r="G904" s="6" t="n">
        <v>149</v>
      </c>
      <c r="H904" s="6" t="s">
        <v>7246</v>
      </c>
      <c r="I904" s="6" t="n">
        <v>31</v>
      </c>
      <c r="J904" s="6" t="s">
        <v>7247</v>
      </c>
      <c r="K904" s="6" t="n">
        <v>6</v>
      </c>
      <c r="L904" s="6" t="s">
        <v>7248</v>
      </c>
      <c r="M904" s="6" t="n">
        <v>1</v>
      </c>
      <c r="N904" s="6" t="s">
        <v>7249</v>
      </c>
      <c r="O904" s="6" t="n">
        <v>1</v>
      </c>
    </row>
    <row r="905" customFormat="false" ht="12.8" hidden="false" customHeight="false" outlineLevel="0" collapsed="false">
      <c r="A905" s="6" t="s">
        <v>7250</v>
      </c>
      <c r="B905" s="6" t="n">
        <v>332</v>
      </c>
      <c r="C905" s="6" t="n">
        <v>12</v>
      </c>
      <c r="D905" s="12" t="n">
        <f aca="false">C905/(B905+C905)*100</f>
        <v>3.48837209302326</v>
      </c>
      <c r="E905" s="6" t="n">
        <v>2</v>
      </c>
      <c r="F905" s="6" t="s">
        <v>7251</v>
      </c>
      <c r="G905" s="6" t="n">
        <v>10</v>
      </c>
      <c r="H905" s="6" t="s">
        <v>7252</v>
      </c>
      <c r="I905" s="6" t="n">
        <v>2</v>
      </c>
    </row>
    <row r="906" customFormat="false" ht="12.8" hidden="false" customHeight="false" outlineLevel="0" collapsed="false">
      <c r="A906" s="6" t="s">
        <v>7253</v>
      </c>
      <c r="B906" s="6" t="n">
        <v>335</v>
      </c>
      <c r="C906" s="6" t="n">
        <v>28</v>
      </c>
      <c r="D906" s="12" t="n">
        <f aca="false">C906/(B906+C906)*100</f>
        <v>7.71349862258953</v>
      </c>
      <c r="E906" s="6" t="n">
        <v>4</v>
      </c>
      <c r="F906" s="6" t="s">
        <v>7254</v>
      </c>
      <c r="G906" s="6" t="n">
        <v>24</v>
      </c>
      <c r="H906" s="6" t="s">
        <v>7255</v>
      </c>
      <c r="I906" s="6" t="n">
        <v>3</v>
      </c>
      <c r="J906" s="6" t="s">
        <v>7256</v>
      </c>
      <c r="K906" s="6" t="n">
        <v>1</v>
      </c>
      <c r="L906" s="6" t="s">
        <v>7257</v>
      </c>
      <c r="M906" s="6" t="n">
        <v>0</v>
      </c>
    </row>
    <row r="907" customFormat="false" ht="12.8" hidden="false" customHeight="false" outlineLevel="0" collapsed="false">
      <c r="A907" s="6" t="s">
        <v>7258</v>
      </c>
      <c r="B907" s="6" t="n">
        <v>338</v>
      </c>
      <c r="C907" s="6" t="n">
        <v>14</v>
      </c>
      <c r="D907" s="12" t="n">
        <f aca="false">C907/(B907+C907)*100</f>
        <v>3.97727272727273</v>
      </c>
      <c r="E907" s="6" t="n">
        <v>5</v>
      </c>
      <c r="F907" s="6" t="s">
        <v>7259</v>
      </c>
      <c r="G907" s="6" t="n">
        <v>6</v>
      </c>
      <c r="H907" s="6" t="s">
        <v>7260</v>
      </c>
      <c r="I907" s="6" t="n">
        <v>4</v>
      </c>
      <c r="J907" s="6" t="s">
        <v>7261</v>
      </c>
      <c r="K907" s="6" t="n">
        <v>2</v>
      </c>
      <c r="L907" s="6" t="s">
        <v>7262</v>
      </c>
      <c r="M907" s="6" t="n">
        <v>1</v>
      </c>
      <c r="N907" s="6" t="s">
        <v>7263</v>
      </c>
      <c r="O907" s="6" t="n">
        <v>1</v>
      </c>
    </row>
    <row r="908" customFormat="false" ht="12.8" hidden="false" customHeight="false" outlineLevel="0" collapsed="false">
      <c r="A908" s="6" t="s">
        <v>7264</v>
      </c>
      <c r="B908" s="6" t="n">
        <v>341</v>
      </c>
      <c r="C908" s="6" t="n">
        <v>46</v>
      </c>
      <c r="D908" s="12" t="n">
        <f aca="false">C908/(B908+C908)*100</f>
        <v>11.8863049095607</v>
      </c>
      <c r="E908" s="6" t="n">
        <v>5</v>
      </c>
      <c r="F908" s="6" t="s">
        <v>7265</v>
      </c>
      <c r="G908" s="6" t="n">
        <v>35</v>
      </c>
      <c r="H908" s="6" t="s">
        <v>7266</v>
      </c>
      <c r="I908" s="6" t="n">
        <v>8</v>
      </c>
      <c r="J908" s="6" t="s">
        <v>7267</v>
      </c>
      <c r="K908" s="6" t="n">
        <v>1</v>
      </c>
      <c r="L908" s="6" t="s">
        <v>7268</v>
      </c>
      <c r="M908" s="6" t="n">
        <v>1</v>
      </c>
      <c r="N908" s="6" t="s">
        <v>7269</v>
      </c>
      <c r="O908" s="6" t="n">
        <v>1</v>
      </c>
    </row>
    <row r="909" customFormat="false" ht="12.8" hidden="false" customHeight="false" outlineLevel="0" collapsed="false">
      <c r="A909" s="6" t="s">
        <v>7270</v>
      </c>
      <c r="B909" s="6" t="n">
        <v>343</v>
      </c>
      <c r="C909" s="6" t="n">
        <v>507</v>
      </c>
      <c r="D909" s="12" t="n">
        <f aca="false">C909/(B909+C909)*100</f>
        <v>59.6470588235294</v>
      </c>
      <c r="E909" s="6" t="n">
        <v>16</v>
      </c>
      <c r="F909" s="6" t="s">
        <v>7271</v>
      </c>
      <c r="G909" s="6" t="n">
        <v>463</v>
      </c>
      <c r="H909" s="6" t="s">
        <v>7272</v>
      </c>
      <c r="I909" s="6" t="n">
        <v>22</v>
      </c>
      <c r="J909" s="6" t="s">
        <v>7273</v>
      </c>
      <c r="K909" s="6" t="n">
        <v>6</v>
      </c>
      <c r="L909" s="6" t="s">
        <v>7274</v>
      </c>
      <c r="M909" s="6" t="n">
        <v>4</v>
      </c>
      <c r="N909" s="6" t="s">
        <v>7275</v>
      </c>
      <c r="O909" s="6" t="n">
        <v>3</v>
      </c>
      <c r="P909" s="6" t="s">
        <v>7276</v>
      </c>
      <c r="Q909" s="6" t="n">
        <v>3</v>
      </c>
      <c r="R909" s="6" t="s">
        <v>7277</v>
      </c>
      <c r="S909" s="6" t="n">
        <v>2</v>
      </c>
      <c r="T909" s="6" t="s">
        <v>7278</v>
      </c>
      <c r="U909" s="6" t="n">
        <v>1</v>
      </c>
      <c r="V909" s="6" t="s">
        <v>7279</v>
      </c>
      <c r="W909" s="6" t="n">
        <v>1</v>
      </c>
      <c r="X909" s="6" t="s">
        <v>7280</v>
      </c>
      <c r="Y909" s="6" t="n">
        <v>1</v>
      </c>
      <c r="Z909" s="6" t="s">
        <v>7281</v>
      </c>
      <c r="AA909" s="6" t="n">
        <v>1</v>
      </c>
      <c r="AB909" s="6" t="s">
        <v>7282</v>
      </c>
      <c r="AC909" s="6" t="n">
        <v>0</v>
      </c>
      <c r="AD909" s="6" t="s">
        <v>7283</v>
      </c>
      <c r="AE909" s="6" t="n">
        <v>0</v>
      </c>
      <c r="AF909" s="6" t="s">
        <v>7284</v>
      </c>
      <c r="AG909" s="6" t="n">
        <v>0</v>
      </c>
      <c r="AH909" s="6" t="s">
        <v>7285</v>
      </c>
      <c r="AI909" s="6" t="n">
        <v>0</v>
      </c>
      <c r="AJ909" s="6" t="s">
        <v>7286</v>
      </c>
      <c r="AK909" s="6" t="n">
        <v>0</v>
      </c>
    </row>
    <row r="910" customFormat="false" ht="12.8" hidden="false" customHeight="false" outlineLevel="0" collapsed="false">
      <c r="A910" s="6" t="s">
        <v>7287</v>
      </c>
      <c r="B910" s="6" t="n">
        <v>345</v>
      </c>
      <c r="C910" s="6" t="n">
        <v>232</v>
      </c>
      <c r="D910" s="12" t="n">
        <f aca="false">C910/(B910+C910)*100</f>
        <v>40.207972270364</v>
      </c>
      <c r="E910" s="6" t="n">
        <v>5</v>
      </c>
      <c r="F910" s="6" t="s">
        <v>7288</v>
      </c>
      <c r="G910" s="6" t="n">
        <v>209</v>
      </c>
      <c r="H910" s="6" t="s">
        <v>7289</v>
      </c>
      <c r="I910" s="6" t="n">
        <v>12</v>
      </c>
      <c r="J910" s="6" t="s">
        <v>7290</v>
      </c>
      <c r="K910" s="6" t="n">
        <v>6</v>
      </c>
      <c r="L910" s="6" t="s">
        <v>7291</v>
      </c>
      <c r="M910" s="6" t="n">
        <v>4</v>
      </c>
      <c r="N910" s="6" t="s">
        <v>7292</v>
      </c>
      <c r="O910" s="6" t="n">
        <v>1</v>
      </c>
    </row>
    <row r="911" customFormat="false" ht="12.8" hidden="false" customHeight="false" outlineLevel="0" collapsed="false">
      <c r="A911" s="6" t="s">
        <v>7293</v>
      </c>
      <c r="B911" s="6" t="n">
        <v>346</v>
      </c>
      <c r="C911" s="6" t="n">
        <v>1</v>
      </c>
      <c r="D911" s="12" t="n">
        <f aca="false">C911/(B911+C911)*100</f>
        <v>0.288184438040346</v>
      </c>
      <c r="E911" s="6" t="n">
        <v>3</v>
      </c>
      <c r="F911" s="6" t="s">
        <v>7294</v>
      </c>
      <c r="G911" s="6" t="n">
        <v>1</v>
      </c>
      <c r="H911" s="6" t="s">
        <v>7295</v>
      </c>
      <c r="I911" s="6" t="n">
        <v>0</v>
      </c>
      <c r="J911" s="6" t="s">
        <v>7296</v>
      </c>
      <c r="K911" s="6" t="n">
        <v>0</v>
      </c>
    </row>
    <row r="912" customFormat="false" ht="12.8" hidden="false" customHeight="false" outlineLevel="0" collapsed="false">
      <c r="A912" s="6" t="s">
        <v>7297</v>
      </c>
      <c r="B912" s="6" t="n">
        <v>349</v>
      </c>
      <c r="C912" s="6" t="n">
        <v>225</v>
      </c>
      <c r="D912" s="12" t="n">
        <f aca="false">C912/(B912+C912)*100</f>
        <v>39.198606271777</v>
      </c>
      <c r="E912" s="6" t="n">
        <v>7</v>
      </c>
      <c r="F912" s="6" t="s">
        <v>7298</v>
      </c>
      <c r="G912" s="6" t="n">
        <v>121</v>
      </c>
      <c r="H912" s="6" t="s">
        <v>7299</v>
      </c>
      <c r="I912" s="6" t="n">
        <v>64</v>
      </c>
      <c r="J912" s="6" t="s">
        <v>7300</v>
      </c>
      <c r="K912" s="6" t="n">
        <v>16</v>
      </c>
      <c r="L912" s="6" t="s">
        <v>7301</v>
      </c>
      <c r="M912" s="6" t="n">
        <v>10</v>
      </c>
      <c r="N912" s="6" t="s">
        <v>7302</v>
      </c>
      <c r="O912" s="6" t="n">
        <v>7</v>
      </c>
      <c r="P912" s="6" t="s">
        <v>7303</v>
      </c>
      <c r="Q912" s="6" t="n">
        <v>4</v>
      </c>
      <c r="R912" s="6" t="s">
        <v>7304</v>
      </c>
      <c r="S912" s="6" t="n">
        <v>3</v>
      </c>
    </row>
    <row r="913" customFormat="false" ht="12.8" hidden="false" customHeight="false" outlineLevel="0" collapsed="false">
      <c r="A913" s="6" t="s">
        <v>7305</v>
      </c>
      <c r="B913" s="6" t="n">
        <v>350</v>
      </c>
      <c r="C913" s="6" t="n">
        <v>371</v>
      </c>
      <c r="D913" s="12" t="n">
        <f aca="false">C913/(B913+C913)*100</f>
        <v>51.4563106796116</v>
      </c>
      <c r="E913" s="6" t="n">
        <v>13</v>
      </c>
      <c r="F913" s="6" t="s">
        <v>7306</v>
      </c>
      <c r="G913" s="6" t="n">
        <v>348</v>
      </c>
      <c r="H913" s="6" t="s">
        <v>7307</v>
      </c>
      <c r="I913" s="6" t="n">
        <v>14</v>
      </c>
      <c r="J913" s="6" t="s">
        <v>7308</v>
      </c>
      <c r="K913" s="6" t="n">
        <v>3</v>
      </c>
      <c r="L913" s="6" t="s">
        <v>7309</v>
      </c>
      <c r="M913" s="6" t="n">
        <v>2</v>
      </c>
      <c r="N913" s="6" t="s">
        <v>7310</v>
      </c>
      <c r="O913" s="6" t="n">
        <v>2</v>
      </c>
      <c r="P913" s="6" t="s">
        <v>7311</v>
      </c>
      <c r="Q913" s="6" t="n">
        <v>1</v>
      </c>
      <c r="R913" s="6" t="s">
        <v>7312</v>
      </c>
      <c r="S913" s="6" t="n">
        <v>1</v>
      </c>
      <c r="T913" s="6" t="s">
        <v>7313</v>
      </c>
      <c r="U913" s="6" t="n">
        <v>0</v>
      </c>
      <c r="V913" s="6" t="s">
        <v>7314</v>
      </c>
      <c r="W913" s="6" t="n">
        <v>0</v>
      </c>
      <c r="X913" s="6" t="s">
        <v>7315</v>
      </c>
      <c r="Y913" s="6" t="n">
        <v>0</v>
      </c>
      <c r="Z913" s="6" t="s">
        <v>7316</v>
      </c>
      <c r="AA913" s="6" t="n">
        <v>0</v>
      </c>
      <c r="AB913" s="6" t="s">
        <v>7317</v>
      </c>
      <c r="AC913" s="6" t="n">
        <v>0</v>
      </c>
      <c r="AD913" s="6" t="s">
        <v>7318</v>
      </c>
      <c r="AE913" s="6" t="n">
        <v>0</v>
      </c>
    </row>
    <row r="914" customFormat="false" ht="12.8" hidden="false" customHeight="false" outlineLevel="0" collapsed="false">
      <c r="A914" s="6" t="s">
        <v>7319</v>
      </c>
      <c r="B914" s="6" t="n">
        <v>351</v>
      </c>
      <c r="C914" s="6" t="n">
        <v>7</v>
      </c>
      <c r="D914" s="12" t="n">
        <f aca="false">C914/(B914+C914)*100</f>
        <v>1.95530726256983</v>
      </c>
      <c r="E914" s="6" t="n">
        <v>3</v>
      </c>
      <c r="F914" s="6" t="s">
        <v>7320</v>
      </c>
      <c r="G914" s="6" t="n">
        <v>3</v>
      </c>
      <c r="H914" s="6" t="s">
        <v>7321</v>
      </c>
      <c r="I914" s="6" t="n">
        <v>2</v>
      </c>
      <c r="J914" s="6" t="s">
        <v>7322</v>
      </c>
      <c r="K914" s="6" t="n">
        <v>2</v>
      </c>
    </row>
    <row r="915" customFormat="false" ht="12.8" hidden="false" customHeight="false" outlineLevel="0" collapsed="false">
      <c r="A915" s="6" t="s">
        <v>7323</v>
      </c>
      <c r="B915" s="6" t="n">
        <v>353</v>
      </c>
      <c r="C915" s="6" t="n">
        <v>40</v>
      </c>
      <c r="D915" s="12" t="n">
        <f aca="false">C915/(B915+C915)*100</f>
        <v>10.1781170483461</v>
      </c>
      <c r="E915" s="6" t="n">
        <v>8</v>
      </c>
      <c r="F915" s="6" t="s">
        <v>7324</v>
      </c>
      <c r="G915" s="6" t="n">
        <v>18</v>
      </c>
      <c r="H915" s="6" t="s">
        <v>7325</v>
      </c>
      <c r="I915" s="6" t="n">
        <v>8</v>
      </c>
      <c r="J915" s="6" t="s">
        <v>7326</v>
      </c>
      <c r="K915" s="6" t="n">
        <v>5</v>
      </c>
      <c r="L915" s="6" t="s">
        <v>7327</v>
      </c>
      <c r="M915" s="6" t="n">
        <v>3</v>
      </c>
      <c r="N915" s="6" t="s">
        <v>7328</v>
      </c>
      <c r="O915" s="6" t="n">
        <v>3</v>
      </c>
      <c r="P915" s="6" t="s">
        <v>7329</v>
      </c>
      <c r="Q915" s="6" t="n">
        <v>2</v>
      </c>
      <c r="R915" s="6" t="s">
        <v>7330</v>
      </c>
      <c r="S915" s="6" t="n">
        <v>1</v>
      </c>
      <c r="T915" s="6" t="s">
        <v>7331</v>
      </c>
      <c r="U915" s="6" t="n">
        <v>0</v>
      </c>
    </row>
    <row r="916" customFormat="false" ht="12.8" hidden="false" customHeight="false" outlineLevel="0" collapsed="false">
      <c r="A916" s="6" t="s">
        <v>7332</v>
      </c>
      <c r="B916" s="6" t="n">
        <v>353</v>
      </c>
      <c r="C916" s="6" t="n">
        <v>2</v>
      </c>
      <c r="D916" s="12" t="n">
        <f aca="false">C916/(B916+C916)*100</f>
        <v>0.563380281690141</v>
      </c>
      <c r="E916" s="6" t="n">
        <v>6</v>
      </c>
      <c r="F916" s="6" t="s">
        <v>7333</v>
      </c>
      <c r="G916" s="6" t="n">
        <v>1</v>
      </c>
      <c r="H916" s="6" t="s">
        <v>7334</v>
      </c>
      <c r="I916" s="6" t="n">
        <v>1</v>
      </c>
      <c r="J916" s="6" t="s">
        <v>7335</v>
      </c>
      <c r="K916" s="6" t="n">
        <v>0</v>
      </c>
      <c r="L916" s="6" t="s">
        <v>7336</v>
      </c>
      <c r="M916" s="6" t="n">
        <v>0</v>
      </c>
      <c r="N916" s="6" t="s">
        <v>7337</v>
      </c>
      <c r="O916" s="6" t="n">
        <v>0</v>
      </c>
      <c r="P916" s="6" t="s">
        <v>7338</v>
      </c>
      <c r="Q916" s="6" t="n">
        <v>0</v>
      </c>
    </row>
    <row r="917" customFormat="false" ht="12.8" hidden="false" customHeight="false" outlineLevel="0" collapsed="false">
      <c r="A917" s="6" t="s">
        <v>7339</v>
      </c>
      <c r="B917" s="6" t="n">
        <v>355</v>
      </c>
      <c r="C917" s="6" t="n">
        <v>591</v>
      </c>
      <c r="D917" s="12" t="n">
        <f aca="false">C917/(B917+C917)*100</f>
        <v>62.4735729386892</v>
      </c>
      <c r="E917" s="6" t="n">
        <v>55</v>
      </c>
      <c r="F917" s="6" t="s">
        <v>7340</v>
      </c>
      <c r="G917" s="6" t="n">
        <v>92</v>
      </c>
      <c r="H917" s="6" t="s">
        <v>7340</v>
      </c>
      <c r="I917" s="6" t="n">
        <v>92</v>
      </c>
      <c r="J917" s="6" t="s">
        <v>7341</v>
      </c>
      <c r="K917" s="6" t="n">
        <v>34</v>
      </c>
      <c r="L917" s="6" t="s">
        <v>7342</v>
      </c>
      <c r="M917" s="6" t="n">
        <v>33</v>
      </c>
      <c r="N917" s="6" t="s">
        <v>7342</v>
      </c>
      <c r="O917" s="6" t="n">
        <v>33</v>
      </c>
      <c r="P917" s="6" t="s">
        <v>7343</v>
      </c>
      <c r="Q917" s="6" t="n">
        <v>28</v>
      </c>
      <c r="R917" s="6" t="s">
        <v>7343</v>
      </c>
      <c r="S917" s="6" t="n">
        <v>28</v>
      </c>
      <c r="T917" s="6" t="s">
        <v>7344</v>
      </c>
      <c r="U917" s="6" t="n">
        <v>23</v>
      </c>
      <c r="V917" s="6" t="s">
        <v>7345</v>
      </c>
      <c r="W917" s="6" t="n">
        <v>19</v>
      </c>
      <c r="X917" s="6" t="s">
        <v>7346</v>
      </c>
      <c r="Y917" s="6" t="n">
        <v>17</v>
      </c>
      <c r="Z917" s="6" t="s">
        <v>7346</v>
      </c>
      <c r="AA917" s="6" t="n">
        <v>17</v>
      </c>
      <c r="AB917" s="6" t="s">
        <v>7347</v>
      </c>
      <c r="AC917" s="6" t="n">
        <v>16</v>
      </c>
      <c r="AD917" s="6" t="s">
        <v>7347</v>
      </c>
      <c r="AE917" s="6" t="n">
        <v>16</v>
      </c>
      <c r="AF917" s="6" t="s">
        <v>7348</v>
      </c>
      <c r="AG917" s="6" t="n">
        <v>15</v>
      </c>
      <c r="AH917" s="6" t="s">
        <v>7348</v>
      </c>
      <c r="AI917" s="6" t="n">
        <v>15</v>
      </c>
      <c r="AJ917" s="6" t="s">
        <v>7349</v>
      </c>
      <c r="AK917" s="6" t="n">
        <v>14</v>
      </c>
      <c r="AL917" s="6" t="s">
        <v>7349</v>
      </c>
      <c r="AM917" s="6" t="n">
        <v>14</v>
      </c>
      <c r="AN917" s="6" t="s">
        <v>7350</v>
      </c>
      <c r="AO917" s="6" t="n">
        <v>13</v>
      </c>
      <c r="AP917" s="6" t="s">
        <v>7350</v>
      </c>
      <c r="AQ917" s="6" t="n">
        <v>13</v>
      </c>
      <c r="AR917" s="6" t="s">
        <v>7351</v>
      </c>
      <c r="AS917" s="6" t="n">
        <v>7</v>
      </c>
      <c r="AT917" s="6" t="s">
        <v>7351</v>
      </c>
      <c r="AU917" s="6" t="n">
        <v>7</v>
      </c>
      <c r="AV917" s="6" t="s">
        <v>7352</v>
      </c>
      <c r="AW917" s="6" t="n">
        <v>5</v>
      </c>
      <c r="AX917" s="6" t="s">
        <v>7353</v>
      </c>
      <c r="AY917" s="6" t="n">
        <v>4</v>
      </c>
      <c r="AZ917" s="6" t="s">
        <v>7354</v>
      </c>
      <c r="BA917" s="6" t="n">
        <v>4</v>
      </c>
      <c r="BB917" s="6" t="s">
        <v>7355</v>
      </c>
      <c r="BC917" s="6" t="n">
        <v>4</v>
      </c>
      <c r="BD917" s="6" t="s">
        <v>7356</v>
      </c>
      <c r="BE917" s="6" t="n">
        <v>4</v>
      </c>
      <c r="BF917" s="6" t="s">
        <v>7353</v>
      </c>
      <c r="BG917" s="6" t="n">
        <v>4</v>
      </c>
      <c r="BH917" s="6" t="s">
        <v>7354</v>
      </c>
      <c r="BI917" s="6" t="n">
        <v>4</v>
      </c>
      <c r="BJ917" s="6" t="s">
        <v>7357</v>
      </c>
      <c r="BK917" s="6" t="n">
        <v>2</v>
      </c>
      <c r="BL917" s="6" t="s">
        <v>7358</v>
      </c>
      <c r="BM917" s="6" t="n">
        <v>2</v>
      </c>
      <c r="BN917" s="6" t="s">
        <v>7357</v>
      </c>
      <c r="BO917" s="6" t="n">
        <v>2</v>
      </c>
      <c r="BP917" s="6" t="s">
        <v>7359</v>
      </c>
      <c r="BQ917" s="6" t="n">
        <v>2</v>
      </c>
      <c r="BR917" s="6" t="s">
        <v>7360</v>
      </c>
      <c r="BS917" s="6" t="n">
        <v>1</v>
      </c>
      <c r="BT917" s="6" t="s">
        <v>7361</v>
      </c>
      <c r="BU917" s="6" t="n">
        <v>1</v>
      </c>
      <c r="BV917" s="6" t="s">
        <v>7362</v>
      </c>
      <c r="BW917" s="6" t="n">
        <v>1</v>
      </c>
      <c r="BX917" s="6" t="s">
        <v>7363</v>
      </c>
      <c r="BY917" s="6" t="n">
        <v>1</v>
      </c>
      <c r="BZ917" s="6" t="s">
        <v>7364</v>
      </c>
      <c r="CA917" s="6" t="n">
        <v>1</v>
      </c>
      <c r="CB917" s="6" t="s">
        <v>7365</v>
      </c>
      <c r="CC917" s="6" t="n">
        <v>1</v>
      </c>
      <c r="CD917" s="6" t="s">
        <v>7363</v>
      </c>
      <c r="CE917" s="6" t="n">
        <v>1</v>
      </c>
      <c r="CF917" s="6" t="s">
        <v>7365</v>
      </c>
      <c r="CG917" s="6" t="n">
        <v>1</v>
      </c>
      <c r="CH917" s="6" t="s">
        <v>7366</v>
      </c>
      <c r="CI917" s="6" t="n">
        <v>0</v>
      </c>
      <c r="CJ917" s="6" t="s">
        <v>7367</v>
      </c>
      <c r="CK917" s="6" t="n">
        <v>0</v>
      </c>
      <c r="CL917" s="6" t="s">
        <v>7368</v>
      </c>
      <c r="CM917" s="6" t="n">
        <v>0</v>
      </c>
      <c r="CN917" s="6" t="s">
        <v>7369</v>
      </c>
      <c r="CO917" s="6" t="n">
        <v>0</v>
      </c>
      <c r="CP917" s="6" t="s">
        <v>7370</v>
      </c>
      <c r="CQ917" s="6" t="n">
        <v>0</v>
      </c>
      <c r="CR917" s="6" t="s">
        <v>7371</v>
      </c>
      <c r="CS917" s="6" t="n">
        <v>0</v>
      </c>
      <c r="CT917" s="6" t="s">
        <v>7372</v>
      </c>
      <c r="CU917" s="6" t="n">
        <v>0</v>
      </c>
      <c r="CV917" s="6" t="s">
        <v>7373</v>
      </c>
      <c r="CW917" s="6" t="n">
        <v>0</v>
      </c>
      <c r="CX917" s="6" t="s">
        <v>7374</v>
      </c>
      <c r="CY917" s="6" t="n">
        <v>0</v>
      </c>
      <c r="CZ917" s="6" t="s">
        <v>7375</v>
      </c>
      <c r="DA917" s="6" t="n">
        <v>0</v>
      </c>
      <c r="DB917" s="6" t="s">
        <v>7376</v>
      </c>
      <c r="DC917" s="6" t="n">
        <v>0</v>
      </c>
      <c r="DD917" s="6" t="s">
        <v>7377</v>
      </c>
      <c r="DE917" s="6" t="n">
        <v>0</v>
      </c>
      <c r="DF917" s="6" t="s">
        <v>7378</v>
      </c>
      <c r="DG917" s="6" t="n">
        <v>0</v>
      </c>
      <c r="DH917" s="6" t="s">
        <v>7379</v>
      </c>
      <c r="DI917" s="6" t="n">
        <v>0</v>
      </c>
      <c r="DJ917" s="6" t="s">
        <v>7380</v>
      </c>
      <c r="DK917" s="6" t="n">
        <v>0</v>
      </c>
    </row>
    <row r="918" customFormat="false" ht="12.8" hidden="false" customHeight="false" outlineLevel="0" collapsed="false">
      <c r="A918" s="6" t="s">
        <v>7381</v>
      </c>
      <c r="B918" s="6" t="n">
        <v>356</v>
      </c>
      <c r="C918" s="6" t="n">
        <v>27</v>
      </c>
      <c r="D918" s="12" t="n">
        <f aca="false">C918/(B918+C918)*100</f>
        <v>7.04960835509138</v>
      </c>
      <c r="E918" s="6" t="n">
        <v>6</v>
      </c>
      <c r="F918" s="6" t="s">
        <v>7382</v>
      </c>
      <c r="G918" s="6" t="n">
        <v>11</v>
      </c>
      <c r="H918" s="6" t="s">
        <v>7383</v>
      </c>
      <c r="I918" s="6" t="n">
        <v>10</v>
      </c>
      <c r="J918" s="6" t="s">
        <v>7384</v>
      </c>
      <c r="K918" s="6" t="n">
        <v>2</v>
      </c>
      <c r="L918" s="6" t="s">
        <v>7385</v>
      </c>
      <c r="M918" s="6" t="n">
        <v>2</v>
      </c>
      <c r="N918" s="6" t="s">
        <v>7386</v>
      </c>
      <c r="O918" s="6" t="n">
        <v>1</v>
      </c>
      <c r="P918" s="6" t="s">
        <v>7387</v>
      </c>
      <c r="Q918" s="6" t="n">
        <v>1</v>
      </c>
    </row>
    <row r="919" customFormat="false" ht="12.8" hidden="false" customHeight="false" outlineLevel="0" collapsed="false">
      <c r="A919" s="6" t="s">
        <v>7388</v>
      </c>
      <c r="B919" s="6" t="n">
        <v>356</v>
      </c>
      <c r="C919" s="6" t="n">
        <v>13</v>
      </c>
      <c r="D919" s="12" t="n">
        <f aca="false">C919/(B919+C919)*100</f>
        <v>3.5230352303523</v>
      </c>
      <c r="E919" s="6" t="n">
        <v>10</v>
      </c>
      <c r="F919" s="6" t="s">
        <v>7389</v>
      </c>
      <c r="G919" s="6" t="n">
        <v>5</v>
      </c>
      <c r="H919" s="6" t="s">
        <v>7390</v>
      </c>
      <c r="I919" s="6" t="n">
        <v>3</v>
      </c>
      <c r="J919" s="6" t="s">
        <v>7391</v>
      </c>
      <c r="K919" s="6" t="n">
        <v>2</v>
      </c>
      <c r="L919" s="6" t="s">
        <v>7392</v>
      </c>
      <c r="M919" s="6" t="n">
        <v>2</v>
      </c>
      <c r="N919" s="6" t="s">
        <v>7393</v>
      </c>
      <c r="O919" s="6" t="n">
        <v>1</v>
      </c>
      <c r="P919" s="6" t="s">
        <v>7394</v>
      </c>
      <c r="Q919" s="6" t="n">
        <v>0</v>
      </c>
      <c r="R919" s="6" t="s">
        <v>7395</v>
      </c>
      <c r="S919" s="6" t="n">
        <v>0</v>
      </c>
      <c r="T919" s="6" t="s">
        <v>7396</v>
      </c>
      <c r="U919" s="6" t="n">
        <v>0</v>
      </c>
      <c r="V919" s="6" t="s">
        <v>7397</v>
      </c>
      <c r="W919" s="6" t="n">
        <v>0</v>
      </c>
      <c r="X919" s="6" t="s">
        <v>7398</v>
      </c>
      <c r="Y919" s="6" t="n">
        <v>0</v>
      </c>
    </row>
    <row r="920" customFormat="false" ht="12.8" hidden="false" customHeight="false" outlineLevel="0" collapsed="false">
      <c r="A920" s="6" t="s">
        <v>7399</v>
      </c>
      <c r="B920" s="6" t="n">
        <v>358</v>
      </c>
      <c r="C920" s="6" t="n">
        <v>372</v>
      </c>
      <c r="D920" s="12" t="n">
        <f aca="false">C920/(B920+C920)*100</f>
        <v>50.958904109589</v>
      </c>
      <c r="E920" s="6" t="n">
        <v>12</v>
      </c>
      <c r="F920" s="6" t="s">
        <v>7400</v>
      </c>
      <c r="G920" s="6" t="n">
        <v>188</v>
      </c>
      <c r="H920" s="6" t="s">
        <v>7401</v>
      </c>
      <c r="I920" s="6" t="n">
        <v>65</v>
      </c>
      <c r="J920" s="6" t="s">
        <v>7402</v>
      </c>
      <c r="K920" s="6" t="n">
        <v>63</v>
      </c>
      <c r="L920" s="6" t="s">
        <v>7403</v>
      </c>
      <c r="M920" s="6" t="n">
        <v>33</v>
      </c>
      <c r="N920" s="6" t="s">
        <v>7404</v>
      </c>
      <c r="O920" s="6" t="n">
        <v>11</v>
      </c>
      <c r="P920" s="6" t="s">
        <v>7405</v>
      </c>
      <c r="Q920" s="6" t="n">
        <v>3</v>
      </c>
      <c r="R920" s="6" t="s">
        <v>7406</v>
      </c>
      <c r="S920" s="6" t="n">
        <v>2</v>
      </c>
      <c r="T920" s="6" t="s">
        <v>7407</v>
      </c>
      <c r="U920" s="6" t="n">
        <v>2</v>
      </c>
      <c r="V920" s="6" t="s">
        <v>7408</v>
      </c>
      <c r="W920" s="6" t="n">
        <v>2</v>
      </c>
      <c r="X920" s="6" t="s">
        <v>7409</v>
      </c>
      <c r="Y920" s="6" t="n">
        <v>2</v>
      </c>
      <c r="Z920" s="6" t="s">
        <v>7410</v>
      </c>
      <c r="AA920" s="6" t="n">
        <v>1</v>
      </c>
      <c r="AB920" s="6" t="s">
        <v>7411</v>
      </c>
      <c r="AC920" s="6" t="n">
        <v>0</v>
      </c>
    </row>
    <row r="921" customFormat="false" ht="12.8" hidden="false" customHeight="false" outlineLevel="0" collapsed="false">
      <c r="A921" s="6" t="s">
        <v>7412</v>
      </c>
      <c r="B921" s="6" t="n">
        <v>358</v>
      </c>
      <c r="C921" s="6" t="n">
        <v>204</v>
      </c>
      <c r="D921" s="12" t="n">
        <f aca="false">C921/(B921+C921)*100</f>
        <v>36.2989323843416</v>
      </c>
      <c r="E921" s="6" t="n">
        <v>7</v>
      </c>
      <c r="F921" s="6" t="s">
        <v>7413</v>
      </c>
      <c r="G921" s="6" t="n">
        <v>190</v>
      </c>
      <c r="H921" s="6" t="s">
        <v>7414</v>
      </c>
      <c r="I921" s="6" t="n">
        <v>7</v>
      </c>
      <c r="J921" s="6" t="s">
        <v>7415</v>
      </c>
      <c r="K921" s="6" t="n">
        <v>4</v>
      </c>
      <c r="L921" s="6" t="s">
        <v>7416</v>
      </c>
      <c r="M921" s="6" t="n">
        <v>3</v>
      </c>
      <c r="N921" s="6" t="s">
        <v>7417</v>
      </c>
      <c r="O921" s="6" t="n">
        <v>0</v>
      </c>
      <c r="P921" s="6" t="s">
        <v>7418</v>
      </c>
      <c r="Q921" s="6" t="n">
        <v>0</v>
      </c>
      <c r="R921" s="6" t="s">
        <v>7419</v>
      </c>
      <c r="S921" s="6" t="n">
        <v>0</v>
      </c>
    </row>
    <row r="922" customFormat="false" ht="12.8" hidden="false" customHeight="false" outlineLevel="0" collapsed="false">
      <c r="A922" s="6" t="s">
        <v>7420</v>
      </c>
      <c r="B922" s="6" t="n">
        <v>359</v>
      </c>
      <c r="C922" s="6" t="n">
        <v>0</v>
      </c>
      <c r="D922" s="12" t="n">
        <f aca="false">C922/(B922+C922)*100</f>
        <v>0</v>
      </c>
      <c r="E922" s="6" t="n">
        <v>5</v>
      </c>
      <c r="F922" s="6" t="s">
        <v>7421</v>
      </c>
      <c r="G922" s="6" t="n">
        <v>0</v>
      </c>
      <c r="H922" s="6" t="s">
        <v>7422</v>
      </c>
      <c r="I922" s="6" t="n">
        <v>0</v>
      </c>
      <c r="J922" s="6" t="s">
        <v>7423</v>
      </c>
      <c r="K922" s="6" t="n">
        <v>0</v>
      </c>
      <c r="L922" s="6" t="s">
        <v>7424</v>
      </c>
      <c r="M922" s="6" t="n">
        <v>0</v>
      </c>
      <c r="N922" s="6" t="s">
        <v>7425</v>
      </c>
      <c r="O922" s="6" t="n">
        <v>0</v>
      </c>
    </row>
    <row r="923" customFormat="false" ht="12.8" hidden="false" customHeight="false" outlineLevel="0" collapsed="false">
      <c r="A923" s="6" t="s">
        <v>7426</v>
      </c>
      <c r="B923" s="6" t="n">
        <v>362</v>
      </c>
      <c r="C923" s="6" t="n">
        <v>203</v>
      </c>
      <c r="D923" s="12" t="n">
        <f aca="false">C923/(B923+C923)*100</f>
        <v>35.929203539823</v>
      </c>
      <c r="E923" s="6" t="n">
        <v>9</v>
      </c>
      <c r="F923" s="6" t="s">
        <v>7427</v>
      </c>
      <c r="G923" s="6" t="n">
        <v>93</v>
      </c>
      <c r="H923" s="6" t="s">
        <v>7428</v>
      </c>
      <c r="I923" s="6" t="n">
        <v>59</v>
      </c>
      <c r="J923" s="6" t="s">
        <v>7429</v>
      </c>
      <c r="K923" s="6" t="n">
        <v>32</v>
      </c>
      <c r="L923" s="6" t="s">
        <v>7430</v>
      </c>
      <c r="M923" s="6" t="n">
        <v>6</v>
      </c>
      <c r="N923" s="6" t="s">
        <v>7431</v>
      </c>
      <c r="O923" s="6" t="n">
        <v>5</v>
      </c>
      <c r="P923" s="6" t="s">
        <v>7432</v>
      </c>
      <c r="Q923" s="6" t="n">
        <v>4</v>
      </c>
      <c r="R923" s="6" t="s">
        <v>7433</v>
      </c>
      <c r="S923" s="6" t="n">
        <v>2</v>
      </c>
      <c r="T923" s="6" t="s">
        <v>7434</v>
      </c>
      <c r="U923" s="6" t="n">
        <v>1</v>
      </c>
      <c r="V923" s="6" t="s">
        <v>7435</v>
      </c>
      <c r="W923" s="6" t="n">
        <v>1</v>
      </c>
    </row>
    <row r="924" customFormat="false" ht="12.8" hidden="false" customHeight="false" outlineLevel="0" collapsed="false">
      <c r="A924" s="6" t="s">
        <v>7436</v>
      </c>
      <c r="B924" s="6" t="n">
        <v>364</v>
      </c>
      <c r="C924" s="6" t="n">
        <v>792</v>
      </c>
      <c r="D924" s="12" t="n">
        <f aca="false">C924/(B924+C924)*100</f>
        <v>68.5121107266436</v>
      </c>
      <c r="E924" s="6" t="n">
        <v>19</v>
      </c>
      <c r="F924" s="6" t="s">
        <v>7437</v>
      </c>
      <c r="G924" s="6" t="n">
        <v>209</v>
      </c>
      <c r="H924" s="6" t="s">
        <v>7438</v>
      </c>
      <c r="I924" s="6" t="n">
        <v>197</v>
      </c>
      <c r="J924" s="6" t="s">
        <v>7439</v>
      </c>
      <c r="K924" s="6" t="n">
        <v>146</v>
      </c>
      <c r="L924" s="6" t="s">
        <v>7440</v>
      </c>
      <c r="M924" s="6" t="n">
        <v>49</v>
      </c>
      <c r="N924" s="6" t="s">
        <v>7441</v>
      </c>
      <c r="O924" s="6" t="n">
        <v>43</v>
      </c>
      <c r="P924" s="6" t="s">
        <v>7442</v>
      </c>
      <c r="Q924" s="6" t="n">
        <v>37</v>
      </c>
      <c r="R924" s="6" t="s">
        <v>7443</v>
      </c>
      <c r="S924" s="6" t="n">
        <v>35</v>
      </c>
      <c r="T924" s="6" t="s">
        <v>7444</v>
      </c>
      <c r="U924" s="6" t="n">
        <v>28</v>
      </c>
      <c r="V924" s="6" t="s">
        <v>7445</v>
      </c>
      <c r="W924" s="6" t="n">
        <v>17</v>
      </c>
      <c r="X924" s="6" t="s">
        <v>7446</v>
      </c>
      <c r="Y924" s="6" t="n">
        <v>11</v>
      </c>
      <c r="Z924" s="6" t="s">
        <v>7447</v>
      </c>
      <c r="AA924" s="6" t="n">
        <v>9</v>
      </c>
      <c r="AB924" s="6" t="s">
        <v>7448</v>
      </c>
      <c r="AC924" s="6" t="n">
        <v>6</v>
      </c>
      <c r="AD924" s="6" t="s">
        <v>7449</v>
      </c>
      <c r="AE924" s="6" t="n">
        <v>1</v>
      </c>
      <c r="AF924" s="6" t="s">
        <v>7450</v>
      </c>
      <c r="AG924" s="6" t="n">
        <v>1</v>
      </c>
      <c r="AH924" s="6" t="s">
        <v>7451</v>
      </c>
      <c r="AI924" s="6" t="n">
        <v>1</v>
      </c>
      <c r="AJ924" s="6" t="s">
        <v>7452</v>
      </c>
      <c r="AK924" s="6" t="n">
        <v>1</v>
      </c>
      <c r="AL924" s="6" t="s">
        <v>7453</v>
      </c>
      <c r="AM924" s="6" t="n">
        <v>1</v>
      </c>
      <c r="AN924" s="6" t="s">
        <v>7454</v>
      </c>
      <c r="AO924" s="6" t="n">
        <v>0</v>
      </c>
      <c r="AP924" s="6" t="s">
        <v>7455</v>
      </c>
      <c r="AQ924" s="6" t="n">
        <v>0</v>
      </c>
    </row>
    <row r="925" customFormat="false" ht="12.8" hidden="false" customHeight="false" outlineLevel="0" collapsed="false">
      <c r="A925" s="6" t="s">
        <v>7456</v>
      </c>
      <c r="B925" s="6" t="n">
        <v>369</v>
      </c>
      <c r="C925" s="6" t="n">
        <v>4</v>
      </c>
      <c r="D925" s="12" t="n">
        <f aca="false">C925/(B925+C925)*100</f>
        <v>1.07238605898123</v>
      </c>
      <c r="E925" s="6" t="n">
        <v>4</v>
      </c>
      <c r="F925" s="6" t="s">
        <v>7457</v>
      </c>
      <c r="G925" s="6" t="n">
        <v>3</v>
      </c>
      <c r="H925" s="6" t="s">
        <v>7458</v>
      </c>
      <c r="I925" s="6" t="n">
        <v>1</v>
      </c>
      <c r="J925" s="6" t="s">
        <v>7459</v>
      </c>
      <c r="K925" s="6" t="n">
        <v>0</v>
      </c>
      <c r="L925" s="6" t="s">
        <v>7460</v>
      </c>
      <c r="M925" s="6" t="n">
        <v>0</v>
      </c>
    </row>
    <row r="926" customFormat="false" ht="12.8" hidden="false" customHeight="false" outlineLevel="0" collapsed="false">
      <c r="A926" s="6" t="s">
        <v>7461</v>
      </c>
      <c r="B926" s="6" t="n">
        <v>371</v>
      </c>
      <c r="C926" s="6" t="n">
        <v>234</v>
      </c>
      <c r="D926" s="12" t="n">
        <f aca="false">C926/(B926+C926)*100</f>
        <v>38.6776859504132</v>
      </c>
      <c r="E926" s="6" t="n">
        <v>18</v>
      </c>
      <c r="F926" s="6" t="s">
        <v>7462</v>
      </c>
      <c r="G926" s="6" t="n">
        <v>71</v>
      </c>
      <c r="H926" s="6" t="s">
        <v>7463</v>
      </c>
      <c r="I926" s="6" t="n">
        <v>58</v>
      </c>
      <c r="J926" s="6" t="s">
        <v>7464</v>
      </c>
      <c r="K926" s="6" t="n">
        <v>58</v>
      </c>
      <c r="L926" s="6" t="s">
        <v>7465</v>
      </c>
      <c r="M926" s="6" t="n">
        <v>12</v>
      </c>
      <c r="N926" s="6" t="s">
        <v>7466</v>
      </c>
      <c r="O926" s="6" t="n">
        <v>6</v>
      </c>
      <c r="P926" s="6" t="s">
        <v>7467</v>
      </c>
      <c r="Q926" s="6" t="n">
        <v>6</v>
      </c>
      <c r="R926" s="6" t="s">
        <v>7468</v>
      </c>
      <c r="S926" s="6" t="n">
        <v>5</v>
      </c>
      <c r="T926" s="6" t="s">
        <v>7469</v>
      </c>
      <c r="U926" s="6" t="n">
        <v>3</v>
      </c>
      <c r="V926" s="6" t="s">
        <v>7470</v>
      </c>
      <c r="W926" s="6" t="n">
        <v>3</v>
      </c>
      <c r="X926" s="6" t="s">
        <v>7471</v>
      </c>
      <c r="Y926" s="6" t="n">
        <v>3</v>
      </c>
      <c r="Z926" s="6" t="s">
        <v>7472</v>
      </c>
      <c r="AA926" s="6" t="n">
        <v>2</v>
      </c>
      <c r="AB926" s="6" t="s">
        <v>7473</v>
      </c>
      <c r="AC926" s="6" t="n">
        <v>2</v>
      </c>
      <c r="AD926" s="6" t="s">
        <v>7474</v>
      </c>
      <c r="AE926" s="6" t="n">
        <v>1</v>
      </c>
      <c r="AF926" s="6" t="s">
        <v>7475</v>
      </c>
      <c r="AG926" s="6" t="n">
        <v>1</v>
      </c>
      <c r="AH926" s="6" t="s">
        <v>7476</v>
      </c>
      <c r="AI926" s="6" t="n">
        <v>1</v>
      </c>
      <c r="AJ926" s="6" t="s">
        <v>7477</v>
      </c>
      <c r="AK926" s="6" t="n">
        <v>1</v>
      </c>
      <c r="AL926" s="6" t="s">
        <v>7478</v>
      </c>
      <c r="AM926" s="6" t="n">
        <v>1</v>
      </c>
      <c r="AN926" s="6" t="s">
        <v>7479</v>
      </c>
      <c r="AO926" s="6" t="n">
        <v>0</v>
      </c>
    </row>
    <row r="927" customFormat="false" ht="12.8" hidden="false" customHeight="false" outlineLevel="0" collapsed="false">
      <c r="A927" s="6" t="s">
        <v>7480</v>
      </c>
      <c r="B927" s="6" t="n">
        <v>377</v>
      </c>
      <c r="C927" s="6" t="n">
        <v>612</v>
      </c>
      <c r="D927" s="12" t="n">
        <f aca="false">C927/(B927+C927)*100</f>
        <v>61.8806875631952</v>
      </c>
      <c r="E927" s="6" t="n">
        <v>12</v>
      </c>
      <c r="F927" s="6" t="s">
        <v>7481</v>
      </c>
      <c r="G927" s="6" t="n">
        <v>455</v>
      </c>
      <c r="H927" s="6" t="s">
        <v>7482</v>
      </c>
      <c r="I927" s="6" t="n">
        <v>88</v>
      </c>
      <c r="J927" s="6" t="s">
        <v>7483</v>
      </c>
      <c r="K927" s="6" t="n">
        <v>31</v>
      </c>
      <c r="L927" s="6" t="s">
        <v>7484</v>
      </c>
      <c r="M927" s="6" t="n">
        <v>19</v>
      </c>
      <c r="N927" s="6" t="s">
        <v>7485</v>
      </c>
      <c r="O927" s="6" t="n">
        <v>8</v>
      </c>
      <c r="P927" s="6" t="s">
        <v>7486</v>
      </c>
      <c r="Q927" s="6" t="n">
        <v>5</v>
      </c>
      <c r="R927" s="6" t="s">
        <v>7487</v>
      </c>
      <c r="S927" s="6" t="n">
        <v>4</v>
      </c>
      <c r="T927" s="6" t="s">
        <v>7488</v>
      </c>
      <c r="U927" s="6" t="n">
        <v>1</v>
      </c>
      <c r="V927" s="6" t="s">
        <v>7489</v>
      </c>
      <c r="W927" s="6" t="n">
        <v>1</v>
      </c>
      <c r="X927" s="6" t="s">
        <v>7490</v>
      </c>
      <c r="Y927" s="6" t="n">
        <v>0</v>
      </c>
      <c r="Z927" s="6" t="s">
        <v>7491</v>
      </c>
      <c r="AA927" s="6" t="n">
        <v>0</v>
      </c>
      <c r="AB927" s="6" t="s">
        <v>7492</v>
      </c>
      <c r="AC927" s="6" t="n">
        <v>0</v>
      </c>
    </row>
    <row r="928" customFormat="false" ht="12.8" hidden="false" customHeight="false" outlineLevel="0" collapsed="false">
      <c r="A928" s="6" t="s">
        <v>7493</v>
      </c>
      <c r="B928" s="6" t="n">
        <v>379</v>
      </c>
      <c r="C928" s="6" t="n">
        <v>92</v>
      </c>
      <c r="D928" s="12" t="n">
        <f aca="false">C928/(B928+C928)*100</f>
        <v>19.5329087048832</v>
      </c>
      <c r="E928" s="6" t="n">
        <v>17</v>
      </c>
      <c r="F928" s="6" t="s">
        <v>7494</v>
      </c>
      <c r="G928" s="6" t="n">
        <v>43</v>
      </c>
      <c r="H928" s="6" t="s">
        <v>7495</v>
      </c>
      <c r="I928" s="6" t="n">
        <v>23</v>
      </c>
      <c r="J928" s="6" t="s">
        <v>7496</v>
      </c>
      <c r="K928" s="6" t="n">
        <v>5</v>
      </c>
      <c r="L928" s="6" t="s">
        <v>7497</v>
      </c>
      <c r="M928" s="6" t="n">
        <v>5</v>
      </c>
      <c r="N928" s="6" t="s">
        <v>7498</v>
      </c>
      <c r="O928" s="6" t="n">
        <v>4</v>
      </c>
      <c r="P928" s="6" t="s">
        <v>7499</v>
      </c>
      <c r="Q928" s="6" t="n">
        <v>4</v>
      </c>
      <c r="R928" s="6" t="s">
        <v>7500</v>
      </c>
      <c r="S928" s="6" t="n">
        <v>2</v>
      </c>
      <c r="T928" s="6" t="s">
        <v>7501</v>
      </c>
      <c r="U928" s="6" t="n">
        <v>2</v>
      </c>
      <c r="V928" s="6" t="s">
        <v>7502</v>
      </c>
      <c r="W928" s="6" t="n">
        <v>1</v>
      </c>
      <c r="X928" s="6" t="s">
        <v>7503</v>
      </c>
      <c r="Y928" s="6" t="n">
        <v>1</v>
      </c>
      <c r="Z928" s="6" t="s">
        <v>7504</v>
      </c>
      <c r="AA928" s="6" t="n">
        <v>1</v>
      </c>
      <c r="AB928" s="6" t="s">
        <v>7505</v>
      </c>
      <c r="AC928" s="6" t="n">
        <v>1</v>
      </c>
      <c r="AD928" s="6" t="s">
        <v>7506</v>
      </c>
      <c r="AE928" s="6" t="n">
        <v>0</v>
      </c>
      <c r="AF928" s="6" t="s">
        <v>7507</v>
      </c>
      <c r="AG928" s="6" t="n">
        <v>0</v>
      </c>
      <c r="AH928" s="6" t="s">
        <v>7508</v>
      </c>
      <c r="AI928" s="6" t="n">
        <v>0</v>
      </c>
      <c r="AJ928" s="6" t="s">
        <v>7509</v>
      </c>
      <c r="AK928" s="6" t="n">
        <v>0</v>
      </c>
      <c r="AL928" s="6" t="s">
        <v>7510</v>
      </c>
      <c r="AM928" s="6" t="n">
        <v>0</v>
      </c>
    </row>
    <row r="929" customFormat="false" ht="12.8" hidden="false" customHeight="false" outlineLevel="0" collapsed="false">
      <c r="A929" s="6" t="s">
        <v>7511</v>
      </c>
      <c r="B929" s="6" t="n">
        <v>384</v>
      </c>
      <c r="C929" s="6" t="n">
        <v>190</v>
      </c>
      <c r="D929" s="12" t="n">
        <f aca="false">C929/(B929+C929)*100</f>
        <v>33.1010452961672</v>
      </c>
      <c r="E929" s="6" t="n">
        <v>7</v>
      </c>
      <c r="F929" s="6" t="s">
        <v>7512</v>
      </c>
      <c r="G929" s="6" t="n">
        <v>171</v>
      </c>
      <c r="H929" s="6" t="s">
        <v>7513</v>
      </c>
      <c r="I929" s="6" t="n">
        <v>12</v>
      </c>
      <c r="J929" s="6" t="s">
        <v>7514</v>
      </c>
      <c r="K929" s="6" t="n">
        <v>2</v>
      </c>
      <c r="L929" s="6" t="s">
        <v>7515</v>
      </c>
      <c r="M929" s="6" t="n">
        <v>2</v>
      </c>
      <c r="N929" s="6" t="s">
        <v>7516</v>
      </c>
      <c r="O929" s="6" t="n">
        <v>1</v>
      </c>
      <c r="P929" s="6" t="s">
        <v>7517</v>
      </c>
      <c r="Q929" s="6" t="n">
        <v>1</v>
      </c>
      <c r="R929" s="6" t="s">
        <v>7518</v>
      </c>
      <c r="S929" s="6" t="n">
        <v>1</v>
      </c>
    </row>
    <row r="930" customFormat="false" ht="12.8" hidden="false" customHeight="false" outlineLevel="0" collapsed="false">
      <c r="A930" s="6" t="s">
        <v>7519</v>
      </c>
      <c r="B930" s="6" t="n">
        <v>387</v>
      </c>
      <c r="C930" s="6" t="n">
        <v>129</v>
      </c>
      <c r="D930" s="12" t="n">
        <f aca="false">C930/(B930+C930)*100</f>
        <v>25</v>
      </c>
      <c r="E930" s="6" t="n">
        <v>16</v>
      </c>
      <c r="F930" s="6" t="s">
        <v>7520</v>
      </c>
      <c r="G930" s="6" t="n">
        <v>99</v>
      </c>
      <c r="H930" s="6" t="s">
        <v>7521</v>
      </c>
      <c r="I930" s="6" t="n">
        <v>13</v>
      </c>
      <c r="J930" s="6" t="s">
        <v>7522</v>
      </c>
      <c r="K930" s="6" t="n">
        <v>9</v>
      </c>
      <c r="L930" s="6" t="s">
        <v>7523</v>
      </c>
      <c r="M930" s="6" t="n">
        <v>3</v>
      </c>
      <c r="N930" s="6" t="s">
        <v>7524</v>
      </c>
      <c r="O930" s="6" t="n">
        <v>2</v>
      </c>
      <c r="P930" s="6" t="s">
        <v>7525</v>
      </c>
      <c r="Q930" s="6" t="n">
        <v>1</v>
      </c>
      <c r="R930" s="6" t="s">
        <v>7526</v>
      </c>
      <c r="S930" s="6" t="n">
        <v>1</v>
      </c>
      <c r="T930" s="6" t="s">
        <v>7527</v>
      </c>
      <c r="U930" s="6" t="n">
        <v>1</v>
      </c>
      <c r="V930" s="6" t="s">
        <v>7528</v>
      </c>
      <c r="W930" s="6" t="n">
        <v>0</v>
      </c>
      <c r="X930" s="6" t="s">
        <v>7529</v>
      </c>
      <c r="Y930" s="6" t="n">
        <v>0</v>
      </c>
      <c r="Z930" s="6" t="s">
        <v>7530</v>
      </c>
      <c r="AA930" s="6" t="n">
        <v>0</v>
      </c>
      <c r="AB930" s="6" t="s">
        <v>7531</v>
      </c>
      <c r="AC930" s="6" t="n">
        <v>0</v>
      </c>
      <c r="AD930" s="6" t="s">
        <v>7532</v>
      </c>
      <c r="AE930" s="6" t="n">
        <v>0</v>
      </c>
      <c r="AF930" s="6" t="s">
        <v>7533</v>
      </c>
      <c r="AG930" s="6" t="n">
        <v>0</v>
      </c>
      <c r="AH930" s="6" t="s">
        <v>7534</v>
      </c>
      <c r="AI930" s="6" t="n">
        <v>0</v>
      </c>
      <c r="AJ930" s="6" t="s">
        <v>7535</v>
      </c>
      <c r="AK930" s="6" t="n">
        <v>0</v>
      </c>
    </row>
    <row r="931" customFormat="false" ht="12.8" hidden="false" customHeight="false" outlineLevel="0" collapsed="false">
      <c r="A931" s="6" t="s">
        <v>7536</v>
      </c>
      <c r="B931" s="6" t="n">
        <v>391</v>
      </c>
      <c r="C931" s="6" t="n">
        <v>257</v>
      </c>
      <c r="D931" s="12" t="n">
        <f aca="false">C931/(B931+C931)*100</f>
        <v>39.6604938271605</v>
      </c>
      <c r="E931" s="6" t="n">
        <v>9</v>
      </c>
      <c r="F931" s="6" t="s">
        <v>7537</v>
      </c>
      <c r="G931" s="6" t="n">
        <v>247</v>
      </c>
      <c r="H931" s="6" t="s">
        <v>7538</v>
      </c>
      <c r="I931" s="6" t="n">
        <v>3</v>
      </c>
      <c r="J931" s="6" t="s">
        <v>7539</v>
      </c>
      <c r="K931" s="6" t="n">
        <v>2</v>
      </c>
      <c r="L931" s="6" t="s">
        <v>7540</v>
      </c>
      <c r="M931" s="6" t="n">
        <v>2</v>
      </c>
      <c r="N931" s="6" t="s">
        <v>7541</v>
      </c>
      <c r="O931" s="6" t="n">
        <v>2</v>
      </c>
      <c r="P931" s="6" t="s">
        <v>7542</v>
      </c>
      <c r="Q931" s="6" t="n">
        <v>1</v>
      </c>
      <c r="R931" s="6" t="s">
        <v>7543</v>
      </c>
      <c r="S931" s="6" t="n">
        <v>0</v>
      </c>
      <c r="T931" s="6" t="s">
        <v>7544</v>
      </c>
      <c r="U931" s="6" t="n">
        <v>0</v>
      </c>
      <c r="V931" s="6" t="s">
        <v>7545</v>
      </c>
      <c r="W931" s="6" t="n">
        <v>0</v>
      </c>
    </row>
    <row r="932" customFormat="false" ht="12.8" hidden="false" customHeight="false" outlineLevel="0" collapsed="false">
      <c r="A932" s="6" t="s">
        <v>7546</v>
      </c>
      <c r="B932" s="6" t="n">
        <v>394</v>
      </c>
      <c r="C932" s="6" t="n">
        <v>3</v>
      </c>
      <c r="D932" s="12" t="n">
        <f aca="false">C932/(B932+C932)*100</f>
        <v>0.755667506297229</v>
      </c>
      <c r="E932" s="6" t="n">
        <v>3</v>
      </c>
      <c r="F932" s="6" t="s">
        <v>7547</v>
      </c>
      <c r="G932" s="6" t="n">
        <v>2</v>
      </c>
      <c r="H932" s="6" t="s">
        <v>7548</v>
      </c>
      <c r="I932" s="6" t="n">
        <v>1</v>
      </c>
      <c r="J932" s="6" t="s">
        <v>7549</v>
      </c>
      <c r="K932" s="6" t="n">
        <v>0</v>
      </c>
    </row>
    <row r="933" customFormat="false" ht="12.8" hidden="false" customHeight="false" outlineLevel="0" collapsed="false">
      <c r="A933" s="6" t="s">
        <v>7550</v>
      </c>
      <c r="B933" s="6" t="n">
        <v>401</v>
      </c>
      <c r="C933" s="6" t="n">
        <v>82</v>
      </c>
      <c r="D933" s="12" t="n">
        <f aca="false">C933/(B933+C933)*100</f>
        <v>16.9772256728778</v>
      </c>
      <c r="E933" s="6" t="n">
        <v>12</v>
      </c>
      <c r="F933" s="6" t="s">
        <v>7551</v>
      </c>
      <c r="G933" s="6" t="n">
        <v>33</v>
      </c>
      <c r="H933" s="6" t="s">
        <v>7552</v>
      </c>
      <c r="I933" s="6" t="n">
        <v>10</v>
      </c>
      <c r="J933" s="6" t="s">
        <v>7553</v>
      </c>
      <c r="K933" s="6" t="n">
        <v>9</v>
      </c>
      <c r="L933" s="6" t="s">
        <v>7554</v>
      </c>
      <c r="M933" s="6" t="n">
        <v>6</v>
      </c>
      <c r="N933" s="6" t="s">
        <v>7555</v>
      </c>
      <c r="O933" s="6" t="n">
        <v>6</v>
      </c>
      <c r="P933" s="6" t="s">
        <v>7556</v>
      </c>
      <c r="Q933" s="6" t="n">
        <v>6</v>
      </c>
      <c r="R933" s="6" t="s">
        <v>7557</v>
      </c>
      <c r="S933" s="6" t="n">
        <v>5</v>
      </c>
      <c r="T933" s="6" t="s">
        <v>7558</v>
      </c>
      <c r="U933" s="6" t="n">
        <v>3</v>
      </c>
      <c r="V933" s="6" t="s">
        <v>7559</v>
      </c>
      <c r="W933" s="6" t="n">
        <v>2</v>
      </c>
      <c r="X933" s="6" t="s">
        <v>7560</v>
      </c>
      <c r="Y933" s="6" t="n">
        <v>1</v>
      </c>
      <c r="Z933" s="6" t="s">
        <v>7561</v>
      </c>
      <c r="AA933" s="6" t="n">
        <v>1</v>
      </c>
      <c r="AB933" s="6" t="s">
        <v>7562</v>
      </c>
      <c r="AC933" s="6" t="n">
        <v>0</v>
      </c>
    </row>
    <row r="934" customFormat="false" ht="12.8" hidden="false" customHeight="false" outlineLevel="0" collapsed="false">
      <c r="A934" s="6" t="s">
        <v>7563</v>
      </c>
      <c r="B934" s="6" t="n">
        <v>403</v>
      </c>
      <c r="C934" s="6" t="n">
        <v>194</v>
      </c>
      <c r="D934" s="12" t="n">
        <f aca="false">C934/(B934+C934)*100</f>
        <v>32.4958123953099</v>
      </c>
      <c r="E934" s="6" t="n">
        <v>14</v>
      </c>
      <c r="F934" s="6" t="s">
        <v>7564</v>
      </c>
      <c r="G934" s="6" t="n">
        <v>128</v>
      </c>
      <c r="H934" s="6" t="s">
        <v>7565</v>
      </c>
      <c r="I934" s="6" t="n">
        <v>46</v>
      </c>
      <c r="J934" s="6" t="s">
        <v>7566</v>
      </c>
      <c r="K934" s="6" t="n">
        <v>8</v>
      </c>
      <c r="L934" s="6" t="s">
        <v>7567</v>
      </c>
      <c r="M934" s="6" t="n">
        <v>3</v>
      </c>
      <c r="N934" s="6" t="s">
        <v>7568</v>
      </c>
      <c r="O934" s="6" t="n">
        <v>2</v>
      </c>
      <c r="P934" s="6" t="s">
        <v>7569</v>
      </c>
      <c r="Q934" s="6" t="n">
        <v>2</v>
      </c>
      <c r="R934" s="6" t="s">
        <v>7570</v>
      </c>
      <c r="S934" s="6" t="n">
        <v>1</v>
      </c>
      <c r="T934" s="6" t="s">
        <v>7571</v>
      </c>
      <c r="U934" s="6" t="n">
        <v>1</v>
      </c>
      <c r="V934" s="6" t="s">
        <v>7572</v>
      </c>
      <c r="W934" s="6" t="n">
        <v>1</v>
      </c>
      <c r="X934" s="6" t="s">
        <v>7573</v>
      </c>
      <c r="Y934" s="6" t="n">
        <v>1</v>
      </c>
      <c r="Z934" s="6" t="s">
        <v>7574</v>
      </c>
      <c r="AA934" s="6" t="n">
        <v>1</v>
      </c>
      <c r="AB934" s="6" t="s">
        <v>7575</v>
      </c>
      <c r="AC934" s="6" t="n">
        <v>0</v>
      </c>
      <c r="AD934" s="6" t="s">
        <v>7576</v>
      </c>
      <c r="AE934" s="6" t="n">
        <v>0</v>
      </c>
      <c r="AF934" s="6" t="s">
        <v>7577</v>
      </c>
      <c r="AG934" s="6" t="n">
        <v>0</v>
      </c>
    </row>
    <row r="935" customFormat="false" ht="12.8" hidden="false" customHeight="false" outlineLevel="0" collapsed="false">
      <c r="A935" s="6" t="s">
        <v>7578</v>
      </c>
      <c r="B935" s="6" t="n">
        <v>403</v>
      </c>
      <c r="C935" s="6" t="n">
        <v>28</v>
      </c>
      <c r="D935" s="12" t="n">
        <f aca="false">C935/(B935+C935)*100</f>
        <v>6.49651972157773</v>
      </c>
      <c r="E935" s="6" t="n">
        <v>5</v>
      </c>
      <c r="F935" s="6" t="s">
        <v>7579</v>
      </c>
      <c r="G935" s="6" t="n">
        <v>18</v>
      </c>
      <c r="H935" s="6" t="s">
        <v>7580</v>
      </c>
      <c r="I935" s="6" t="n">
        <v>5</v>
      </c>
      <c r="J935" s="6" t="s">
        <v>7581</v>
      </c>
      <c r="K935" s="6" t="n">
        <v>2</v>
      </c>
      <c r="L935" s="6" t="s">
        <v>7582</v>
      </c>
      <c r="M935" s="6" t="n">
        <v>2</v>
      </c>
      <c r="N935" s="6" t="s">
        <v>7583</v>
      </c>
      <c r="O935" s="6" t="n">
        <v>1</v>
      </c>
    </row>
    <row r="936" customFormat="false" ht="12.8" hidden="false" customHeight="false" outlineLevel="0" collapsed="false">
      <c r="A936" s="6" t="s">
        <v>7584</v>
      </c>
      <c r="B936" s="6" t="n">
        <v>407</v>
      </c>
      <c r="C936" s="6" t="n">
        <v>598</v>
      </c>
      <c r="D936" s="12" t="n">
        <f aca="false">C936/(B936+C936)*100</f>
        <v>59.5024875621891</v>
      </c>
      <c r="E936" s="6" t="n">
        <v>28</v>
      </c>
      <c r="F936" s="6" t="s">
        <v>7585</v>
      </c>
      <c r="G936" s="6" t="n">
        <v>315</v>
      </c>
      <c r="H936" s="6" t="s">
        <v>7586</v>
      </c>
      <c r="I936" s="6" t="n">
        <v>109</v>
      </c>
      <c r="J936" s="6" t="s">
        <v>7587</v>
      </c>
      <c r="K936" s="6" t="n">
        <v>79</v>
      </c>
      <c r="L936" s="6" t="s">
        <v>7588</v>
      </c>
      <c r="M936" s="6" t="n">
        <v>43</v>
      </c>
      <c r="N936" s="6" t="s">
        <v>7589</v>
      </c>
      <c r="O936" s="6" t="n">
        <v>25</v>
      </c>
      <c r="P936" s="6" t="s">
        <v>7590</v>
      </c>
      <c r="Q936" s="6" t="n">
        <v>9</v>
      </c>
      <c r="R936" s="6" t="s">
        <v>7591</v>
      </c>
      <c r="S936" s="6" t="n">
        <v>7</v>
      </c>
      <c r="T936" s="6" t="s">
        <v>7592</v>
      </c>
      <c r="U936" s="6" t="n">
        <v>2</v>
      </c>
      <c r="V936" s="6" t="s">
        <v>7593</v>
      </c>
      <c r="W936" s="6" t="n">
        <v>2</v>
      </c>
      <c r="X936" s="6" t="s">
        <v>7594</v>
      </c>
      <c r="Y936" s="6" t="n">
        <v>2</v>
      </c>
      <c r="Z936" s="6" t="s">
        <v>7595</v>
      </c>
      <c r="AA936" s="6" t="n">
        <v>2</v>
      </c>
      <c r="AB936" s="6" t="s">
        <v>7596</v>
      </c>
      <c r="AC936" s="6" t="n">
        <v>1</v>
      </c>
      <c r="AD936" s="6" t="s">
        <v>7597</v>
      </c>
      <c r="AE936" s="6" t="n">
        <v>1</v>
      </c>
      <c r="AF936" s="6" t="s">
        <v>7598</v>
      </c>
      <c r="AG936" s="6" t="n">
        <v>1</v>
      </c>
      <c r="AH936" s="6" t="s">
        <v>7599</v>
      </c>
      <c r="AI936" s="6" t="n">
        <v>0</v>
      </c>
      <c r="AJ936" s="6" t="s">
        <v>7600</v>
      </c>
      <c r="AK936" s="6" t="n">
        <v>0</v>
      </c>
      <c r="AL936" s="6" t="s">
        <v>7601</v>
      </c>
      <c r="AM936" s="6" t="n">
        <v>0</v>
      </c>
      <c r="AN936" s="6" t="s">
        <v>7602</v>
      </c>
      <c r="AO936" s="6" t="n">
        <v>0</v>
      </c>
      <c r="AP936" s="6" t="s">
        <v>7603</v>
      </c>
      <c r="AQ936" s="6" t="n">
        <v>0</v>
      </c>
      <c r="AR936" s="6" t="s">
        <v>7604</v>
      </c>
      <c r="AS936" s="6" t="n">
        <v>0</v>
      </c>
      <c r="AT936" s="6" t="s">
        <v>7605</v>
      </c>
      <c r="AU936" s="6" t="n">
        <v>0</v>
      </c>
      <c r="AV936" s="6" t="s">
        <v>7606</v>
      </c>
      <c r="AW936" s="6" t="n">
        <v>0</v>
      </c>
      <c r="AX936" s="6" t="s">
        <v>7607</v>
      </c>
      <c r="AY936" s="6" t="n">
        <v>0</v>
      </c>
      <c r="AZ936" s="6" t="s">
        <v>7608</v>
      </c>
      <c r="BA936" s="6" t="n">
        <v>0</v>
      </c>
      <c r="BB936" s="6" t="s">
        <v>7609</v>
      </c>
      <c r="BC936" s="6" t="n">
        <v>0</v>
      </c>
      <c r="BD936" s="6" t="s">
        <v>7610</v>
      </c>
      <c r="BE936" s="6" t="n">
        <v>0</v>
      </c>
      <c r="BF936" s="6" t="s">
        <v>7611</v>
      </c>
      <c r="BG936" s="6" t="n">
        <v>0</v>
      </c>
      <c r="BH936" s="6" t="s">
        <v>7612</v>
      </c>
      <c r="BI936" s="6" t="n">
        <v>0</v>
      </c>
    </row>
    <row r="937" customFormat="false" ht="12.8" hidden="false" customHeight="false" outlineLevel="0" collapsed="false">
      <c r="A937" s="6" t="s">
        <v>7613</v>
      </c>
      <c r="B937" s="6" t="n">
        <v>418</v>
      </c>
      <c r="C937" s="6" t="n">
        <v>29</v>
      </c>
      <c r="D937" s="12" t="n">
        <f aca="false">C937/(B937+C937)*100</f>
        <v>6.48769574944072</v>
      </c>
      <c r="E937" s="6" t="n">
        <v>2</v>
      </c>
      <c r="F937" s="6" t="s">
        <v>7614</v>
      </c>
      <c r="G937" s="6" t="n">
        <v>22</v>
      </c>
      <c r="H937" s="6" t="s">
        <v>7615</v>
      </c>
      <c r="I937" s="6" t="n">
        <v>7</v>
      </c>
    </row>
    <row r="938" customFormat="false" ht="12.8" hidden="false" customHeight="false" outlineLevel="0" collapsed="false">
      <c r="A938" s="6" t="s">
        <v>7616</v>
      </c>
      <c r="B938" s="6" t="n">
        <v>418</v>
      </c>
      <c r="C938" s="6" t="n">
        <v>23</v>
      </c>
      <c r="D938" s="12" t="n">
        <f aca="false">C938/(B938+C938)*100</f>
        <v>5.21541950113379</v>
      </c>
      <c r="E938" s="6" t="n">
        <v>6</v>
      </c>
      <c r="F938" s="6" t="s">
        <v>7617</v>
      </c>
      <c r="G938" s="6" t="n">
        <v>16</v>
      </c>
      <c r="H938" s="6" t="s">
        <v>7618</v>
      </c>
      <c r="I938" s="6" t="n">
        <v>2</v>
      </c>
      <c r="J938" s="6" t="s">
        <v>7619</v>
      </c>
      <c r="K938" s="6" t="n">
        <v>2</v>
      </c>
      <c r="L938" s="6" t="s">
        <v>7620</v>
      </c>
      <c r="M938" s="6" t="n">
        <v>1</v>
      </c>
      <c r="N938" s="6" t="s">
        <v>7621</v>
      </c>
      <c r="O938" s="6" t="n">
        <v>1</v>
      </c>
      <c r="P938" s="6" t="s">
        <v>7622</v>
      </c>
      <c r="Q938" s="6" t="n">
        <v>1</v>
      </c>
    </row>
    <row r="939" customFormat="false" ht="12.8" hidden="false" customHeight="false" outlineLevel="0" collapsed="false">
      <c r="A939" s="6" t="s">
        <v>7623</v>
      </c>
      <c r="B939" s="6" t="n">
        <v>421</v>
      </c>
      <c r="C939" s="6" t="n">
        <v>906</v>
      </c>
      <c r="D939" s="12" t="n">
        <f aca="false">C939/(B939+C939)*100</f>
        <v>68.2743029389601</v>
      </c>
      <c r="E939" s="6" t="n">
        <v>36</v>
      </c>
      <c r="F939" s="6" t="s">
        <v>7624</v>
      </c>
      <c r="G939" s="6" t="n">
        <v>479</v>
      </c>
      <c r="H939" s="6" t="s">
        <v>7625</v>
      </c>
      <c r="I939" s="6" t="n">
        <v>93</v>
      </c>
      <c r="J939" s="6" t="s">
        <v>7626</v>
      </c>
      <c r="K939" s="6" t="n">
        <v>87</v>
      </c>
      <c r="L939" s="6" t="s">
        <v>7627</v>
      </c>
      <c r="M939" s="6" t="n">
        <v>53</v>
      </c>
      <c r="N939" s="6" t="s">
        <v>7628</v>
      </c>
      <c r="O939" s="6" t="n">
        <v>46</v>
      </c>
      <c r="P939" s="6" t="s">
        <v>7629</v>
      </c>
      <c r="Q939" s="6" t="n">
        <v>38</v>
      </c>
      <c r="R939" s="6" t="s">
        <v>7630</v>
      </c>
      <c r="S939" s="6" t="n">
        <v>31</v>
      </c>
      <c r="T939" s="6" t="s">
        <v>7631</v>
      </c>
      <c r="U939" s="6" t="n">
        <v>28</v>
      </c>
      <c r="V939" s="6" t="s">
        <v>7632</v>
      </c>
      <c r="W939" s="6" t="n">
        <v>15</v>
      </c>
      <c r="X939" s="6" t="s">
        <v>7633</v>
      </c>
      <c r="Y939" s="6" t="n">
        <v>9</v>
      </c>
      <c r="Z939" s="6" t="s">
        <v>7634</v>
      </c>
      <c r="AA939" s="6" t="n">
        <v>5</v>
      </c>
      <c r="AB939" s="6" t="s">
        <v>7635</v>
      </c>
      <c r="AC939" s="6" t="n">
        <v>4</v>
      </c>
      <c r="AD939" s="6" t="s">
        <v>7636</v>
      </c>
      <c r="AE939" s="6" t="n">
        <v>2</v>
      </c>
      <c r="AF939" s="6" t="s">
        <v>7637</v>
      </c>
      <c r="AG939" s="6" t="n">
        <v>2</v>
      </c>
      <c r="AH939" s="6" t="s">
        <v>7638</v>
      </c>
      <c r="AI939" s="6" t="n">
        <v>2</v>
      </c>
      <c r="AJ939" s="6" t="s">
        <v>7639</v>
      </c>
      <c r="AK939" s="6" t="n">
        <v>2</v>
      </c>
      <c r="AL939" s="6" t="s">
        <v>7640</v>
      </c>
      <c r="AM939" s="6" t="n">
        <v>2</v>
      </c>
      <c r="AN939" s="6" t="s">
        <v>7641</v>
      </c>
      <c r="AO939" s="6" t="n">
        <v>1</v>
      </c>
      <c r="AP939" s="6" t="s">
        <v>7642</v>
      </c>
      <c r="AQ939" s="6" t="n">
        <v>1</v>
      </c>
      <c r="AR939" s="6" t="s">
        <v>7643</v>
      </c>
      <c r="AS939" s="6" t="n">
        <v>1</v>
      </c>
      <c r="AT939" s="6" t="s">
        <v>7644</v>
      </c>
      <c r="AU939" s="6" t="n">
        <v>1</v>
      </c>
      <c r="AV939" s="6" t="s">
        <v>7645</v>
      </c>
      <c r="AW939" s="6" t="n">
        <v>1</v>
      </c>
      <c r="AX939" s="6" t="s">
        <v>7646</v>
      </c>
      <c r="AY939" s="6" t="n">
        <v>1</v>
      </c>
      <c r="AZ939" s="6" t="s">
        <v>7647</v>
      </c>
      <c r="BA939" s="6" t="n">
        <v>1</v>
      </c>
      <c r="BB939" s="6" t="s">
        <v>7648</v>
      </c>
      <c r="BC939" s="6" t="n">
        <v>1</v>
      </c>
      <c r="BD939" s="6" t="s">
        <v>7649</v>
      </c>
      <c r="BE939" s="6" t="n">
        <v>0</v>
      </c>
      <c r="BF939" s="6" t="s">
        <v>7650</v>
      </c>
      <c r="BG939" s="6" t="n">
        <v>0</v>
      </c>
      <c r="BH939" s="6" t="s">
        <v>7651</v>
      </c>
      <c r="BI939" s="6" t="n">
        <v>0</v>
      </c>
      <c r="BJ939" s="6" t="s">
        <v>7652</v>
      </c>
      <c r="BK939" s="6" t="n">
        <v>0</v>
      </c>
      <c r="BL939" s="6" t="s">
        <v>7653</v>
      </c>
      <c r="BM939" s="6" t="n">
        <v>0</v>
      </c>
      <c r="BN939" s="6" t="s">
        <v>7654</v>
      </c>
      <c r="BO939" s="6" t="n">
        <v>0</v>
      </c>
      <c r="BP939" s="6" t="s">
        <v>7655</v>
      </c>
      <c r="BQ939" s="6" t="n">
        <v>0</v>
      </c>
      <c r="BR939" s="6" t="s">
        <v>7656</v>
      </c>
      <c r="BS939" s="6" t="n">
        <v>0</v>
      </c>
      <c r="BT939" s="6" t="s">
        <v>7657</v>
      </c>
      <c r="BU939" s="6" t="n">
        <v>0</v>
      </c>
      <c r="BV939" s="6" t="s">
        <v>7658</v>
      </c>
      <c r="BW939" s="6" t="n">
        <v>0</v>
      </c>
      <c r="BX939" s="6" t="s">
        <v>7659</v>
      </c>
      <c r="BY939" s="6" t="n">
        <v>0</v>
      </c>
    </row>
    <row r="940" customFormat="false" ht="12.8" hidden="false" customHeight="false" outlineLevel="0" collapsed="false">
      <c r="A940" s="6" t="s">
        <v>7660</v>
      </c>
      <c r="B940" s="6" t="n">
        <v>426</v>
      </c>
      <c r="C940" s="6" t="n">
        <v>13</v>
      </c>
      <c r="D940" s="12" t="n">
        <f aca="false">C940/(B940+C940)*100</f>
        <v>2.96127562642369</v>
      </c>
      <c r="E940" s="6" t="n">
        <v>3</v>
      </c>
      <c r="F940" s="6" t="s">
        <v>7661</v>
      </c>
      <c r="G940" s="6" t="n">
        <v>7</v>
      </c>
      <c r="H940" s="6" t="s">
        <v>7662</v>
      </c>
      <c r="I940" s="6" t="n">
        <v>4</v>
      </c>
      <c r="J940" s="6" t="s">
        <v>7663</v>
      </c>
      <c r="K940" s="6" t="n">
        <v>2</v>
      </c>
    </row>
    <row r="941" customFormat="false" ht="12.8" hidden="false" customHeight="false" outlineLevel="0" collapsed="false">
      <c r="A941" s="6" t="s">
        <v>7664</v>
      </c>
      <c r="B941" s="6" t="n">
        <v>428</v>
      </c>
      <c r="C941" s="6" t="n">
        <v>237</v>
      </c>
      <c r="D941" s="12" t="n">
        <f aca="false">C941/(B941+C941)*100</f>
        <v>35.6390977443609</v>
      </c>
      <c r="E941" s="6" t="n">
        <v>9</v>
      </c>
      <c r="F941" s="6" t="s">
        <v>7665</v>
      </c>
      <c r="G941" s="6" t="n">
        <v>147</v>
      </c>
      <c r="H941" s="6" t="s">
        <v>7666</v>
      </c>
      <c r="I941" s="6" t="n">
        <v>65</v>
      </c>
      <c r="J941" s="6" t="s">
        <v>7667</v>
      </c>
      <c r="K941" s="6" t="n">
        <v>18</v>
      </c>
      <c r="L941" s="6" t="s">
        <v>7668</v>
      </c>
      <c r="M941" s="6" t="n">
        <v>2</v>
      </c>
      <c r="N941" s="6" t="s">
        <v>7669</v>
      </c>
      <c r="O941" s="6" t="n">
        <v>1</v>
      </c>
      <c r="P941" s="6" t="s">
        <v>7670</v>
      </c>
      <c r="Q941" s="6" t="n">
        <v>1</v>
      </c>
      <c r="R941" s="6" t="s">
        <v>7671</v>
      </c>
      <c r="S941" s="6" t="n">
        <v>1</v>
      </c>
      <c r="T941" s="6" t="s">
        <v>7672</v>
      </c>
      <c r="U941" s="6" t="n">
        <v>1</v>
      </c>
      <c r="V941" s="6" t="s">
        <v>7673</v>
      </c>
      <c r="W941" s="6" t="n">
        <v>1</v>
      </c>
    </row>
    <row r="942" customFormat="false" ht="12.8" hidden="false" customHeight="false" outlineLevel="0" collapsed="false">
      <c r="A942" s="6" t="s">
        <v>7674</v>
      </c>
      <c r="B942" s="6" t="n">
        <v>435</v>
      </c>
      <c r="C942" s="6" t="n">
        <v>43</v>
      </c>
      <c r="D942" s="12" t="n">
        <f aca="false">C942/(B942+C942)*100</f>
        <v>8.99581589958159</v>
      </c>
      <c r="E942" s="6" t="n">
        <v>8</v>
      </c>
      <c r="F942" s="6" t="s">
        <v>7675</v>
      </c>
      <c r="G942" s="6" t="n">
        <v>19</v>
      </c>
      <c r="H942" s="6" t="s">
        <v>7676</v>
      </c>
      <c r="I942" s="6" t="n">
        <v>16</v>
      </c>
      <c r="J942" s="6" t="s">
        <v>7677</v>
      </c>
      <c r="K942" s="6" t="n">
        <v>3</v>
      </c>
      <c r="L942" s="6" t="s">
        <v>7678</v>
      </c>
      <c r="M942" s="6" t="n">
        <v>2</v>
      </c>
      <c r="N942" s="6" t="s">
        <v>7679</v>
      </c>
      <c r="O942" s="6" t="n">
        <v>2</v>
      </c>
      <c r="P942" s="6" t="s">
        <v>7680</v>
      </c>
      <c r="Q942" s="6" t="n">
        <v>1</v>
      </c>
      <c r="R942" s="6" t="s">
        <v>7681</v>
      </c>
      <c r="S942" s="6" t="n">
        <v>0</v>
      </c>
      <c r="T942" s="6" t="s">
        <v>7682</v>
      </c>
      <c r="U942" s="6" t="n">
        <v>0</v>
      </c>
    </row>
    <row r="943" customFormat="false" ht="12.8" hidden="false" customHeight="false" outlineLevel="0" collapsed="false">
      <c r="A943" s="6" t="s">
        <v>7683</v>
      </c>
      <c r="B943" s="6" t="n">
        <v>437</v>
      </c>
      <c r="C943" s="6" t="n">
        <v>318</v>
      </c>
      <c r="D943" s="12" t="n">
        <f aca="false">C943/(B943+C943)*100</f>
        <v>42.1192052980133</v>
      </c>
      <c r="E943" s="6" t="n">
        <v>17</v>
      </c>
      <c r="F943" s="6" t="s">
        <v>7684</v>
      </c>
      <c r="G943" s="6" t="n">
        <v>212</v>
      </c>
      <c r="H943" s="6" t="s">
        <v>7685</v>
      </c>
      <c r="I943" s="6" t="n">
        <v>52</v>
      </c>
      <c r="J943" s="6" t="s">
        <v>7686</v>
      </c>
      <c r="K943" s="6" t="n">
        <v>24</v>
      </c>
      <c r="L943" s="6" t="s">
        <v>7687</v>
      </c>
      <c r="M943" s="6" t="n">
        <v>16</v>
      </c>
      <c r="N943" s="6" t="s">
        <v>7688</v>
      </c>
      <c r="O943" s="6" t="n">
        <v>6</v>
      </c>
      <c r="P943" s="6" t="s">
        <v>7689</v>
      </c>
      <c r="Q943" s="6" t="n">
        <v>4</v>
      </c>
      <c r="R943" s="6" t="s">
        <v>7690</v>
      </c>
      <c r="S943" s="6" t="n">
        <v>2</v>
      </c>
      <c r="T943" s="6" t="s">
        <v>7691</v>
      </c>
      <c r="U943" s="6" t="n">
        <v>1</v>
      </c>
      <c r="V943" s="6" t="s">
        <v>7692</v>
      </c>
      <c r="W943" s="6" t="n">
        <v>1</v>
      </c>
      <c r="X943" s="6" t="s">
        <v>7693</v>
      </c>
      <c r="Y943" s="6" t="n">
        <v>0</v>
      </c>
      <c r="Z943" s="6" t="s">
        <v>7694</v>
      </c>
      <c r="AA943" s="6" t="n">
        <v>0</v>
      </c>
      <c r="AB943" s="6" t="s">
        <v>7695</v>
      </c>
      <c r="AC943" s="6" t="n">
        <v>0</v>
      </c>
      <c r="AD943" s="6" t="s">
        <v>7696</v>
      </c>
      <c r="AE943" s="6" t="n">
        <v>0</v>
      </c>
      <c r="AF943" s="6" t="s">
        <v>7697</v>
      </c>
      <c r="AG943" s="6" t="n">
        <v>0</v>
      </c>
      <c r="AH943" s="6" t="s">
        <v>7698</v>
      </c>
      <c r="AI943" s="6" t="n">
        <v>0</v>
      </c>
      <c r="AJ943" s="6" t="s">
        <v>7699</v>
      </c>
      <c r="AK943" s="6" t="n">
        <v>0</v>
      </c>
      <c r="AL943" s="6" t="s">
        <v>7700</v>
      </c>
      <c r="AM943" s="6" t="n">
        <v>0</v>
      </c>
    </row>
    <row r="944" customFormat="false" ht="12.8" hidden="false" customHeight="false" outlineLevel="0" collapsed="false">
      <c r="A944" s="6" t="s">
        <v>7701</v>
      </c>
      <c r="B944" s="6" t="n">
        <v>437</v>
      </c>
      <c r="C944" s="6" t="n">
        <v>179</v>
      </c>
      <c r="D944" s="12" t="n">
        <f aca="false">C944/(B944+C944)*100</f>
        <v>29.0584415584416</v>
      </c>
      <c r="E944" s="6" t="n">
        <v>11</v>
      </c>
      <c r="F944" s="6" t="s">
        <v>7702</v>
      </c>
      <c r="G944" s="6" t="n">
        <v>79</v>
      </c>
      <c r="H944" s="6" t="s">
        <v>7703</v>
      </c>
      <c r="I944" s="6" t="n">
        <v>53</v>
      </c>
      <c r="J944" s="6" t="s">
        <v>7704</v>
      </c>
      <c r="K944" s="6" t="n">
        <v>18</v>
      </c>
      <c r="L944" s="6" t="s">
        <v>7705</v>
      </c>
      <c r="M944" s="6" t="n">
        <v>14</v>
      </c>
      <c r="N944" s="6" t="s">
        <v>7706</v>
      </c>
      <c r="O944" s="6" t="n">
        <v>6</v>
      </c>
      <c r="P944" s="6" t="s">
        <v>7707</v>
      </c>
      <c r="Q944" s="6" t="n">
        <v>5</v>
      </c>
      <c r="R944" s="6" t="s">
        <v>7708</v>
      </c>
      <c r="S944" s="6" t="n">
        <v>2</v>
      </c>
      <c r="T944" s="6" t="s">
        <v>7709</v>
      </c>
      <c r="U944" s="6" t="n">
        <v>1</v>
      </c>
      <c r="V944" s="6" t="s">
        <v>7710</v>
      </c>
      <c r="W944" s="6" t="n">
        <v>1</v>
      </c>
      <c r="X944" s="6" t="s">
        <v>7711</v>
      </c>
      <c r="Y944" s="6" t="n">
        <v>0</v>
      </c>
      <c r="Z944" s="6" t="s">
        <v>7712</v>
      </c>
      <c r="AA944" s="6" t="n">
        <v>0</v>
      </c>
    </row>
    <row r="945" customFormat="false" ht="12.8" hidden="false" customHeight="false" outlineLevel="0" collapsed="false">
      <c r="A945" s="6" t="s">
        <v>7713</v>
      </c>
      <c r="B945" s="6" t="n">
        <v>437</v>
      </c>
      <c r="C945" s="6" t="n">
        <v>64</v>
      </c>
      <c r="D945" s="12" t="n">
        <f aca="false">C945/(B945+C945)*100</f>
        <v>12.7744510978044</v>
      </c>
      <c r="E945" s="6" t="n">
        <v>11</v>
      </c>
      <c r="F945" s="6" t="s">
        <v>7714</v>
      </c>
      <c r="G945" s="6" t="n">
        <v>17</v>
      </c>
      <c r="H945" s="6" t="s">
        <v>7715</v>
      </c>
      <c r="I945" s="6" t="n">
        <v>17</v>
      </c>
      <c r="J945" s="6" t="s">
        <v>7716</v>
      </c>
      <c r="K945" s="6" t="n">
        <v>15</v>
      </c>
      <c r="L945" s="6" t="s">
        <v>7717</v>
      </c>
      <c r="M945" s="6" t="n">
        <v>7</v>
      </c>
      <c r="N945" s="6" t="s">
        <v>7718</v>
      </c>
      <c r="O945" s="6" t="n">
        <v>2</v>
      </c>
      <c r="P945" s="6" t="s">
        <v>7719</v>
      </c>
      <c r="Q945" s="6" t="n">
        <v>2</v>
      </c>
      <c r="R945" s="6" t="s">
        <v>7720</v>
      </c>
      <c r="S945" s="6" t="n">
        <v>2</v>
      </c>
      <c r="T945" s="6" t="s">
        <v>7721</v>
      </c>
      <c r="U945" s="6" t="n">
        <v>1</v>
      </c>
      <c r="V945" s="6" t="s">
        <v>7722</v>
      </c>
      <c r="W945" s="6" t="n">
        <v>1</v>
      </c>
      <c r="X945" s="6" t="s">
        <v>7723</v>
      </c>
      <c r="Y945" s="6" t="n">
        <v>0</v>
      </c>
      <c r="Z945" s="6" t="s">
        <v>7724</v>
      </c>
      <c r="AA945" s="6" t="n">
        <v>0</v>
      </c>
    </row>
    <row r="946" customFormat="false" ht="12.8" hidden="false" customHeight="false" outlineLevel="0" collapsed="false">
      <c r="A946" s="6" t="s">
        <v>7725</v>
      </c>
      <c r="B946" s="6" t="n">
        <v>439</v>
      </c>
      <c r="C946" s="6" t="n">
        <v>152</v>
      </c>
      <c r="D946" s="12" t="n">
        <f aca="false">C946/(B946+C946)*100</f>
        <v>25.7191201353638</v>
      </c>
      <c r="E946" s="6" t="n">
        <v>14</v>
      </c>
      <c r="F946" s="6" t="s">
        <v>7726</v>
      </c>
      <c r="G946" s="6" t="n">
        <v>61</v>
      </c>
      <c r="H946" s="6" t="s">
        <v>7727</v>
      </c>
      <c r="I946" s="6" t="n">
        <v>60</v>
      </c>
      <c r="J946" s="6" t="s">
        <v>7728</v>
      </c>
      <c r="K946" s="6" t="n">
        <v>8</v>
      </c>
      <c r="L946" s="6" t="s">
        <v>7729</v>
      </c>
      <c r="M946" s="6" t="n">
        <v>7</v>
      </c>
      <c r="N946" s="6" t="s">
        <v>7730</v>
      </c>
      <c r="O946" s="6" t="n">
        <v>4</v>
      </c>
      <c r="P946" s="6" t="s">
        <v>7731</v>
      </c>
      <c r="Q946" s="6" t="n">
        <v>4</v>
      </c>
      <c r="R946" s="6" t="s">
        <v>7732</v>
      </c>
      <c r="S946" s="6" t="n">
        <v>2</v>
      </c>
      <c r="T946" s="6" t="s">
        <v>7733</v>
      </c>
      <c r="U946" s="6" t="n">
        <v>2</v>
      </c>
      <c r="V946" s="6" t="s">
        <v>7734</v>
      </c>
      <c r="W946" s="6" t="n">
        <v>1</v>
      </c>
      <c r="X946" s="6" t="s">
        <v>7735</v>
      </c>
      <c r="Y946" s="6" t="n">
        <v>1</v>
      </c>
      <c r="Z946" s="6" t="s">
        <v>7736</v>
      </c>
      <c r="AA946" s="6" t="n">
        <v>1</v>
      </c>
      <c r="AB946" s="6" t="s">
        <v>7737</v>
      </c>
      <c r="AC946" s="6" t="n">
        <v>1</v>
      </c>
      <c r="AD946" s="6" t="s">
        <v>7738</v>
      </c>
      <c r="AE946" s="6" t="n">
        <v>0</v>
      </c>
      <c r="AF946" s="6" t="s">
        <v>7739</v>
      </c>
      <c r="AG946" s="6" t="n">
        <v>0</v>
      </c>
    </row>
    <row r="947" customFormat="false" ht="12.8" hidden="false" customHeight="false" outlineLevel="0" collapsed="false">
      <c r="A947" s="6" t="s">
        <v>7740</v>
      </c>
      <c r="B947" s="6" t="n">
        <v>442</v>
      </c>
      <c r="C947" s="6" t="n">
        <v>260</v>
      </c>
      <c r="D947" s="12" t="n">
        <f aca="false">C947/(B947+C947)*100</f>
        <v>37.037037037037</v>
      </c>
      <c r="E947" s="6" t="n">
        <v>17</v>
      </c>
      <c r="F947" s="6" t="s">
        <v>7741</v>
      </c>
      <c r="G947" s="6" t="n">
        <v>71</v>
      </c>
      <c r="H947" s="6" t="s">
        <v>7742</v>
      </c>
      <c r="I947" s="6" t="n">
        <v>62</v>
      </c>
      <c r="J947" s="6" t="s">
        <v>7743</v>
      </c>
      <c r="K947" s="6" t="n">
        <v>54</v>
      </c>
      <c r="L947" s="6" t="s">
        <v>7744</v>
      </c>
      <c r="M947" s="6" t="n">
        <v>15</v>
      </c>
      <c r="N947" s="6" t="s">
        <v>7745</v>
      </c>
      <c r="O947" s="6" t="n">
        <v>13</v>
      </c>
      <c r="P947" s="6" t="s">
        <v>7746</v>
      </c>
      <c r="Q947" s="6" t="n">
        <v>11</v>
      </c>
      <c r="R947" s="6" t="s">
        <v>7747</v>
      </c>
      <c r="S947" s="6" t="n">
        <v>10</v>
      </c>
      <c r="T947" s="6" t="s">
        <v>7748</v>
      </c>
      <c r="U947" s="6" t="n">
        <v>5</v>
      </c>
      <c r="V947" s="6" t="s">
        <v>7749</v>
      </c>
      <c r="W947" s="6" t="n">
        <v>5</v>
      </c>
      <c r="X947" s="6" t="s">
        <v>7750</v>
      </c>
      <c r="Y947" s="6" t="n">
        <v>4</v>
      </c>
      <c r="Z947" s="6" t="s">
        <v>7751</v>
      </c>
      <c r="AA947" s="6" t="n">
        <v>3</v>
      </c>
      <c r="AB947" s="6" t="s">
        <v>7752</v>
      </c>
      <c r="AC947" s="6" t="n">
        <v>2</v>
      </c>
      <c r="AD947" s="6" t="s">
        <v>7753</v>
      </c>
      <c r="AE947" s="6" t="n">
        <v>2</v>
      </c>
      <c r="AF947" s="6" t="s">
        <v>7754</v>
      </c>
      <c r="AG947" s="6" t="n">
        <v>1</v>
      </c>
      <c r="AH947" s="6" t="s">
        <v>7755</v>
      </c>
      <c r="AI947" s="6" t="n">
        <v>1</v>
      </c>
      <c r="AJ947" s="6" t="s">
        <v>7756</v>
      </c>
      <c r="AK947" s="6" t="n">
        <v>1</v>
      </c>
      <c r="AL947" s="6" t="s">
        <v>7757</v>
      </c>
      <c r="AM947" s="6" t="n">
        <v>0</v>
      </c>
    </row>
    <row r="948" customFormat="false" ht="12.8" hidden="false" customHeight="false" outlineLevel="0" collapsed="false">
      <c r="A948" s="6" t="s">
        <v>7758</v>
      </c>
      <c r="B948" s="6" t="n">
        <v>445</v>
      </c>
      <c r="C948" s="6" t="n">
        <v>1519</v>
      </c>
      <c r="D948" s="12" t="n">
        <f aca="false">C948/(B948+C948)*100</f>
        <v>77.3421588594705</v>
      </c>
      <c r="E948" s="6" t="n">
        <v>21</v>
      </c>
      <c r="F948" s="6" t="s">
        <v>7759</v>
      </c>
      <c r="G948" s="6" t="n">
        <v>471</v>
      </c>
      <c r="H948" s="6" t="s">
        <v>7760</v>
      </c>
      <c r="I948" s="6" t="n">
        <v>253</v>
      </c>
      <c r="J948" s="6" t="s">
        <v>7761</v>
      </c>
      <c r="K948" s="6" t="n">
        <v>138</v>
      </c>
      <c r="L948" s="6" t="s">
        <v>7762</v>
      </c>
      <c r="M948" s="6" t="n">
        <v>124</v>
      </c>
      <c r="N948" s="6" t="s">
        <v>7762</v>
      </c>
      <c r="O948" s="6" t="n">
        <v>124</v>
      </c>
      <c r="P948" s="6" t="s">
        <v>7763</v>
      </c>
      <c r="Q948" s="6" t="n">
        <v>107</v>
      </c>
      <c r="R948" s="6" t="s">
        <v>7764</v>
      </c>
      <c r="S948" s="6" t="n">
        <v>91</v>
      </c>
      <c r="T948" s="6" t="s">
        <v>7765</v>
      </c>
      <c r="U948" s="6" t="n">
        <v>81</v>
      </c>
      <c r="V948" s="6" t="s">
        <v>7766</v>
      </c>
      <c r="W948" s="6" t="n">
        <v>27</v>
      </c>
      <c r="X948" s="6" t="s">
        <v>7767</v>
      </c>
      <c r="Y948" s="6" t="n">
        <v>24</v>
      </c>
      <c r="Z948" s="6" t="s">
        <v>7768</v>
      </c>
      <c r="AA948" s="6" t="n">
        <v>22</v>
      </c>
      <c r="AB948" s="6" t="s">
        <v>7769</v>
      </c>
      <c r="AC948" s="6" t="n">
        <v>21</v>
      </c>
      <c r="AD948" s="6" t="s">
        <v>7770</v>
      </c>
      <c r="AE948" s="6" t="n">
        <v>16</v>
      </c>
      <c r="AF948" s="6" t="s">
        <v>7771</v>
      </c>
      <c r="AG948" s="6" t="n">
        <v>10</v>
      </c>
      <c r="AH948" s="6" t="s">
        <v>7772</v>
      </c>
      <c r="AI948" s="6" t="n">
        <v>5</v>
      </c>
      <c r="AJ948" s="6" t="s">
        <v>7773</v>
      </c>
      <c r="AK948" s="6" t="n">
        <v>2</v>
      </c>
      <c r="AL948" s="6" t="s">
        <v>7774</v>
      </c>
      <c r="AM948" s="6" t="n">
        <v>1</v>
      </c>
      <c r="AN948" s="6" t="s">
        <v>7775</v>
      </c>
      <c r="AO948" s="6" t="n">
        <v>1</v>
      </c>
      <c r="AP948" s="6" t="s">
        <v>7776</v>
      </c>
      <c r="AQ948" s="6" t="n">
        <v>1</v>
      </c>
      <c r="AR948" s="6" t="s">
        <v>7777</v>
      </c>
      <c r="AS948" s="6" t="n">
        <v>0</v>
      </c>
      <c r="AT948" s="6" t="s">
        <v>7778</v>
      </c>
      <c r="AU948" s="6" t="n">
        <v>0</v>
      </c>
    </row>
    <row r="949" customFormat="false" ht="12.8" hidden="false" customHeight="false" outlineLevel="0" collapsed="false">
      <c r="A949" s="6" t="s">
        <v>7779</v>
      </c>
      <c r="B949" s="6" t="n">
        <v>451</v>
      </c>
      <c r="C949" s="6" t="n">
        <v>240</v>
      </c>
      <c r="D949" s="12" t="n">
        <f aca="false">C949/(B949+C949)*100</f>
        <v>34.7322720694645</v>
      </c>
      <c r="E949" s="6" t="n">
        <v>11</v>
      </c>
      <c r="F949" s="6" t="s">
        <v>7780</v>
      </c>
      <c r="G949" s="6" t="n">
        <v>120</v>
      </c>
      <c r="H949" s="6" t="s">
        <v>7781</v>
      </c>
      <c r="I949" s="6" t="n">
        <v>56</v>
      </c>
      <c r="J949" s="6" t="s">
        <v>7782</v>
      </c>
      <c r="K949" s="6" t="n">
        <v>22</v>
      </c>
      <c r="L949" s="6" t="s">
        <v>7783</v>
      </c>
      <c r="M949" s="6" t="n">
        <v>12</v>
      </c>
      <c r="N949" s="6" t="s">
        <v>7784</v>
      </c>
      <c r="O949" s="6" t="n">
        <v>9</v>
      </c>
      <c r="P949" s="6" t="s">
        <v>7785</v>
      </c>
      <c r="Q949" s="6" t="n">
        <v>7</v>
      </c>
      <c r="R949" s="6" t="s">
        <v>7786</v>
      </c>
      <c r="S949" s="6" t="n">
        <v>6</v>
      </c>
      <c r="T949" s="6" t="s">
        <v>7787</v>
      </c>
      <c r="U949" s="6" t="n">
        <v>5</v>
      </c>
      <c r="V949" s="6" t="s">
        <v>7788</v>
      </c>
      <c r="W949" s="6" t="n">
        <v>1</v>
      </c>
      <c r="X949" s="6" t="s">
        <v>7789</v>
      </c>
      <c r="Y949" s="6" t="n">
        <v>1</v>
      </c>
      <c r="Z949" s="6" t="s">
        <v>7790</v>
      </c>
      <c r="AA949" s="6" t="n">
        <v>1</v>
      </c>
    </row>
    <row r="950" customFormat="false" ht="12.8" hidden="false" customHeight="false" outlineLevel="0" collapsed="false">
      <c r="A950" s="6" t="s">
        <v>7791</v>
      </c>
      <c r="B950" s="6" t="n">
        <v>453</v>
      </c>
      <c r="C950" s="6" t="n">
        <v>54</v>
      </c>
      <c r="D950" s="12" t="n">
        <f aca="false">C950/(B950+C950)*100</f>
        <v>10.6508875739645</v>
      </c>
      <c r="E950" s="6" t="n">
        <v>8</v>
      </c>
      <c r="F950" s="6" t="s">
        <v>7792</v>
      </c>
      <c r="G950" s="6" t="n">
        <v>25</v>
      </c>
      <c r="H950" s="6" t="s">
        <v>7793</v>
      </c>
      <c r="I950" s="6" t="n">
        <v>16</v>
      </c>
      <c r="J950" s="6" t="s">
        <v>7794</v>
      </c>
      <c r="K950" s="6" t="n">
        <v>6</v>
      </c>
      <c r="L950" s="6" t="s">
        <v>7795</v>
      </c>
      <c r="M950" s="6" t="n">
        <v>3</v>
      </c>
      <c r="N950" s="6" t="s">
        <v>7796</v>
      </c>
      <c r="O950" s="6" t="n">
        <v>2</v>
      </c>
      <c r="P950" s="6" t="s">
        <v>7797</v>
      </c>
      <c r="Q950" s="6" t="n">
        <v>1</v>
      </c>
      <c r="R950" s="6" t="s">
        <v>7798</v>
      </c>
      <c r="S950" s="6" t="n">
        <v>1</v>
      </c>
      <c r="T950" s="6" t="s">
        <v>7799</v>
      </c>
      <c r="U950" s="6" t="n">
        <v>0</v>
      </c>
    </row>
    <row r="951" customFormat="false" ht="12.8" hidden="false" customHeight="false" outlineLevel="0" collapsed="false">
      <c r="A951" s="6" t="s">
        <v>7800</v>
      </c>
      <c r="B951" s="6" t="n">
        <v>455</v>
      </c>
      <c r="C951" s="6" t="n">
        <v>168</v>
      </c>
      <c r="D951" s="12" t="n">
        <f aca="false">C951/(B951+C951)*100</f>
        <v>26.9662921348315</v>
      </c>
      <c r="E951" s="6" t="n">
        <v>22</v>
      </c>
      <c r="F951" s="6" t="s">
        <v>7801</v>
      </c>
      <c r="G951" s="6" t="n">
        <v>76</v>
      </c>
      <c r="H951" s="6" t="s">
        <v>7802</v>
      </c>
      <c r="I951" s="6" t="n">
        <v>30</v>
      </c>
      <c r="J951" s="6" t="s">
        <v>7803</v>
      </c>
      <c r="K951" s="6" t="n">
        <v>13</v>
      </c>
      <c r="L951" s="6" t="s">
        <v>7804</v>
      </c>
      <c r="M951" s="6" t="n">
        <v>12</v>
      </c>
      <c r="N951" s="6" t="s">
        <v>7805</v>
      </c>
      <c r="O951" s="6" t="n">
        <v>8</v>
      </c>
      <c r="P951" s="6" t="s">
        <v>7806</v>
      </c>
      <c r="Q951" s="6" t="n">
        <v>7</v>
      </c>
      <c r="R951" s="6" t="s">
        <v>7807</v>
      </c>
      <c r="S951" s="6" t="n">
        <v>6</v>
      </c>
      <c r="T951" s="6" t="s">
        <v>7808</v>
      </c>
      <c r="U951" s="6" t="n">
        <v>4</v>
      </c>
      <c r="V951" s="6" t="s">
        <v>7809</v>
      </c>
      <c r="W951" s="6" t="n">
        <v>4</v>
      </c>
      <c r="X951" s="6" t="s">
        <v>7810</v>
      </c>
      <c r="Y951" s="6" t="n">
        <v>3</v>
      </c>
      <c r="Z951" s="6" t="s">
        <v>7811</v>
      </c>
      <c r="AA951" s="6" t="n">
        <v>2</v>
      </c>
      <c r="AB951" s="6" t="s">
        <v>7812</v>
      </c>
      <c r="AC951" s="6" t="n">
        <v>1</v>
      </c>
      <c r="AD951" s="6" t="s">
        <v>7813</v>
      </c>
      <c r="AE951" s="6" t="n">
        <v>1</v>
      </c>
      <c r="AF951" s="6" t="s">
        <v>7814</v>
      </c>
      <c r="AG951" s="6" t="n">
        <v>1</v>
      </c>
      <c r="AH951" s="6" t="s">
        <v>7815</v>
      </c>
      <c r="AI951" s="6" t="n">
        <v>0</v>
      </c>
      <c r="AJ951" s="6" t="s">
        <v>7816</v>
      </c>
      <c r="AK951" s="6" t="n">
        <v>0</v>
      </c>
      <c r="AL951" s="6" t="s">
        <v>7817</v>
      </c>
      <c r="AM951" s="6" t="n">
        <v>0</v>
      </c>
      <c r="AN951" s="6" t="s">
        <v>7818</v>
      </c>
      <c r="AO951" s="6" t="n">
        <v>0</v>
      </c>
      <c r="AP951" s="6" t="s">
        <v>7819</v>
      </c>
      <c r="AQ951" s="6" t="n">
        <v>0</v>
      </c>
      <c r="AR951" s="6" t="s">
        <v>7820</v>
      </c>
      <c r="AS951" s="6" t="n">
        <v>0</v>
      </c>
      <c r="AT951" s="6" t="s">
        <v>7821</v>
      </c>
      <c r="AU951" s="6" t="n">
        <v>0</v>
      </c>
      <c r="AV951" s="6" t="s">
        <v>7822</v>
      </c>
      <c r="AW951" s="6" t="n">
        <v>0</v>
      </c>
    </row>
    <row r="952" customFormat="false" ht="12.8" hidden="false" customHeight="false" outlineLevel="0" collapsed="false">
      <c r="A952" s="6" t="s">
        <v>7823</v>
      </c>
      <c r="B952" s="6" t="n">
        <v>457</v>
      </c>
      <c r="C952" s="6" t="n">
        <v>127</v>
      </c>
      <c r="D952" s="12" t="n">
        <f aca="false">C952/(B952+C952)*100</f>
        <v>21.7465753424658</v>
      </c>
      <c r="E952" s="6" t="n">
        <v>9</v>
      </c>
      <c r="F952" s="6" t="s">
        <v>7824</v>
      </c>
      <c r="G952" s="6" t="n">
        <v>79</v>
      </c>
      <c r="H952" s="6" t="s">
        <v>7825</v>
      </c>
      <c r="I952" s="6" t="n">
        <v>27</v>
      </c>
      <c r="J952" s="6" t="s">
        <v>7826</v>
      </c>
      <c r="K952" s="6" t="n">
        <v>6</v>
      </c>
      <c r="L952" s="6" t="s">
        <v>7827</v>
      </c>
      <c r="M952" s="6" t="n">
        <v>5</v>
      </c>
      <c r="N952" s="6" t="s">
        <v>7828</v>
      </c>
      <c r="O952" s="6" t="n">
        <v>5</v>
      </c>
      <c r="P952" s="6" t="s">
        <v>7829</v>
      </c>
      <c r="Q952" s="6" t="n">
        <v>2</v>
      </c>
      <c r="R952" s="6" t="s">
        <v>7830</v>
      </c>
      <c r="S952" s="6" t="n">
        <v>1</v>
      </c>
      <c r="T952" s="6" t="s">
        <v>7831</v>
      </c>
      <c r="U952" s="6" t="n">
        <v>1</v>
      </c>
      <c r="V952" s="6" t="s">
        <v>7832</v>
      </c>
      <c r="W952" s="6" t="n">
        <v>1</v>
      </c>
    </row>
    <row r="953" customFormat="false" ht="12.8" hidden="false" customHeight="false" outlineLevel="0" collapsed="false">
      <c r="A953" s="6" t="s">
        <v>7833</v>
      </c>
      <c r="B953" s="6" t="n">
        <v>461</v>
      </c>
      <c r="C953" s="6" t="n">
        <v>470</v>
      </c>
      <c r="D953" s="12" t="n">
        <f aca="false">C953/(B953+C953)*100</f>
        <v>50.4833512352309</v>
      </c>
      <c r="E953" s="6" t="n">
        <v>13</v>
      </c>
      <c r="F953" s="6" t="s">
        <v>7834</v>
      </c>
      <c r="G953" s="6" t="n">
        <v>215</v>
      </c>
      <c r="H953" s="6" t="s">
        <v>7835</v>
      </c>
      <c r="I953" s="6" t="n">
        <v>138</v>
      </c>
      <c r="J953" s="6" t="s">
        <v>7836</v>
      </c>
      <c r="K953" s="6" t="n">
        <v>75</v>
      </c>
      <c r="L953" s="6" t="s">
        <v>7837</v>
      </c>
      <c r="M953" s="6" t="n">
        <v>22</v>
      </c>
      <c r="N953" s="6" t="s">
        <v>7838</v>
      </c>
      <c r="O953" s="6" t="n">
        <v>13</v>
      </c>
      <c r="P953" s="6" t="s">
        <v>7839</v>
      </c>
      <c r="Q953" s="6" t="n">
        <v>2</v>
      </c>
      <c r="R953" s="6" t="s">
        <v>7840</v>
      </c>
      <c r="S953" s="6" t="n">
        <v>1</v>
      </c>
      <c r="T953" s="6" t="s">
        <v>7841</v>
      </c>
      <c r="U953" s="6" t="n">
        <v>1</v>
      </c>
      <c r="V953" s="6" t="s">
        <v>7842</v>
      </c>
      <c r="W953" s="6" t="n">
        <v>1</v>
      </c>
      <c r="X953" s="6" t="s">
        <v>7843</v>
      </c>
      <c r="Y953" s="6" t="n">
        <v>1</v>
      </c>
      <c r="Z953" s="6" t="s">
        <v>7844</v>
      </c>
      <c r="AA953" s="6" t="n">
        <v>1</v>
      </c>
      <c r="AB953" s="6" t="s">
        <v>7845</v>
      </c>
      <c r="AC953" s="6" t="n">
        <v>0</v>
      </c>
      <c r="AD953" s="6" t="s">
        <v>7846</v>
      </c>
      <c r="AE953" s="6" t="n">
        <v>0</v>
      </c>
    </row>
    <row r="954" customFormat="false" ht="12.8" hidden="false" customHeight="false" outlineLevel="0" collapsed="false">
      <c r="A954" s="6" t="s">
        <v>7847</v>
      </c>
      <c r="B954" s="6" t="n">
        <v>473</v>
      </c>
      <c r="C954" s="6" t="n">
        <v>9</v>
      </c>
      <c r="D954" s="12" t="n">
        <f aca="false">C954/(B954+C954)*100</f>
        <v>1.86721991701245</v>
      </c>
      <c r="E954" s="6" t="n">
        <v>9</v>
      </c>
      <c r="F954" s="6" t="s">
        <v>7848</v>
      </c>
      <c r="G954" s="6" t="n">
        <v>2</v>
      </c>
      <c r="H954" s="6" t="s">
        <v>7849</v>
      </c>
      <c r="I954" s="6" t="n">
        <v>2</v>
      </c>
      <c r="J954" s="6" t="s">
        <v>7850</v>
      </c>
      <c r="K954" s="6" t="n">
        <v>2</v>
      </c>
      <c r="L954" s="6" t="s">
        <v>7851</v>
      </c>
      <c r="M954" s="6" t="n">
        <v>2</v>
      </c>
      <c r="N954" s="6" t="s">
        <v>7852</v>
      </c>
      <c r="O954" s="6" t="n">
        <v>1</v>
      </c>
      <c r="P954" s="6" t="s">
        <v>7853</v>
      </c>
      <c r="Q954" s="6" t="n">
        <v>0</v>
      </c>
      <c r="R954" s="6" t="s">
        <v>7854</v>
      </c>
      <c r="S954" s="6" t="n">
        <v>0</v>
      </c>
      <c r="T954" s="6" t="s">
        <v>7855</v>
      </c>
      <c r="U954" s="6" t="n">
        <v>0</v>
      </c>
      <c r="V954" s="6" t="s">
        <v>7856</v>
      </c>
      <c r="W954" s="6" t="n">
        <v>0</v>
      </c>
    </row>
    <row r="955" customFormat="false" ht="12.8" hidden="false" customHeight="false" outlineLevel="0" collapsed="false">
      <c r="A955" s="6" t="s">
        <v>7857</v>
      </c>
      <c r="B955" s="6" t="n">
        <v>481</v>
      </c>
      <c r="C955" s="6" t="n">
        <v>637</v>
      </c>
      <c r="D955" s="12" t="n">
        <f aca="false">C955/(B955+C955)*100</f>
        <v>56.9767441860465</v>
      </c>
      <c r="E955" s="6" t="n">
        <v>15</v>
      </c>
      <c r="F955" s="6" t="s">
        <v>7858</v>
      </c>
      <c r="G955" s="6" t="n">
        <v>291</v>
      </c>
      <c r="H955" s="6" t="s">
        <v>7859</v>
      </c>
      <c r="I955" s="6" t="n">
        <v>175</v>
      </c>
      <c r="J955" s="6" t="s">
        <v>7860</v>
      </c>
      <c r="K955" s="6" t="n">
        <v>93</v>
      </c>
      <c r="L955" s="6" t="s">
        <v>7861</v>
      </c>
      <c r="M955" s="6" t="n">
        <v>45</v>
      </c>
      <c r="N955" s="6" t="s">
        <v>7862</v>
      </c>
      <c r="O955" s="6" t="n">
        <v>16</v>
      </c>
      <c r="P955" s="6" t="s">
        <v>7863</v>
      </c>
      <c r="Q955" s="6" t="n">
        <v>5</v>
      </c>
      <c r="R955" s="6" t="s">
        <v>7864</v>
      </c>
      <c r="S955" s="6" t="n">
        <v>5</v>
      </c>
      <c r="T955" s="6" t="s">
        <v>7865</v>
      </c>
      <c r="U955" s="6" t="n">
        <v>2</v>
      </c>
      <c r="V955" s="6" t="s">
        <v>7866</v>
      </c>
      <c r="W955" s="6" t="n">
        <v>2</v>
      </c>
      <c r="X955" s="6" t="s">
        <v>7867</v>
      </c>
      <c r="Y955" s="6" t="n">
        <v>1</v>
      </c>
      <c r="Z955" s="6" t="s">
        <v>7868</v>
      </c>
      <c r="AA955" s="6" t="n">
        <v>1</v>
      </c>
      <c r="AB955" s="6" t="s">
        <v>7869</v>
      </c>
      <c r="AC955" s="6" t="n">
        <v>1</v>
      </c>
      <c r="AD955" s="6" t="s">
        <v>7870</v>
      </c>
      <c r="AE955" s="6" t="n">
        <v>0</v>
      </c>
      <c r="AF955" s="6" t="s">
        <v>7871</v>
      </c>
      <c r="AG955" s="6" t="n">
        <v>0</v>
      </c>
      <c r="AH955" s="6" t="s">
        <v>7872</v>
      </c>
      <c r="AI955" s="6" t="n">
        <v>0</v>
      </c>
    </row>
    <row r="956" customFormat="false" ht="12.8" hidden="false" customHeight="false" outlineLevel="0" collapsed="false">
      <c r="A956" s="6" t="s">
        <v>7873</v>
      </c>
      <c r="B956" s="6" t="n">
        <v>481</v>
      </c>
      <c r="C956" s="6" t="n">
        <v>6</v>
      </c>
      <c r="D956" s="12" t="n">
        <f aca="false">C956/(B956+C956)*100</f>
        <v>1.23203285420945</v>
      </c>
      <c r="E956" s="6" t="n">
        <v>7</v>
      </c>
      <c r="F956" s="6" t="s">
        <v>7874</v>
      </c>
      <c r="G956" s="6" t="n">
        <v>2</v>
      </c>
      <c r="H956" s="6" t="s">
        <v>7875</v>
      </c>
      <c r="I956" s="6" t="n">
        <v>1</v>
      </c>
      <c r="J956" s="6" t="s">
        <v>7876</v>
      </c>
      <c r="K956" s="6" t="n">
        <v>1</v>
      </c>
      <c r="L956" s="6" t="s">
        <v>7877</v>
      </c>
      <c r="M956" s="6" t="n">
        <v>1</v>
      </c>
      <c r="N956" s="6" t="s">
        <v>7878</v>
      </c>
      <c r="O956" s="6" t="n">
        <v>1</v>
      </c>
      <c r="P956" s="6" t="s">
        <v>7879</v>
      </c>
      <c r="Q956" s="6" t="n">
        <v>0</v>
      </c>
      <c r="R956" s="6" t="s">
        <v>7880</v>
      </c>
      <c r="S956" s="6" t="n">
        <v>0</v>
      </c>
    </row>
    <row r="957" customFormat="false" ht="12.8" hidden="false" customHeight="false" outlineLevel="0" collapsed="false">
      <c r="A957" s="6" t="s">
        <v>7881</v>
      </c>
      <c r="B957" s="6" t="n">
        <v>487</v>
      </c>
      <c r="C957" s="6" t="n">
        <v>269</v>
      </c>
      <c r="D957" s="12" t="n">
        <f aca="false">C957/(B957+C957)*100</f>
        <v>35.5820105820106</v>
      </c>
      <c r="E957" s="6" t="n">
        <v>9</v>
      </c>
      <c r="F957" s="6" t="s">
        <v>7882</v>
      </c>
      <c r="G957" s="6" t="n">
        <v>141</v>
      </c>
      <c r="H957" s="6" t="s">
        <v>7883</v>
      </c>
      <c r="I957" s="6" t="n">
        <v>72</v>
      </c>
      <c r="J957" s="6" t="s">
        <v>7884</v>
      </c>
      <c r="K957" s="6" t="n">
        <v>38</v>
      </c>
      <c r="L957" s="6" t="s">
        <v>7885</v>
      </c>
      <c r="M957" s="6" t="n">
        <v>7</v>
      </c>
      <c r="N957" s="6" t="s">
        <v>7886</v>
      </c>
      <c r="O957" s="6" t="n">
        <v>4</v>
      </c>
      <c r="P957" s="6" t="s">
        <v>7887</v>
      </c>
      <c r="Q957" s="6" t="n">
        <v>4</v>
      </c>
      <c r="R957" s="6" t="s">
        <v>7888</v>
      </c>
      <c r="S957" s="6" t="n">
        <v>1</v>
      </c>
      <c r="T957" s="6" t="s">
        <v>7889</v>
      </c>
      <c r="U957" s="6" t="n">
        <v>1</v>
      </c>
      <c r="V957" s="6" t="s">
        <v>7890</v>
      </c>
      <c r="W957" s="6" t="n">
        <v>1</v>
      </c>
    </row>
    <row r="958" customFormat="false" ht="12.8" hidden="false" customHeight="false" outlineLevel="0" collapsed="false">
      <c r="A958" s="6" t="s">
        <v>7891</v>
      </c>
      <c r="B958" s="6" t="n">
        <v>491</v>
      </c>
      <c r="C958" s="6" t="n">
        <v>289</v>
      </c>
      <c r="D958" s="12" t="n">
        <f aca="false">C958/(B958+C958)*100</f>
        <v>37.0512820512821</v>
      </c>
      <c r="E958" s="6" t="n">
        <v>9</v>
      </c>
      <c r="F958" s="6" t="s">
        <v>7892</v>
      </c>
      <c r="G958" s="6" t="n">
        <v>205</v>
      </c>
      <c r="H958" s="6" t="s">
        <v>7893</v>
      </c>
      <c r="I958" s="6" t="n">
        <v>72</v>
      </c>
      <c r="J958" s="6" t="s">
        <v>7894</v>
      </c>
      <c r="K958" s="6" t="n">
        <v>5</v>
      </c>
      <c r="L958" s="6" t="s">
        <v>7895</v>
      </c>
      <c r="M958" s="6" t="n">
        <v>3</v>
      </c>
      <c r="N958" s="6" t="s">
        <v>7896</v>
      </c>
      <c r="O958" s="6" t="n">
        <v>1</v>
      </c>
      <c r="P958" s="6" t="s">
        <v>7897</v>
      </c>
      <c r="Q958" s="6" t="n">
        <v>1</v>
      </c>
      <c r="R958" s="6" t="s">
        <v>7898</v>
      </c>
      <c r="S958" s="6" t="n">
        <v>1</v>
      </c>
      <c r="T958" s="6" t="s">
        <v>7899</v>
      </c>
      <c r="U958" s="6" t="n">
        <v>1</v>
      </c>
      <c r="V958" s="6" t="s">
        <v>7900</v>
      </c>
      <c r="W958" s="6" t="n">
        <v>0</v>
      </c>
    </row>
    <row r="959" customFormat="false" ht="12.8" hidden="false" customHeight="false" outlineLevel="0" collapsed="false">
      <c r="A959" s="6" t="s">
        <v>7901</v>
      </c>
      <c r="B959" s="6" t="n">
        <v>493</v>
      </c>
      <c r="C959" s="6" t="n">
        <v>40</v>
      </c>
      <c r="D959" s="12" t="n">
        <f aca="false">C959/(B959+C959)*100</f>
        <v>7.5046904315197</v>
      </c>
      <c r="E959" s="6" t="n">
        <v>8</v>
      </c>
      <c r="F959" s="6" t="s">
        <v>7902</v>
      </c>
      <c r="G959" s="6" t="n">
        <v>20</v>
      </c>
      <c r="H959" s="6" t="s">
        <v>7903</v>
      </c>
      <c r="I959" s="6" t="n">
        <v>7</v>
      </c>
      <c r="J959" s="6" t="s">
        <v>7904</v>
      </c>
      <c r="K959" s="6" t="n">
        <v>5</v>
      </c>
      <c r="L959" s="6" t="s">
        <v>7905</v>
      </c>
      <c r="M959" s="6" t="n">
        <v>3</v>
      </c>
      <c r="N959" s="6" t="s">
        <v>7906</v>
      </c>
      <c r="O959" s="6" t="n">
        <v>3</v>
      </c>
      <c r="P959" s="6" t="s">
        <v>7907</v>
      </c>
      <c r="Q959" s="6" t="n">
        <v>2</v>
      </c>
      <c r="R959" s="6" t="s">
        <v>7908</v>
      </c>
      <c r="S959" s="6" t="n">
        <v>0</v>
      </c>
      <c r="T959" s="6" t="s">
        <v>7909</v>
      </c>
      <c r="U959" s="6" t="n">
        <v>0</v>
      </c>
    </row>
    <row r="960" customFormat="false" ht="12.8" hidden="false" customHeight="false" outlineLevel="0" collapsed="false">
      <c r="A960" s="6" t="s">
        <v>7910</v>
      </c>
      <c r="B960" s="6" t="n">
        <v>495</v>
      </c>
      <c r="C960" s="6" t="n">
        <v>382</v>
      </c>
      <c r="D960" s="12" t="n">
        <f aca="false">C960/(B960+C960)*100</f>
        <v>43.557582668187</v>
      </c>
      <c r="E960" s="6" t="n">
        <v>4</v>
      </c>
      <c r="F960" s="6" t="s">
        <v>7911</v>
      </c>
      <c r="G960" s="6" t="n">
        <v>379</v>
      </c>
      <c r="H960" s="6" t="s">
        <v>7912</v>
      </c>
      <c r="I960" s="6" t="n">
        <v>1</v>
      </c>
      <c r="J960" s="6" t="s">
        <v>7913</v>
      </c>
      <c r="K960" s="6" t="n">
        <v>1</v>
      </c>
      <c r="L960" s="6" t="s">
        <v>7914</v>
      </c>
      <c r="M960" s="6" t="n">
        <v>1</v>
      </c>
    </row>
    <row r="961" customFormat="false" ht="12.8" hidden="false" customHeight="false" outlineLevel="0" collapsed="false">
      <c r="A961" s="6" t="s">
        <v>7915</v>
      </c>
      <c r="B961" s="6" t="n">
        <v>495</v>
      </c>
      <c r="C961" s="6" t="n">
        <v>30</v>
      </c>
      <c r="D961" s="12" t="n">
        <f aca="false">C961/(B961+C961)*100</f>
        <v>5.71428571428571</v>
      </c>
      <c r="E961" s="6" t="n">
        <v>4</v>
      </c>
      <c r="F961" s="6" t="s">
        <v>7916</v>
      </c>
      <c r="G961" s="6" t="n">
        <v>19</v>
      </c>
      <c r="H961" s="6" t="s">
        <v>7917</v>
      </c>
      <c r="I961" s="6" t="n">
        <v>8</v>
      </c>
      <c r="J961" s="6" t="s">
        <v>7918</v>
      </c>
      <c r="K961" s="6" t="n">
        <v>3</v>
      </c>
      <c r="L961" s="6" t="s">
        <v>7919</v>
      </c>
      <c r="M961" s="6" t="n">
        <v>0</v>
      </c>
    </row>
    <row r="962" customFormat="false" ht="12.8" hidden="false" customHeight="false" outlineLevel="0" collapsed="false">
      <c r="A962" s="6" t="s">
        <v>7920</v>
      </c>
      <c r="B962" s="6" t="n">
        <v>498</v>
      </c>
      <c r="C962" s="6" t="n">
        <v>577</v>
      </c>
      <c r="D962" s="12" t="n">
        <f aca="false">C962/(B962+C962)*100</f>
        <v>53.6744186046512</v>
      </c>
      <c r="E962" s="6" t="n">
        <v>4</v>
      </c>
      <c r="F962" s="6" t="s">
        <v>7921</v>
      </c>
      <c r="G962" s="6" t="n">
        <v>529</v>
      </c>
      <c r="H962" s="6" t="s">
        <v>7922</v>
      </c>
      <c r="I962" s="6" t="n">
        <v>48</v>
      </c>
      <c r="J962" s="6" t="s">
        <v>7923</v>
      </c>
      <c r="K962" s="6" t="n">
        <v>0</v>
      </c>
      <c r="L962" s="6" t="s">
        <v>7924</v>
      </c>
      <c r="M962" s="6" t="n">
        <v>0</v>
      </c>
    </row>
    <row r="963" customFormat="false" ht="12.8" hidden="false" customHeight="false" outlineLevel="0" collapsed="false">
      <c r="A963" s="6" t="s">
        <v>7925</v>
      </c>
      <c r="B963" s="6" t="n">
        <v>499</v>
      </c>
      <c r="C963" s="6" t="n">
        <v>443</v>
      </c>
      <c r="D963" s="12" t="n">
        <f aca="false">C963/(B963+C963)*100</f>
        <v>47.0276008492569</v>
      </c>
      <c r="E963" s="6" t="n">
        <v>9</v>
      </c>
      <c r="F963" s="6" t="s">
        <v>7926</v>
      </c>
      <c r="G963" s="6" t="n">
        <v>161</v>
      </c>
      <c r="H963" s="6" t="s">
        <v>7927</v>
      </c>
      <c r="I963" s="6" t="n">
        <v>158</v>
      </c>
      <c r="J963" s="6" t="s">
        <v>7928</v>
      </c>
      <c r="K963" s="6" t="n">
        <v>79</v>
      </c>
      <c r="L963" s="6" t="s">
        <v>7929</v>
      </c>
      <c r="M963" s="6" t="n">
        <v>17</v>
      </c>
      <c r="N963" s="6" t="s">
        <v>7930</v>
      </c>
      <c r="O963" s="6" t="n">
        <v>12</v>
      </c>
      <c r="P963" s="6" t="s">
        <v>7931</v>
      </c>
      <c r="Q963" s="6" t="n">
        <v>9</v>
      </c>
      <c r="R963" s="6" t="s">
        <v>7932</v>
      </c>
      <c r="S963" s="6" t="n">
        <v>4</v>
      </c>
      <c r="T963" s="6" t="s">
        <v>7933</v>
      </c>
      <c r="U963" s="6" t="n">
        <v>2</v>
      </c>
      <c r="V963" s="6" t="s">
        <v>7934</v>
      </c>
      <c r="W963" s="6" t="n">
        <v>1</v>
      </c>
    </row>
    <row r="964" customFormat="false" ht="12.8" hidden="false" customHeight="false" outlineLevel="0" collapsed="false">
      <c r="A964" s="6" t="s">
        <v>7935</v>
      </c>
      <c r="B964" s="6" t="n">
        <v>500</v>
      </c>
      <c r="C964" s="6" t="n">
        <v>171</v>
      </c>
      <c r="D964" s="12" t="n">
        <f aca="false">C964/(B964+C964)*100</f>
        <v>25.4843517138599</v>
      </c>
      <c r="E964" s="6" t="n">
        <v>7</v>
      </c>
      <c r="F964" s="6" t="s">
        <v>7936</v>
      </c>
      <c r="G964" s="6" t="n">
        <v>160</v>
      </c>
      <c r="H964" s="6" t="s">
        <v>7937</v>
      </c>
      <c r="I964" s="6" t="n">
        <v>5</v>
      </c>
      <c r="J964" s="6" t="s">
        <v>7938</v>
      </c>
      <c r="K964" s="6" t="n">
        <v>3</v>
      </c>
      <c r="L964" s="6" t="s">
        <v>7939</v>
      </c>
      <c r="M964" s="6" t="n">
        <v>1</v>
      </c>
      <c r="N964" s="6" t="s">
        <v>7940</v>
      </c>
      <c r="O964" s="6" t="n">
        <v>1</v>
      </c>
      <c r="P964" s="6" t="s">
        <v>7941</v>
      </c>
      <c r="Q964" s="6" t="n">
        <v>1</v>
      </c>
      <c r="R964" s="6" t="s">
        <v>7942</v>
      </c>
      <c r="S964" s="6" t="n">
        <v>0</v>
      </c>
    </row>
    <row r="965" customFormat="false" ht="12.8" hidden="false" customHeight="false" outlineLevel="0" collapsed="false">
      <c r="A965" s="6" t="s">
        <v>7943</v>
      </c>
      <c r="B965" s="6" t="n">
        <v>509</v>
      </c>
      <c r="C965" s="6" t="n">
        <v>342</v>
      </c>
      <c r="D965" s="12" t="n">
        <f aca="false">C965/(B965+C965)*100</f>
        <v>40.1880141010576</v>
      </c>
      <c r="E965" s="6" t="n">
        <v>18</v>
      </c>
      <c r="F965" s="6" t="s">
        <v>7944</v>
      </c>
      <c r="G965" s="6" t="n">
        <v>128</v>
      </c>
      <c r="H965" s="6" t="s">
        <v>7945</v>
      </c>
      <c r="I965" s="6" t="n">
        <v>124</v>
      </c>
      <c r="J965" s="6" t="s">
        <v>7946</v>
      </c>
      <c r="K965" s="6" t="n">
        <v>36</v>
      </c>
      <c r="L965" s="6" t="s">
        <v>7947</v>
      </c>
      <c r="M965" s="6" t="n">
        <v>25</v>
      </c>
      <c r="N965" s="6" t="s">
        <v>7948</v>
      </c>
      <c r="O965" s="6" t="n">
        <v>12</v>
      </c>
      <c r="P965" s="6" t="s">
        <v>7949</v>
      </c>
      <c r="Q965" s="6" t="n">
        <v>6</v>
      </c>
      <c r="R965" s="6" t="s">
        <v>7950</v>
      </c>
      <c r="S965" s="6" t="n">
        <v>4</v>
      </c>
      <c r="T965" s="6" t="s">
        <v>7951</v>
      </c>
      <c r="U965" s="6" t="n">
        <v>2</v>
      </c>
      <c r="V965" s="6" t="s">
        <v>7952</v>
      </c>
      <c r="W965" s="6" t="n">
        <v>2</v>
      </c>
      <c r="X965" s="6" t="s">
        <v>7953</v>
      </c>
      <c r="Y965" s="6" t="n">
        <v>1</v>
      </c>
      <c r="Z965" s="6" t="s">
        <v>7954</v>
      </c>
      <c r="AA965" s="6" t="n">
        <v>1</v>
      </c>
      <c r="AB965" s="6" t="s">
        <v>7955</v>
      </c>
      <c r="AC965" s="6" t="n">
        <v>1</v>
      </c>
      <c r="AD965" s="6" t="s">
        <v>7956</v>
      </c>
      <c r="AE965" s="6" t="n">
        <v>0</v>
      </c>
      <c r="AF965" s="6" t="s">
        <v>7957</v>
      </c>
      <c r="AG965" s="6" t="n">
        <v>0</v>
      </c>
      <c r="AH965" s="6" t="s">
        <v>7958</v>
      </c>
      <c r="AI965" s="6" t="n">
        <v>0</v>
      </c>
      <c r="AJ965" s="6" t="s">
        <v>7959</v>
      </c>
      <c r="AK965" s="6" t="n">
        <v>0</v>
      </c>
      <c r="AL965" s="6" t="s">
        <v>7960</v>
      </c>
      <c r="AM965" s="6" t="n">
        <v>0</v>
      </c>
      <c r="AN965" s="6" t="s">
        <v>7961</v>
      </c>
      <c r="AO965" s="6" t="n">
        <v>0</v>
      </c>
    </row>
    <row r="966" customFormat="false" ht="12.8" hidden="false" customHeight="false" outlineLevel="0" collapsed="false">
      <c r="A966" s="6" t="s">
        <v>7962</v>
      </c>
      <c r="B966" s="6" t="n">
        <v>523</v>
      </c>
      <c r="C966" s="6" t="n">
        <v>47</v>
      </c>
      <c r="D966" s="12" t="n">
        <f aca="false">C966/(B966+C966)*100</f>
        <v>8.24561403508772</v>
      </c>
      <c r="E966" s="6" t="n">
        <v>4</v>
      </c>
      <c r="F966" s="6" t="s">
        <v>7963</v>
      </c>
      <c r="G966" s="6" t="n">
        <v>23</v>
      </c>
      <c r="H966" s="6" t="s">
        <v>7964</v>
      </c>
      <c r="I966" s="6" t="n">
        <v>22</v>
      </c>
      <c r="J966" s="6" t="s">
        <v>7965</v>
      </c>
      <c r="K966" s="6" t="n">
        <v>1</v>
      </c>
      <c r="L966" s="6" t="s">
        <v>7966</v>
      </c>
      <c r="M966" s="6" t="n">
        <v>1</v>
      </c>
    </row>
    <row r="967" customFormat="false" ht="12.8" hidden="false" customHeight="false" outlineLevel="0" collapsed="false">
      <c r="A967" s="6" t="s">
        <v>7967</v>
      </c>
      <c r="B967" s="6" t="n">
        <v>531</v>
      </c>
      <c r="C967" s="6" t="n">
        <v>170</v>
      </c>
      <c r="D967" s="12" t="n">
        <f aca="false">C967/(B967+C967)*100</f>
        <v>24.2510699001427</v>
      </c>
      <c r="E967" s="6" t="n">
        <v>9</v>
      </c>
      <c r="F967" s="6" t="s">
        <v>7968</v>
      </c>
      <c r="G967" s="6" t="n">
        <v>149</v>
      </c>
      <c r="H967" s="6" t="s">
        <v>7969</v>
      </c>
      <c r="I967" s="6" t="n">
        <v>7</v>
      </c>
      <c r="J967" s="6" t="s">
        <v>7970</v>
      </c>
      <c r="K967" s="6" t="n">
        <v>5</v>
      </c>
      <c r="L967" s="6" t="s">
        <v>7971</v>
      </c>
      <c r="M967" s="6" t="n">
        <v>3</v>
      </c>
      <c r="N967" s="6" t="s">
        <v>7972</v>
      </c>
      <c r="O967" s="6" t="n">
        <v>2</v>
      </c>
      <c r="P967" s="6" t="s">
        <v>7973</v>
      </c>
      <c r="Q967" s="6" t="n">
        <v>1</v>
      </c>
      <c r="R967" s="6" t="s">
        <v>7974</v>
      </c>
      <c r="S967" s="6" t="n">
        <v>1</v>
      </c>
      <c r="T967" s="6" t="s">
        <v>7975</v>
      </c>
      <c r="U967" s="6" t="n">
        <v>1</v>
      </c>
      <c r="V967" s="6" t="s">
        <v>7976</v>
      </c>
      <c r="W967" s="6" t="n">
        <v>1</v>
      </c>
    </row>
    <row r="968" customFormat="false" ht="12.8" hidden="false" customHeight="false" outlineLevel="0" collapsed="false">
      <c r="A968" s="6" t="s">
        <v>7977</v>
      </c>
      <c r="B968" s="6" t="n">
        <v>532</v>
      </c>
      <c r="C968" s="6" t="n">
        <v>49</v>
      </c>
      <c r="D968" s="12" t="n">
        <f aca="false">C968/(B968+C968)*100</f>
        <v>8.43373493975904</v>
      </c>
      <c r="E968" s="6" t="n">
        <v>7</v>
      </c>
      <c r="F968" s="6" t="s">
        <v>7978</v>
      </c>
      <c r="G968" s="6" t="n">
        <v>41</v>
      </c>
      <c r="H968" s="6" t="s">
        <v>7979</v>
      </c>
      <c r="I968" s="6" t="n">
        <v>6</v>
      </c>
      <c r="J968" s="6" t="s">
        <v>7980</v>
      </c>
      <c r="K968" s="6" t="n">
        <v>1</v>
      </c>
      <c r="L968" s="6" t="s">
        <v>7981</v>
      </c>
      <c r="M968" s="6" t="n">
        <v>1</v>
      </c>
      <c r="N968" s="6" t="s">
        <v>7982</v>
      </c>
      <c r="O968" s="6" t="n">
        <v>0</v>
      </c>
      <c r="P968" s="6" t="s">
        <v>7983</v>
      </c>
      <c r="Q968" s="6" t="n">
        <v>0</v>
      </c>
      <c r="R968" s="6" t="s">
        <v>7984</v>
      </c>
      <c r="S968" s="6" t="n">
        <v>0</v>
      </c>
    </row>
    <row r="969" customFormat="false" ht="12.8" hidden="false" customHeight="false" outlineLevel="0" collapsed="false">
      <c r="A969" s="6" t="s">
        <v>7985</v>
      </c>
      <c r="B969" s="6" t="n">
        <v>534</v>
      </c>
      <c r="C969" s="6" t="n">
        <v>595</v>
      </c>
      <c r="D969" s="12" t="n">
        <f aca="false">C969/(B969+C969)*100</f>
        <v>52.7015057573074</v>
      </c>
      <c r="E969" s="6" t="n">
        <v>16</v>
      </c>
      <c r="F969" s="6" t="s">
        <v>7986</v>
      </c>
      <c r="G969" s="6" t="n">
        <v>294</v>
      </c>
      <c r="H969" s="6" t="s">
        <v>7987</v>
      </c>
      <c r="I969" s="6" t="n">
        <v>198</v>
      </c>
      <c r="J969" s="6" t="s">
        <v>7988</v>
      </c>
      <c r="K969" s="6" t="n">
        <v>73</v>
      </c>
      <c r="L969" s="6" t="s">
        <v>7989</v>
      </c>
      <c r="M969" s="6" t="n">
        <v>8</v>
      </c>
      <c r="N969" s="6" t="s">
        <v>7990</v>
      </c>
      <c r="O969" s="6" t="n">
        <v>8</v>
      </c>
      <c r="P969" s="6" t="s">
        <v>7991</v>
      </c>
      <c r="Q969" s="6" t="n">
        <v>5</v>
      </c>
      <c r="R969" s="6" t="s">
        <v>7992</v>
      </c>
      <c r="S969" s="6" t="n">
        <v>2</v>
      </c>
      <c r="T969" s="6" t="s">
        <v>7993</v>
      </c>
      <c r="U969" s="6" t="n">
        <v>1</v>
      </c>
      <c r="V969" s="6" t="s">
        <v>7994</v>
      </c>
      <c r="W969" s="6" t="n">
        <v>1</v>
      </c>
      <c r="X969" s="6" t="s">
        <v>7995</v>
      </c>
      <c r="Y969" s="6" t="n">
        <v>1</v>
      </c>
      <c r="Z969" s="6" t="s">
        <v>7996</v>
      </c>
      <c r="AA969" s="6" t="n">
        <v>1</v>
      </c>
      <c r="AB969" s="6" t="s">
        <v>7997</v>
      </c>
      <c r="AC969" s="6" t="n">
        <v>1</v>
      </c>
      <c r="AD969" s="6" t="s">
        <v>7998</v>
      </c>
      <c r="AE969" s="6" t="n">
        <v>1</v>
      </c>
      <c r="AF969" s="6" t="s">
        <v>7999</v>
      </c>
      <c r="AG969" s="6" t="n">
        <v>1</v>
      </c>
      <c r="AH969" s="6" t="s">
        <v>8000</v>
      </c>
      <c r="AI969" s="6" t="n">
        <v>0</v>
      </c>
      <c r="AJ969" s="6" t="s">
        <v>8001</v>
      </c>
      <c r="AK969" s="6" t="n">
        <v>0</v>
      </c>
    </row>
    <row r="970" customFormat="false" ht="12.8" hidden="false" customHeight="false" outlineLevel="0" collapsed="false">
      <c r="A970" s="6" t="s">
        <v>8002</v>
      </c>
      <c r="B970" s="6" t="n">
        <v>535</v>
      </c>
      <c r="C970" s="6" t="n">
        <v>2447</v>
      </c>
      <c r="D970" s="12" t="n">
        <f aca="false">C970/(B970+C970)*100</f>
        <v>82.0590207914152</v>
      </c>
      <c r="E970" s="6" t="n">
        <v>45</v>
      </c>
      <c r="F970" s="6" t="s">
        <v>8003</v>
      </c>
      <c r="G970" s="6" t="n">
        <v>931</v>
      </c>
      <c r="H970" s="6" t="s">
        <v>8004</v>
      </c>
      <c r="I970" s="6" t="n">
        <v>503</v>
      </c>
      <c r="J970" s="6" t="s">
        <v>8005</v>
      </c>
      <c r="K970" s="6" t="n">
        <v>310</v>
      </c>
      <c r="L970" s="6" t="s">
        <v>8006</v>
      </c>
      <c r="M970" s="6" t="n">
        <v>251</v>
      </c>
      <c r="N970" s="6" t="s">
        <v>8007</v>
      </c>
      <c r="O970" s="6" t="n">
        <v>123</v>
      </c>
      <c r="P970" s="6" t="s">
        <v>8008</v>
      </c>
      <c r="Q970" s="6" t="n">
        <v>65</v>
      </c>
      <c r="R970" s="6" t="s">
        <v>8009</v>
      </c>
      <c r="S970" s="6" t="n">
        <v>55</v>
      </c>
      <c r="T970" s="6" t="s">
        <v>8010</v>
      </c>
      <c r="U970" s="6" t="n">
        <v>40</v>
      </c>
      <c r="V970" s="6" t="s">
        <v>8011</v>
      </c>
      <c r="W970" s="6" t="n">
        <v>34</v>
      </c>
      <c r="X970" s="6" t="s">
        <v>8012</v>
      </c>
      <c r="Y970" s="6" t="n">
        <v>28</v>
      </c>
      <c r="Z970" s="6" t="s">
        <v>8013</v>
      </c>
      <c r="AA970" s="6" t="n">
        <v>24</v>
      </c>
      <c r="AB970" s="6" t="s">
        <v>8014</v>
      </c>
      <c r="AC970" s="6" t="n">
        <v>14</v>
      </c>
      <c r="AD970" s="6" t="s">
        <v>8015</v>
      </c>
      <c r="AE970" s="6" t="n">
        <v>12</v>
      </c>
      <c r="AF970" s="6" t="s">
        <v>8016</v>
      </c>
      <c r="AG970" s="6" t="n">
        <v>7</v>
      </c>
      <c r="AH970" s="6" t="s">
        <v>8017</v>
      </c>
      <c r="AI970" s="6" t="n">
        <v>7</v>
      </c>
      <c r="AJ970" s="6" t="s">
        <v>8018</v>
      </c>
      <c r="AK970" s="6" t="n">
        <v>5</v>
      </c>
      <c r="AL970" s="6" t="s">
        <v>8019</v>
      </c>
      <c r="AM970" s="6" t="n">
        <v>5</v>
      </c>
      <c r="AN970" s="6" t="s">
        <v>8020</v>
      </c>
      <c r="AO970" s="6" t="n">
        <v>5</v>
      </c>
      <c r="AP970" s="6" t="s">
        <v>8021</v>
      </c>
      <c r="AQ970" s="6" t="n">
        <v>4</v>
      </c>
      <c r="AR970" s="6" t="s">
        <v>8022</v>
      </c>
      <c r="AS970" s="6" t="n">
        <v>3</v>
      </c>
      <c r="AT970" s="6" t="s">
        <v>8023</v>
      </c>
      <c r="AU970" s="6" t="n">
        <v>3</v>
      </c>
      <c r="AV970" s="6" t="s">
        <v>8024</v>
      </c>
      <c r="AW970" s="6" t="n">
        <v>2</v>
      </c>
      <c r="AX970" s="6" t="s">
        <v>8025</v>
      </c>
      <c r="AY970" s="6" t="n">
        <v>2</v>
      </c>
      <c r="AZ970" s="6" t="s">
        <v>8026</v>
      </c>
      <c r="BA970" s="6" t="n">
        <v>2</v>
      </c>
      <c r="BB970" s="6" t="s">
        <v>8027</v>
      </c>
      <c r="BC970" s="6" t="n">
        <v>2</v>
      </c>
      <c r="BD970" s="6" t="s">
        <v>8028</v>
      </c>
      <c r="BE970" s="6" t="n">
        <v>2</v>
      </c>
      <c r="BF970" s="6" t="s">
        <v>8029</v>
      </c>
      <c r="BG970" s="6" t="n">
        <v>1</v>
      </c>
      <c r="BH970" s="6" t="s">
        <v>8030</v>
      </c>
      <c r="BI970" s="6" t="n">
        <v>1</v>
      </c>
      <c r="BJ970" s="6" t="s">
        <v>8031</v>
      </c>
      <c r="BK970" s="6" t="n">
        <v>1</v>
      </c>
      <c r="BL970" s="6" t="s">
        <v>8032</v>
      </c>
      <c r="BM970" s="6" t="n">
        <v>1</v>
      </c>
      <c r="BN970" s="6" t="s">
        <v>8033</v>
      </c>
      <c r="BO970" s="6" t="n">
        <v>1</v>
      </c>
      <c r="BP970" s="6" t="s">
        <v>8034</v>
      </c>
      <c r="BQ970" s="6" t="n">
        <v>1</v>
      </c>
      <c r="BR970" s="6" t="s">
        <v>8035</v>
      </c>
      <c r="BS970" s="6" t="n">
        <v>1</v>
      </c>
      <c r="BT970" s="6" t="s">
        <v>8036</v>
      </c>
      <c r="BU970" s="6" t="n">
        <v>1</v>
      </c>
      <c r="BV970" s="6" t="s">
        <v>8037</v>
      </c>
      <c r="BW970" s="6" t="n">
        <v>0</v>
      </c>
      <c r="BX970" s="6" t="s">
        <v>8038</v>
      </c>
      <c r="BY970" s="6" t="n">
        <v>0</v>
      </c>
      <c r="BZ970" s="6" t="s">
        <v>8039</v>
      </c>
      <c r="CA970" s="6" t="n">
        <v>0</v>
      </c>
      <c r="CB970" s="6" t="s">
        <v>8040</v>
      </c>
      <c r="CC970" s="6" t="n">
        <v>0</v>
      </c>
      <c r="CD970" s="6" t="s">
        <v>8041</v>
      </c>
      <c r="CE970" s="6" t="n">
        <v>0</v>
      </c>
      <c r="CF970" s="6" t="s">
        <v>8042</v>
      </c>
      <c r="CG970" s="6" t="n">
        <v>0</v>
      </c>
      <c r="CH970" s="6" t="s">
        <v>8043</v>
      </c>
      <c r="CI970" s="6" t="n">
        <v>0</v>
      </c>
      <c r="CJ970" s="6" t="s">
        <v>8044</v>
      </c>
      <c r="CK970" s="6" t="n">
        <v>0</v>
      </c>
      <c r="CL970" s="6" t="s">
        <v>8045</v>
      </c>
      <c r="CM970" s="6" t="n">
        <v>0</v>
      </c>
      <c r="CN970" s="6" t="s">
        <v>8046</v>
      </c>
      <c r="CO970" s="6" t="n">
        <v>0</v>
      </c>
      <c r="CP970" s="6" t="s">
        <v>8047</v>
      </c>
      <c r="CQ970" s="6" t="n">
        <v>0</v>
      </c>
    </row>
    <row r="971" customFormat="false" ht="12.8" hidden="false" customHeight="false" outlineLevel="0" collapsed="false">
      <c r="A971" s="6" t="s">
        <v>8048</v>
      </c>
      <c r="B971" s="6" t="n">
        <v>541</v>
      </c>
      <c r="C971" s="6" t="n">
        <v>210</v>
      </c>
      <c r="D971" s="12" t="n">
        <f aca="false">C971/(B971+C971)*100</f>
        <v>27.9627163781624</v>
      </c>
      <c r="E971" s="6" t="n">
        <v>8</v>
      </c>
      <c r="F971" s="6" t="s">
        <v>8049</v>
      </c>
      <c r="G971" s="6" t="n">
        <v>134</v>
      </c>
      <c r="H971" s="6" t="s">
        <v>8050</v>
      </c>
      <c r="I971" s="6" t="n">
        <v>65</v>
      </c>
      <c r="J971" s="6" t="s">
        <v>8051</v>
      </c>
      <c r="K971" s="6" t="n">
        <v>6</v>
      </c>
      <c r="L971" s="6" t="s">
        <v>8052</v>
      </c>
      <c r="M971" s="6" t="n">
        <v>3</v>
      </c>
      <c r="N971" s="6" t="s">
        <v>8053</v>
      </c>
      <c r="O971" s="6" t="n">
        <v>1</v>
      </c>
      <c r="P971" s="6" t="s">
        <v>8054</v>
      </c>
      <c r="Q971" s="6" t="n">
        <v>1</v>
      </c>
      <c r="R971" s="6" t="s">
        <v>8055</v>
      </c>
      <c r="S971" s="6" t="n">
        <v>0</v>
      </c>
      <c r="T971" s="6" t="s">
        <v>8056</v>
      </c>
      <c r="U971" s="6" t="n">
        <v>0</v>
      </c>
    </row>
    <row r="972" customFormat="false" ht="12.8" hidden="false" customHeight="false" outlineLevel="0" collapsed="false">
      <c r="A972" s="6" t="s">
        <v>8057</v>
      </c>
      <c r="B972" s="6" t="n">
        <v>543</v>
      </c>
      <c r="C972" s="6" t="n">
        <v>322</v>
      </c>
      <c r="D972" s="12" t="n">
        <f aca="false">C972/(B972+C972)*100</f>
        <v>37.2254335260116</v>
      </c>
      <c r="E972" s="6" t="n">
        <v>9</v>
      </c>
      <c r="F972" s="6" t="s">
        <v>8058</v>
      </c>
      <c r="G972" s="6" t="n">
        <v>149</v>
      </c>
      <c r="H972" s="6" t="s">
        <v>8059</v>
      </c>
      <c r="I972" s="6" t="n">
        <v>55</v>
      </c>
      <c r="J972" s="6" t="s">
        <v>8060</v>
      </c>
      <c r="K972" s="6" t="n">
        <v>53</v>
      </c>
      <c r="L972" s="6" t="s">
        <v>8061</v>
      </c>
      <c r="M972" s="6" t="n">
        <v>49</v>
      </c>
      <c r="N972" s="6" t="s">
        <v>8062</v>
      </c>
      <c r="O972" s="6" t="n">
        <v>14</v>
      </c>
      <c r="P972" s="6" t="s">
        <v>8063</v>
      </c>
      <c r="Q972" s="6" t="n">
        <v>1</v>
      </c>
      <c r="R972" s="6" t="s">
        <v>8064</v>
      </c>
      <c r="S972" s="6" t="n">
        <v>1</v>
      </c>
      <c r="T972" s="6" t="s">
        <v>8065</v>
      </c>
      <c r="U972" s="6" t="n">
        <v>0</v>
      </c>
      <c r="V972" s="6" t="s">
        <v>8066</v>
      </c>
      <c r="W972" s="6" t="n">
        <v>0</v>
      </c>
    </row>
    <row r="973" customFormat="false" ht="12.8" hidden="false" customHeight="false" outlineLevel="0" collapsed="false">
      <c r="A973" s="6" t="s">
        <v>8067</v>
      </c>
      <c r="B973" s="6" t="n">
        <v>547</v>
      </c>
      <c r="C973" s="6" t="n">
        <v>26</v>
      </c>
      <c r="D973" s="12" t="n">
        <f aca="false">C973/(B973+C973)*100</f>
        <v>4.53752181500873</v>
      </c>
      <c r="E973" s="6" t="n">
        <v>6</v>
      </c>
      <c r="F973" s="6" t="s">
        <v>8068</v>
      </c>
      <c r="G973" s="6" t="n">
        <v>15</v>
      </c>
      <c r="H973" s="6" t="s">
        <v>8069</v>
      </c>
      <c r="I973" s="6" t="n">
        <v>6</v>
      </c>
      <c r="J973" s="6" t="s">
        <v>8070</v>
      </c>
      <c r="K973" s="6" t="n">
        <v>2</v>
      </c>
      <c r="L973" s="6" t="s">
        <v>8071</v>
      </c>
      <c r="M973" s="6" t="n">
        <v>2</v>
      </c>
      <c r="N973" s="6" t="s">
        <v>8072</v>
      </c>
      <c r="O973" s="6" t="n">
        <v>1</v>
      </c>
      <c r="P973" s="6" t="s">
        <v>8073</v>
      </c>
      <c r="Q973" s="6" t="n">
        <v>0</v>
      </c>
    </row>
    <row r="974" customFormat="false" ht="12.8" hidden="false" customHeight="false" outlineLevel="0" collapsed="false">
      <c r="A974" s="6" t="s">
        <v>8074</v>
      </c>
      <c r="B974" s="6" t="n">
        <v>550</v>
      </c>
      <c r="C974" s="6" t="n">
        <v>287</v>
      </c>
      <c r="D974" s="12" t="n">
        <f aca="false">C974/(B974+C974)*100</f>
        <v>34.2891278375149</v>
      </c>
      <c r="E974" s="6" t="n">
        <v>9</v>
      </c>
      <c r="F974" s="6" t="s">
        <v>8075</v>
      </c>
      <c r="G974" s="6" t="n">
        <v>151</v>
      </c>
      <c r="H974" s="6" t="s">
        <v>8076</v>
      </c>
      <c r="I974" s="6" t="n">
        <v>75</v>
      </c>
      <c r="J974" s="6" t="s">
        <v>8077</v>
      </c>
      <c r="K974" s="6" t="n">
        <v>40</v>
      </c>
      <c r="L974" s="6" t="s">
        <v>8078</v>
      </c>
      <c r="M974" s="6" t="n">
        <v>15</v>
      </c>
      <c r="N974" s="6" t="s">
        <v>8079</v>
      </c>
      <c r="O974" s="6" t="n">
        <v>2</v>
      </c>
      <c r="P974" s="6" t="s">
        <v>8080</v>
      </c>
      <c r="Q974" s="6" t="n">
        <v>2</v>
      </c>
      <c r="R974" s="6" t="s">
        <v>8081</v>
      </c>
      <c r="S974" s="6" t="n">
        <v>2</v>
      </c>
      <c r="T974" s="6" t="s">
        <v>8082</v>
      </c>
      <c r="U974" s="6" t="n">
        <v>0</v>
      </c>
      <c r="V974" s="6" t="s">
        <v>8083</v>
      </c>
      <c r="W974" s="6" t="n">
        <v>0</v>
      </c>
    </row>
    <row r="975" customFormat="false" ht="12.8" hidden="false" customHeight="false" outlineLevel="0" collapsed="false">
      <c r="A975" s="6" t="s">
        <v>8084</v>
      </c>
      <c r="B975" s="6" t="n">
        <v>551</v>
      </c>
      <c r="C975" s="6" t="n">
        <v>77</v>
      </c>
      <c r="D975" s="12" t="n">
        <f aca="false">C975/(B975+C975)*100</f>
        <v>12.2611464968153</v>
      </c>
      <c r="E975" s="6" t="n">
        <v>12</v>
      </c>
      <c r="F975" s="6" t="s">
        <v>8085</v>
      </c>
      <c r="G975" s="6" t="n">
        <v>25</v>
      </c>
      <c r="H975" s="6" t="s">
        <v>8086</v>
      </c>
      <c r="I975" s="6" t="n">
        <v>19</v>
      </c>
      <c r="J975" s="6" t="s">
        <v>8087</v>
      </c>
      <c r="K975" s="6" t="n">
        <v>19</v>
      </c>
      <c r="L975" s="6" t="s">
        <v>8088</v>
      </c>
      <c r="M975" s="6" t="n">
        <v>5</v>
      </c>
      <c r="N975" s="6" t="s">
        <v>8089</v>
      </c>
      <c r="O975" s="6" t="n">
        <v>3</v>
      </c>
      <c r="P975" s="6" t="s">
        <v>8090</v>
      </c>
      <c r="Q975" s="6" t="n">
        <v>2</v>
      </c>
      <c r="R975" s="6" t="s">
        <v>8091</v>
      </c>
      <c r="S975" s="6" t="n">
        <v>1</v>
      </c>
      <c r="T975" s="6" t="s">
        <v>8092</v>
      </c>
      <c r="U975" s="6" t="n">
        <v>1</v>
      </c>
      <c r="V975" s="6" t="s">
        <v>8093</v>
      </c>
      <c r="W975" s="6" t="n">
        <v>1</v>
      </c>
      <c r="X975" s="6" t="s">
        <v>8094</v>
      </c>
      <c r="Y975" s="6" t="n">
        <v>1</v>
      </c>
      <c r="Z975" s="6" t="s">
        <v>8095</v>
      </c>
      <c r="AA975" s="6" t="n">
        <v>0</v>
      </c>
      <c r="AB975" s="6" t="s">
        <v>8096</v>
      </c>
      <c r="AC975" s="6" t="n">
        <v>0</v>
      </c>
    </row>
    <row r="976" customFormat="false" ht="12.8" hidden="false" customHeight="false" outlineLevel="0" collapsed="false">
      <c r="A976" s="6" t="s">
        <v>8097</v>
      </c>
      <c r="B976" s="6" t="n">
        <v>571</v>
      </c>
      <c r="C976" s="6" t="n">
        <v>62</v>
      </c>
      <c r="D976" s="12" t="n">
        <f aca="false">C976/(B976+C976)*100</f>
        <v>9.79462875197472</v>
      </c>
      <c r="E976" s="6" t="n">
        <v>6</v>
      </c>
      <c r="F976" s="6" t="s">
        <v>8098</v>
      </c>
      <c r="G976" s="6" t="n">
        <v>55</v>
      </c>
      <c r="H976" s="6" t="s">
        <v>8099</v>
      </c>
      <c r="I976" s="6" t="n">
        <v>2</v>
      </c>
      <c r="J976" s="6" t="s">
        <v>8100</v>
      </c>
      <c r="K976" s="6" t="n">
        <v>2</v>
      </c>
      <c r="L976" s="6" t="s">
        <v>8101</v>
      </c>
      <c r="M976" s="6" t="n">
        <v>2</v>
      </c>
      <c r="N976" s="6" t="s">
        <v>8102</v>
      </c>
      <c r="O976" s="6" t="n">
        <v>1</v>
      </c>
      <c r="P976" s="6" t="s">
        <v>8103</v>
      </c>
      <c r="Q976" s="6" t="n">
        <v>0</v>
      </c>
    </row>
    <row r="977" customFormat="false" ht="12.8" hidden="false" customHeight="false" outlineLevel="0" collapsed="false">
      <c r="A977" s="6" t="s">
        <v>8104</v>
      </c>
      <c r="B977" s="6" t="n">
        <v>576</v>
      </c>
      <c r="C977" s="6" t="n">
        <v>65</v>
      </c>
      <c r="D977" s="12" t="n">
        <f aca="false">C977/(B977+C977)*100</f>
        <v>10.1404056162247</v>
      </c>
      <c r="E977" s="6" t="n">
        <v>6</v>
      </c>
      <c r="F977" s="6" t="s">
        <v>8105</v>
      </c>
      <c r="G977" s="6" t="n">
        <v>59</v>
      </c>
      <c r="H977" s="6" t="s">
        <v>8106</v>
      </c>
      <c r="I977" s="6" t="n">
        <v>2</v>
      </c>
      <c r="J977" s="6" t="s">
        <v>8107</v>
      </c>
      <c r="K977" s="6" t="n">
        <v>1</v>
      </c>
      <c r="L977" s="6" t="s">
        <v>8108</v>
      </c>
      <c r="M977" s="6" t="n">
        <v>1</v>
      </c>
      <c r="N977" s="6" t="s">
        <v>8109</v>
      </c>
      <c r="O977" s="6" t="n">
        <v>1</v>
      </c>
      <c r="P977" s="6" t="s">
        <v>8110</v>
      </c>
      <c r="Q977" s="6" t="n">
        <v>1</v>
      </c>
    </row>
    <row r="978" customFormat="false" ht="12.8" hidden="false" customHeight="false" outlineLevel="0" collapsed="false">
      <c r="A978" s="6" t="s">
        <v>8111</v>
      </c>
      <c r="B978" s="6" t="n">
        <v>580</v>
      </c>
      <c r="C978" s="6" t="n">
        <v>1131</v>
      </c>
      <c r="D978" s="12" t="n">
        <f aca="false">C978/(B978+C978)*100</f>
        <v>66.1016949152542</v>
      </c>
      <c r="E978" s="6" t="n">
        <v>19</v>
      </c>
      <c r="F978" s="6" t="s">
        <v>8112</v>
      </c>
      <c r="G978" s="6" t="n">
        <v>498</v>
      </c>
      <c r="H978" s="6" t="s">
        <v>8113</v>
      </c>
      <c r="I978" s="6" t="n">
        <v>363</v>
      </c>
      <c r="J978" s="6" t="s">
        <v>8114</v>
      </c>
      <c r="K978" s="6" t="n">
        <v>59</v>
      </c>
      <c r="L978" s="6" t="s">
        <v>8115</v>
      </c>
      <c r="M978" s="6" t="n">
        <v>41</v>
      </c>
      <c r="N978" s="6" t="s">
        <v>8116</v>
      </c>
      <c r="O978" s="6" t="n">
        <v>40</v>
      </c>
      <c r="P978" s="6" t="s">
        <v>8117</v>
      </c>
      <c r="Q978" s="6" t="n">
        <v>24</v>
      </c>
      <c r="R978" s="6" t="s">
        <v>8118</v>
      </c>
      <c r="S978" s="6" t="n">
        <v>23</v>
      </c>
      <c r="T978" s="6" t="s">
        <v>8119</v>
      </c>
      <c r="U978" s="6" t="n">
        <v>21</v>
      </c>
      <c r="V978" s="6" t="s">
        <v>8120</v>
      </c>
      <c r="W978" s="6" t="n">
        <v>18</v>
      </c>
      <c r="X978" s="6" t="s">
        <v>8121</v>
      </c>
      <c r="Y978" s="6" t="n">
        <v>16</v>
      </c>
      <c r="Z978" s="6" t="s">
        <v>8122</v>
      </c>
      <c r="AA978" s="6" t="n">
        <v>11</v>
      </c>
      <c r="AB978" s="6" t="s">
        <v>8123</v>
      </c>
      <c r="AC978" s="6" t="n">
        <v>5</v>
      </c>
      <c r="AD978" s="6" t="s">
        <v>8124</v>
      </c>
      <c r="AE978" s="6" t="n">
        <v>4</v>
      </c>
      <c r="AF978" s="6" t="s">
        <v>8125</v>
      </c>
      <c r="AG978" s="6" t="n">
        <v>2</v>
      </c>
      <c r="AH978" s="6" t="s">
        <v>8126</v>
      </c>
      <c r="AI978" s="6" t="n">
        <v>2</v>
      </c>
      <c r="AJ978" s="6" t="s">
        <v>8127</v>
      </c>
      <c r="AK978" s="6" t="n">
        <v>1</v>
      </c>
      <c r="AL978" s="6" t="s">
        <v>8128</v>
      </c>
      <c r="AM978" s="6" t="n">
        <v>1</v>
      </c>
      <c r="AN978" s="6" t="s">
        <v>8129</v>
      </c>
      <c r="AO978" s="6" t="n">
        <v>1</v>
      </c>
      <c r="AP978" s="6" t="s">
        <v>8130</v>
      </c>
      <c r="AQ978" s="6" t="n">
        <v>1</v>
      </c>
    </row>
    <row r="979" customFormat="false" ht="12.8" hidden="false" customHeight="false" outlineLevel="0" collapsed="false">
      <c r="A979" s="6" t="s">
        <v>8131</v>
      </c>
      <c r="B979" s="6" t="n">
        <v>583</v>
      </c>
      <c r="C979" s="6" t="n">
        <v>1840</v>
      </c>
      <c r="D979" s="12" t="n">
        <f aca="false">C979/(B979+C979)*100</f>
        <v>75.9389186958316</v>
      </c>
      <c r="E979" s="6" t="n">
        <v>31</v>
      </c>
      <c r="F979" s="6" t="s">
        <v>8132</v>
      </c>
      <c r="G979" s="6" t="n">
        <v>916</v>
      </c>
      <c r="H979" s="6" t="s">
        <v>8133</v>
      </c>
      <c r="I979" s="6" t="n">
        <v>286</v>
      </c>
      <c r="J979" s="6" t="s">
        <v>8134</v>
      </c>
      <c r="K979" s="6" t="n">
        <v>146</v>
      </c>
      <c r="L979" s="6" t="s">
        <v>8135</v>
      </c>
      <c r="M979" s="6" t="n">
        <v>112</v>
      </c>
      <c r="N979" s="6" t="s">
        <v>8136</v>
      </c>
      <c r="O979" s="6" t="n">
        <v>104</v>
      </c>
      <c r="P979" s="6" t="s">
        <v>8137</v>
      </c>
      <c r="Q979" s="6" t="n">
        <v>104</v>
      </c>
      <c r="R979" s="6" t="s">
        <v>8138</v>
      </c>
      <c r="S979" s="6" t="n">
        <v>53</v>
      </c>
      <c r="T979" s="6" t="s">
        <v>8139</v>
      </c>
      <c r="U979" s="6" t="n">
        <v>38</v>
      </c>
      <c r="V979" s="6" t="s">
        <v>8140</v>
      </c>
      <c r="W979" s="6" t="n">
        <v>28</v>
      </c>
      <c r="X979" s="6" t="s">
        <v>8141</v>
      </c>
      <c r="Y979" s="6" t="n">
        <v>21</v>
      </c>
      <c r="Z979" s="6" t="s">
        <v>8142</v>
      </c>
      <c r="AA979" s="6" t="n">
        <v>8</v>
      </c>
      <c r="AB979" s="6" t="s">
        <v>8143</v>
      </c>
      <c r="AC979" s="6" t="n">
        <v>5</v>
      </c>
      <c r="AD979" s="6" t="s">
        <v>8144</v>
      </c>
      <c r="AE979" s="6" t="n">
        <v>3</v>
      </c>
      <c r="AF979" s="6" t="s">
        <v>8145</v>
      </c>
      <c r="AG979" s="6" t="n">
        <v>3</v>
      </c>
      <c r="AH979" s="6" t="s">
        <v>8146</v>
      </c>
      <c r="AI979" s="6" t="n">
        <v>3</v>
      </c>
      <c r="AJ979" s="6" t="s">
        <v>8147</v>
      </c>
      <c r="AK979" s="6" t="n">
        <v>2</v>
      </c>
      <c r="AL979" s="6" t="s">
        <v>8148</v>
      </c>
      <c r="AM979" s="6" t="n">
        <v>2</v>
      </c>
      <c r="AN979" s="6" t="s">
        <v>8149</v>
      </c>
      <c r="AO979" s="6" t="n">
        <v>2</v>
      </c>
      <c r="AP979" s="6" t="s">
        <v>8150</v>
      </c>
      <c r="AQ979" s="6" t="n">
        <v>1</v>
      </c>
      <c r="AR979" s="6" t="s">
        <v>8151</v>
      </c>
      <c r="AS979" s="6" t="n">
        <v>1</v>
      </c>
      <c r="AT979" s="6" t="s">
        <v>8152</v>
      </c>
      <c r="AU979" s="6" t="n">
        <v>1</v>
      </c>
      <c r="AV979" s="6" t="s">
        <v>8153</v>
      </c>
      <c r="AW979" s="6" t="n">
        <v>1</v>
      </c>
      <c r="AX979" s="6" t="s">
        <v>8154</v>
      </c>
      <c r="AY979" s="6" t="n">
        <v>0</v>
      </c>
      <c r="AZ979" s="6" t="s">
        <v>8155</v>
      </c>
      <c r="BA979" s="6" t="n">
        <v>0</v>
      </c>
      <c r="BB979" s="6" t="s">
        <v>8156</v>
      </c>
      <c r="BC979" s="6" t="n">
        <v>0</v>
      </c>
      <c r="BD979" s="6" t="s">
        <v>8157</v>
      </c>
      <c r="BE979" s="6" t="n">
        <v>0</v>
      </c>
      <c r="BF979" s="6" t="s">
        <v>8158</v>
      </c>
      <c r="BG979" s="6" t="n">
        <v>0</v>
      </c>
      <c r="BH979" s="6" t="s">
        <v>8159</v>
      </c>
      <c r="BI979" s="6" t="n">
        <v>0</v>
      </c>
      <c r="BJ979" s="6" t="s">
        <v>8160</v>
      </c>
      <c r="BK979" s="6" t="n">
        <v>0</v>
      </c>
      <c r="BL979" s="6" t="s">
        <v>8161</v>
      </c>
      <c r="BM979" s="6" t="n">
        <v>0</v>
      </c>
      <c r="BN979" s="6" t="s">
        <v>8162</v>
      </c>
      <c r="BO979" s="6" t="n">
        <v>0</v>
      </c>
    </row>
    <row r="980" customFormat="false" ht="12.8" hidden="false" customHeight="false" outlineLevel="0" collapsed="false">
      <c r="A980" s="6" t="s">
        <v>8163</v>
      </c>
      <c r="B980" s="6" t="n">
        <v>586</v>
      </c>
      <c r="C980" s="6" t="n">
        <v>607</v>
      </c>
      <c r="D980" s="12" t="n">
        <f aca="false">C980/(B980+C980)*100</f>
        <v>50.8801341156748</v>
      </c>
      <c r="E980" s="6" t="n">
        <v>23</v>
      </c>
      <c r="F980" s="6" t="s">
        <v>8164</v>
      </c>
      <c r="G980" s="6" t="n">
        <v>232</v>
      </c>
      <c r="H980" s="6" t="s">
        <v>8164</v>
      </c>
      <c r="I980" s="6" t="n">
        <v>232</v>
      </c>
      <c r="J980" s="6" t="s">
        <v>8165</v>
      </c>
      <c r="K980" s="6" t="n">
        <v>30</v>
      </c>
      <c r="L980" s="6" t="s">
        <v>8165</v>
      </c>
      <c r="M980" s="6" t="n">
        <v>30</v>
      </c>
      <c r="N980" s="6" t="s">
        <v>8166</v>
      </c>
      <c r="O980" s="6" t="n">
        <v>11</v>
      </c>
      <c r="P980" s="6" t="s">
        <v>8167</v>
      </c>
      <c r="Q980" s="6" t="n">
        <v>11</v>
      </c>
      <c r="R980" s="6" t="s">
        <v>8166</v>
      </c>
      <c r="S980" s="6" t="n">
        <v>11</v>
      </c>
      <c r="T980" s="6" t="s">
        <v>8168</v>
      </c>
      <c r="U980" s="6" t="n">
        <v>10</v>
      </c>
      <c r="V980" s="6" t="s">
        <v>8168</v>
      </c>
      <c r="W980" s="6" t="n">
        <v>10</v>
      </c>
      <c r="X980" s="6" t="s">
        <v>8169</v>
      </c>
      <c r="Y980" s="6" t="n">
        <v>9</v>
      </c>
      <c r="Z980" s="6" t="s">
        <v>8170</v>
      </c>
      <c r="AA980" s="6" t="n">
        <v>5</v>
      </c>
      <c r="AB980" s="6" t="s">
        <v>8171</v>
      </c>
      <c r="AC980" s="6" t="n">
        <v>4</v>
      </c>
      <c r="AD980" s="6" t="s">
        <v>8171</v>
      </c>
      <c r="AE980" s="6" t="n">
        <v>4</v>
      </c>
      <c r="AF980" s="6" t="s">
        <v>8172</v>
      </c>
      <c r="AG980" s="6" t="n">
        <v>3</v>
      </c>
      <c r="AH980" s="6" t="s">
        <v>8173</v>
      </c>
      <c r="AI980" s="6" t="n">
        <v>1</v>
      </c>
      <c r="AJ980" s="6" t="s">
        <v>8174</v>
      </c>
      <c r="AK980" s="6" t="n">
        <v>1</v>
      </c>
      <c r="AL980" s="6" t="s">
        <v>8175</v>
      </c>
      <c r="AM980" s="6" t="n">
        <v>1</v>
      </c>
      <c r="AN980" s="6" t="s">
        <v>8176</v>
      </c>
      <c r="AO980" s="6" t="n">
        <v>1</v>
      </c>
      <c r="AP980" s="6" t="s">
        <v>8174</v>
      </c>
      <c r="AQ980" s="6" t="n">
        <v>1</v>
      </c>
      <c r="AR980" s="6" t="s">
        <v>8177</v>
      </c>
      <c r="AS980" s="6" t="n">
        <v>0</v>
      </c>
      <c r="AT980" s="6" t="s">
        <v>8178</v>
      </c>
      <c r="AU980" s="6" t="n">
        <v>0</v>
      </c>
      <c r="AV980" s="6" t="s">
        <v>8179</v>
      </c>
      <c r="AW980" s="6" t="n">
        <v>0</v>
      </c>
      <c r="AX980" s="6" t="s">
        <v>8180</v>
      </c>
      <c r="AY980" s="6" t="n">
        <v>0</v>
      </c>
    </row>
    <row r="981" customFormat="false" ht="12.8" hidden="false" customHeight="false" outlineLevel="0" collapsed="false">
      <c r="A981" s="6" t="s">
        <v>127</v>
      </c>
      <c r="B981" s="6" t="n">
        <v>601</v>
      </c>
      <c r="C981" s="6" t="n">
        <v>50</v>
      </c>
      <c r="D981" s="12" t="n">
        <f aca="false">C981/(B981+C981)*100</f>
        <v>7.68049155145929</v>
      </c>
      <c r="E981" s="6" t="n">
        <v>11</v>
      </c>
      <c r="F981" s="6" t="s">
        <v>8181</v>
      </c>
      <c r="G981" s="6" t="n">
        <v>29</v>
      </c>
      <c r="H981" s="6" t="s">
        <v>8182</v>
      </c>
      <c r="I981" s="6" t="n">
        <v>10</v>
      </c>
      <c r="J981" s="6" t="s">
        <v>8183</v>
      </c>
      <c r="K981" s="6" t="n">
        <v>3</v>
      </c>
      <c r="L981" s="6" t="s">
        <v>8184</v>
      </c>
      <c r="M981" s="6" t="n">
        <v>3</v>
      </c>
      <c r="N981" s="6" t="s">
        <v>8185</v>
      </c>
      <c r="O981" s="6" t="n">
        <v>2</v>
      </c>
      <c r="P981" s="6" t="s">
        <v>8186</v>
      </c>
      <c r="Q981" s="6" t="n">
        <v>1</v>
      </c>
      <c r="R981" s="6" t="s">
        <v>8187</v>
      </c>
      <c r="S981" s="6" t="n">
        <v>1</v>
      </c>
      <c r="T981" s="6" t="s">
        <v>8188</v>
      </c>
      <c r="U981" s="6" t="n">
        <v>1</v>
      </c>
      <c r="V981" s="6" t="s">
        <v>8189</v>
      </c>
      <c r="W981" s="6" t="n">
        <v>0</v>
      </c>
      <c r="X981" s="6" t="s">
        <v>8190</v>
      </c>
      <c r="Y981" s="6" t="n">
        <v>0</v>
      </c>
      <c r="Z981" s="6" t="s">
        <v>8191</v>
      </c>
      <c r="AA981" s="6" t="n">
        <v>0</v>
      </c>
    </row>
    <row r="982" customFormat="false" ht="12.8" hidden="false" customHeight="false" outlineLevel="0" collapsed="false">
      <c r="A982" s="6" t="s">
        <v>8192</v>
      </c>
      <c r="B982" s="6" t="n">
        <v>604</v>
      </c>
      <c r="C982" s="6" t="n">
        <v>737</v>
      </c>
      <c r="D982" s="12" t="n">
        <f aca="false">C982/(B982+C982)*100</f>
        <v>54.9589858314691</v>
      </c>
      <c r="E982" s="6" t="n">
        <v>25</v>
      </c>
      <c r="F982" s="6" t="s">
        <v>8193</v>
      </c>
      <c r="G982" s="6" t="n">
        <v>494</v>
      </c>
      <c r="H982" s="6" t="s">
        <v>8194</v>
      </c>
      <c r="I982" s="6" t="n">
        <v>135</v>
      </c>
      <c r="J982" s="6" t="s">
        <v>8195</v>
      </c>
      <c r="K982" s="6" t="n">
        <v>71</v>
      </c>
      <c r="L982" s="6" t="s">
        <v>8196</v>
      </c>
      <c r="M982" s="6" t="n">
        <v>12</v>
      </c>
      <c r="N982" s="6" t="s">
        <v>8197</v>
      </c>
      <c r="O982" s="6" t="n">
        <v>4</v>
      </c>
      <c r="P982" s="6" t="s">
        <v>8198</v>
      </c>
      <c r="Q982" s="6" t="n">
        <v>4</v>
      </c>
      <c r="R982" s="6" t="s">
        <v>8199</v>
      </c>
      <c r="S982" s="6" t="n">
        <v>4</v>
      </c>
      <c r="T982" s="6" t="s">
        <v>8200</v>
      </c>
      <c r="U982" s="6" t="n">
        <v>3</v>
      </c>
      <c r="V982" s="6" t="s">
        <v>8201</v>
      </c>
      <c r="W982" s="6" t="n">
        <v>2</v>
      </c>
      <c r="X982" s="6" t="s">
        <v>8202</v>
      </c>
      <c r="Y982" s="6" t="n">
        <v>2</v>
      </c>
      <c r="Z982" s="6" t="s">
        <v>8203</v>
      </c>
      <c r="AA982" s="6" t="n">
        <v>2</v>
      </c>
      <c r="AB982" s="6" t="s">
        <v>8204</v>
      </c>
      <c r="AC982" s="6" t="n">
        <v>2</v>
      </c>
      <c r="AD982" s="6" t="s">
        <v>8205</v>
      </c>
      <c r="AE982" s="6" t="n">
        <v>1</v>
      </c>
      <c r="AF982" s="6" t="s">
        <v>8206</v>
      </c>
      <c r="AG982" s="6" t="n">
        <v>1</v>
      </c>
      <c r="AH982" s="6" t="s">
        <v>8207</v>
      </c>
      <c r="AI982" s="6" t="n">
        <v>0</v>
      </c>
      <c r="AJ982" s="6" t="s">
        <v>8208</v>
      </c>
      <c r="AK982" s="6" t="n">
        <v>0</v>
      </c>
      <c r="AL982" s="6" t="s">
        <v>8209</v>
      </c>
      <c r="AM982" s="6" t="n">
        <v>0</v>
      </c>
      <c r="AN982" s="6" t="s">
        <v>8210</v>
      </c>
      <c r="AO982" s="6" t="n">
        <v>0</v>
      </c>
      <c r="AP982" s="6" t="s">
        <v>8211</v>
      </c>
      <c r="AQ982" s="6" t="n">
        <v>0</v>
      </c>
      <c r="AR982" s="6" t="s">
        <v>8212</v>
      </c>
      <c r="AS982" s="6" t="n">
        <v>0</v>
      </c>
      <c r="AT982" s="6" t="s">
        <v>8213</v>
      </c>
      <c r="AU982" s="6" t="n">
        <v>0</v>
      </c>
      <c r="AV982" s="6" t="s">
        <v>8214</v>
      </c>
      <c r="AW982" s="6" t="n">
        <v>0</v>
      </c>
      <c r="AX982" s="6" t="s">
        <v>8215</v>
      </c>
      <c r="AY982" s="6" t="n">
        <v>0</v>
      </c>
      <c r="AZ982" s="6" t="s">
        <v>8216</v>
      </c>
      <c r="BA982" s="6" t="n">
        <v>0</v>
      </c>
      <c r="BB982" s="6" t="s">
        <v>8217</v>
      </c>
      <c r="BC982" s="6" t="n">
        <v>0</v>
      </c>
    </row>
    <row r="983" customFormat="false" ht="12.8" hidden="false" customHeight="false" outlineLevel="0" collapsed="false">
      <c r="A983" s="6" t="s">
        <v>8218</v>
      </c>
      <c r="B983" s="6" t="n">
        <v>607</v>
      </c>
      <c r="C983" s="6" t="n">
        <v>144</v>
      </c>
      <c r="D983" s="12" t="n">
        <f aca="false">C983/(B983+C983)*100</f>
        <v>19.1744340878828</v>
      </c>
      <c r="E983" s="6" t="n">
        <v>9</v>
      </c>
      <c r="F983" s="6" t="s">
        <v>8219</v>
      </c>
      <c r="G983" s="6" t="n">
        <v>90</v>
      </c>
      <c r="H983" s="6" t="s">
        <v>8220</v>
      </c>
      <c r="I983" s="6" t="n">
        <v>21</v>
      </c>
      <c r="J983" s="6" t="s">
        <v>8221</v>
      </c>
      <c r="K983" s="6" t="n">
        <v>17</v>
      </c>
      <c r="L983" s="6" t="s">
        <v>8222</v>
      </c>
      <c r="M983" s="6" t="n">
        <v>12</v>
      </c>
      <c r="N983" s="6" t="s">
        <v>8223</v>
      </c>
      <c r="O983" s="6" t="n">
        <v>2</v>
      </c>
      <c r="P983" s="6" t="s">
        <v>8224</v>
      </c>
      <c r="Q983" s="6" t="n">
        <v>2</v>
      </c>
      <c r="R983" s="6" t="s">
        <v>8225</v>
      </c>
      <c r="S983" s="6" t="n">
        <v>0</v>
      </c>
      <c r="T983" s="6" t="s">
        <v>8226</v>
      </c>
      <c r="U983" s="6" t="n">
        <v>0</v>
      </c>
      <c r="V983" s="6" t="s">
        <v>8227</v>
      </c>
      <c r="W983" s="6" t="n">
        <v>0</v>
      </c>
    </row>
    <row r="984" customFormat="false" ht="12.8" hidden="false" customHeight="false" outlineLevel="0" collapsed="false">
      <c r="A984" s="6" t="s">
        <v>8228</v>
      </c>
      <c r="B984" s="6" t="n">
        <v>609</v>
      </c>
      <c r="C984" s="6" t="n">
        <v>322</v>
      </c>
      <c r="D984" s="12" t="n">
        <f aca="false">C984/(B984+C984)*100</f>
        <v>34.5864661654135</v>
      </c>
      <c r="E984" s="6" t="n">
        <v>10</v>
      </c>
      <c r="F984" s="6" t="s">
        <v>8229</v>
      </c>
      <c r="G984" s="6" t="n">
        <v>182</v>
      </c>
      <c r="H984" s="6" t="s">
        <v>8230</v>
      </c>
      <c r="I984" s="6" t="n">
        <v>75</v>
      </c>
      <c r="J984" s="6" t="s">
        <v>8231</v>
      </c>
      <c r="K984" s="6" t="n">
        <v>37</v>
      </c>
      <c r="L984" s="6" t="s">
        <v>8232</v>
      </c>
      <c r="M984" s="6" t="n">
        <v>8</v>
      </c>
      <c r="N984" s="6" t="s">
        <v>8233</v>
      </c>
      <c r="O984" s="6" t="n">
        <v>7</v>
      </c>
      <c r="P984" s="6" t="s">
        <v>8234</v>
      </c>
      <c r="Q984" s="6" t="n">
        <v>6</v>
      </c>
      <c r="R984" s="6" t="s">
        <v>8235</v>
      </c>
      <c r="S984" s="6" t="n">
        <v>3</v>
      </c>
      <c r="T984" s="6" t="s">
        <v>8236</v>
      </c>
      <c r="U984" s="6" t="n">
        <v>3</v>
      </c>
      <c r="V984" s="6" t="s">
        <v>8237</v>
      </c>
      <c r="W984" s="6" t="n">
        <v>1</v>
      </c>
      <c r="X984" s="6" t="s">
        <v>8238</v>
      </c>
      <c r="Y984" s="6" t="n">
        <v>0</v>
      </c>
    </row>
    <row r="985" customFormat="false" ht="12.8" hidden="false" customHeight="false" outlineLevel="0" collapsed="false">
      <c r="A985" s="6" t="s">
        <v>8239</v>
      </c>
      <c r="B985" s="6" t="n">
        <v>618</v>
      </c>
      <c r="C985" s="6" t="n">
        <v>8</v>
      </c>
      <c r="D985" s="12" t="n">
        <f aca="false">C985/(B985+C985)*100</f>
        <v>1.2779552715655</v>
      </c>
      <c r="E985" s="6" t="n">
        <v>8</v>
      </c>
      <c r="F985" s="6" t="s">
        <v>8240</v>
      </c>
      <c r="G985" s="6" t="n">
        <v>4</v>
      </c>
      <c r="H985" s="6" t="s">
        <v>8241</v>
      </c>
      <c r="I985" s="6" t="n">
        <v>1</v>
      </c>
      <c r="J985" s="6" t="s">
        <v>8242</v>
      </c>
      <c r="K985" s="6" t="n">
        <v>1</v>
      </c>
      <c r="L985" s="6" t="s">
        <v>8243</v>
      </c>
      <c r="M985" s="6" t="n">
        <v>1</v>
      </c>
      <c r="N985" s="6" t="s">
        <v>8244</v>
      </c>
      <c r="O985" s="6" t="n">
        <v>1</v>
      </c>
      <c r="P985" s="6" t="s">
        <v>8245</v>
      </c>
      <c r="Q985" s="6" t="n">
        <v>0</v>
      </c>
      <c r="R985" s="6" t="s">
        <v>8246</v>
      </c>
      <c r="S985" s="6" t="n">
        <v>0</v>
      </c>
      <c r="T985" s="6" t="s">
        <v>8247</v>
      </c>
      <c r="U985" s="6" t="n">
        <v>0</v>
      </c>
    </row>
    <row r="986" customFormat="false" ht="12.8" hidden="false" customHeight="false" outlineLevel="0" collapsed="false">
      <c r="A986" s="6" t="s">
        <v>8248</v>
      </c>
      <c r="B986" s="6" t="n">
        <v>633</v>
      </c>
      <c r="C986" s="6" t="n">
        <v>308</v>
      </c>
      <c r="D986" s="12" t="n">
        <f aca="false">C986/(B986+C986)*100</f>
        <v>32.731137088204</v>
      </c>
      <c r="E986" s="6" t="n">
        <v>15</v>
      </c>
      <c r="F986" s="6" t="s">
        <v>8249</v>
      </c>
      <c r="G986" s="6" t="n">
        <v>144</v>
      </c>
      <c r="H986" s="6" t="s">
        <v>8250</v>
      </c>
      <c r="I986" s="6" t="n">
        <v>50</v>
      </c>
      <c r="J986" s="6" t="s">
        <v>8251</v>
      </c>
      <c r="K986" s="6" t="n">
        <v>44</v>
      </c>
      <c r="L986" s="6" t="s">
        <v>8252</v>
      </c>
      <c r="M986" s="6" t="n">
        <v>35</v>
      </c>
      <c r="N986" s="6" t="s">
        <v>8253</v>
      </c>
      <c r="O986" s="6" t="n">
        <v>13</v>
      </c>
      <c r="P986" s="6" t="s">
        <v>8254</v>
      </c>
      <c r="Q986" s="6" t="n">
        <v>8</v>
      </c>
      <c r="R986" s="6" t="s">
        <v>8255</v>
      </c>
      <c r="S986" s="6" t="n">
        <v>5</v>
      </c>
      <c r="T986" s="6" t="s">
        <v>8256</v>
      </c>
      <c r="U986" s="6" t="n">
        <v>3</v>
      </c>
      <c r="V986" s="6" t="s">
        <v>8257</v>
      </c>
      <c r="W986" s="6" t="n">
        <v>2</v>
      </c>
      <c r="X986" s="6" t="s">
        <v>8258</v>
      </c>
      <c r="Y986" s="6" t="n">
        <v>1</v>
      </c>
      <c r="Z986" s="6" t="s">
        <v>8259</v>
      </c>
      <c r="AA986" s="6" t="n">
        <v>1</v>
      </c>
      <c r="AB986" s="6" t="s">
        <v>8260</v>
      </c>
      <c r="AC986" s="6" t="n">
        <v>1</v>
      </c>
      <c r="AD986" s="6" t="s">
        <v>8261</v>
      </c>
      <c r="AE986" s="6" t="n">
        <v>1</v>
      </c>
      <c r="AF986" s="6" t="s">
        <v>8262</v>
      </c>
      <c r="AG986" s="6" t="n">
        <v>0</v>
      </c>
      <c r="AH986" s="6" t="s">
        <v>8263</v>
      </c>
      <c r="AI986" s="6" t="n">
        <v>0</v>
      </c>
    </row>
    <row r="987" customFormat="false" ht="14.4" hidden="false" customHeight="false" outlineLevel="0" collapsed="false">
      <c r="A987" s="6" t="s">
        <v>8264</v>
      </c>
      <c r="B987" s="6" t="n">
        <v>635</v>
      </c>
      <c r="C987" s="6" t="n">
        <v>949</v>
      </c>
      <c r="D987" s="12" t="n">
        <f aca="false">C987/(B987+C987)*100</f>
        <v>59.9116161616162</v>
      </c>
      <c r="E987" s="6" t="n">
        <v>25</v>
      </c>
      <c r="F987" s="6" t="s">
        <v>8265</v>
      </c>
      <c r="G987" s="6" t="n">
        <v>495</v>
      </c>
      <c r="H987" s="6" t="s">
        <v>8266</v>
      </c>
      <c r="I987" s="6" t="n">
        <v>162</v>
      </c>
      <c r="J987" s="6" t="s">
        <v>8267</v>
      </c>
      <c r="K987" s="6" t="n">
        <v>126</v>
      </c>
      <c r="L987" s="6" t="s">
        <v>8268</v>
      </c>
      <c r="M987" s="6" t="n">
        <v>42</v>
      </c>
      <c r="N987" s="6" t="s">
        <v>8269</v>
      </c>
      <c r="O987" s="6" t="n">
        <v>39</v>
      </c>
      <c r="P987" s="6" t="s">
        <v>8270</v>
      </c>
      <c r="Q987" s="6" t="n">
        <v>32</v>
      </c>
      <c r="R987" s="6" t="s">
        <v>8271</v>
      </c>
      <c r="S987" s="6" t="n">
        <v>25</v>
      </c>
      <c r="T987" s="6" t="s">
        <v>8272</v>
      </c>
      <c r="U987" s="6" t="n">
        <v>10</v>
      </c>
      <c r="V987" s="6" t="s">
        <v>8273</v>
      </c>
      <c r="W987" s="6" t="n">
        <v>4</v>
      </c>
      <c r="X987" s="6" t="s">
        <v>8274</v>
      </c>
      <c r="Y987" s="6" t="n">
        <v>3</v>
      </c>
      <c r="Z987" s="6" t="s">
        <v>8275</v>
      </c>
      <c r="AA987" s="6" t="n">
        <v>2</v>
      </c>
      <c r="AB987" s="6" t="s">
        <v>8276</v>
      </c>
      <c r="AC987" s="6" t="n">
        <v>2</v>
      </c>
      <c r="AD987" s="6" t="s">
        <v>8277</v>
      </c>
      <c r="AE987" s="6" t="n">
        <v>1</v>
      </c>
      <c r="AF987" s="6" t="s">
        <v>8278</v>
      </c>
      <c r="AG987" s="6" t="n">
        <v>1</v>
      </c>
      <c r="AH987" s="6" t="s">
        <v>4523</v>
      </c>
      <c r="AI987" s="6" t="n">
        <v>1</v>
      </c>
      <c r="AJ987" s="6" t="s">
        <v>8279</v>
      </c>
      <c r="AK987" s="6" t="n">
        <v>1</v>
      </c>
      <c r="AL987" s="6" t="s">
        <v>8280</v>
      </c>
      <c r="AM987" s="6" t="n">
        <v>1</v>
      </c>
      <c r="AN987" s="6" t="s">
        <v>8281</v>
      </c>
      <c r="AO987" s="6" t="n">
        <v>1</v>
      </c>
      <c r="AP987" s="6" t="s">
        <v>8282</v>
      </c>
      <c r="AQ987" s="6" t="n">
        <v>1</v>
      </c>
      <c r="AR987" s="6" t="s">
        <v>8283</v>
      </c>
      <c r="AS987" s="6" t="n">
        <v>0</v>
      </c>
      <c r="AT987" s="6" t="s">
        <v>8284</v>
      </c>
      <c r="AU987" s="6" t="n">
        <v>0</v>
      </c>
      <c r="AV987" s="6" t="s">
        <v>8285</v>
      </c>
      <c r="AW987" s="6" t="n">
        <v>0</v>
      </c>
      <c r="AX987" s="6" t="s">
        <v>8286</v>
      </c>
      <c r="AY987" s="6" t="n">
        <v>0</v>
      </c>
      <c r="AZ987" s="6" t="s">
        <v>8287</v>
      </c>
      <c r="BA987" s="6" t="n">
        <v>0</v>
      </c>
      <c r="BB987" s="6" t="s">
        <v>8288</v>
      </c>
      <c r="BC987" s="6" t="n">
        <v>0</v>
      </c>
    </row>
    <row r="988" customFormat="false" ht="12.8" hidden="false" customHeight="false" outlineLevel="0" collapsed="false">
      <c r="A988" s="6" t="s">
        <v>8289</v>
      </c>
      <c r="B988" s="6" t="n">
        <v>640</v>
      </c>
      <c r="C988" s="6" t="n">
        <v>223</v>
      </c>
      <c r="D988" s="12" t="n">
        <f aca="false">C988/(B988+C988)*100</f>
        <v>25.8400926998841</v>
      </c>
      <c r="E988" s="6" t="n">
        <v>20</v>
      </c>
      <c r="F988" s="6" t="s">
        <v>8290</v>
      </c>
      <c r="G988" s="6" t="n">
        <v>47</v>
      </c>
      <c r="H988" s="6" t="s">
        <v>8291</v>
      </c>
      <c r="I988" s="6" t="n">
        <v>37</v>
      </c>
      <c r="J988" s="6" t="s">
        <v>8291</v>
      </c>
      <c r="K988" s="6" t="n">
        <v>37</v>
      </c>
      <c r="L988" s="6" t="s">
        <v>8292</v>
      </c>
      <c r="M988" s="6" t="n">
        <v>19</v>
      </c>
      <c r="N988" s="6" t="s">
        <v>8293</v>
      </c>
      <c r="O988" s="6" t="n">
        <v>14</v>
      </c>
      <c r="P988" s="6" t="s">
        <v>8293</v>
      </c>
      <c r="Q988" s="6" t="n">
        <v>14</v>
      </c>
      <c r="R988" s="6" t="s">
        <v>8294</v>
      </c>
      <c r="S988" s="6" t="n">
        <v>8</v>
      </c>
      <c r="T988" s="6" t="s">
        <v>8295</v>
      </c>
      <c r="U988" s="6" t="n">
        <v>7</v>
      </c>
      <c r="V988" s="6" t="s">
        <v>8295</v>
      </c>
      <c r="W988" s="6" t="n">
        <v>7</v>
      </c>
      <c r="X988" s="6" t="s">
        <v>8296</v>
      </c>
      <c r="Y988" s="6" t="n">
        <v>6</v>
      </c>
      <c r="Z988" s="6" t="s">
        <v>8297</v>
      </c>
      <c r="AA988" s="6" t="n">
        <v>5</v>
      </c>
      <c r="AB988" s="6" t="s">
        <v>8298</v>
      </c>
      <c r="AC988" s="6" t="n">
        <v>5</v>
      </c>
      <c r="AD988" s="6" t="s">
        <v>8297</v>
      </c>
      <c r="AE988" s="6" t="n">
        <v>5</v>
      </c>
      <c r="AF988" s="6" t="s">
        <v>8298</v>
      </c>
      <c r="AG988" s="6" t="n">
        <v>5</v>
      </c>
      <c r="AH988" s="6" t="s">
        <v>8299</v>
      </c>
      <c r="AI988" s="6" t="n">
        <v>3</v>
      </c>
      <c r="AJ988" s="6" t="s">
        <v>8300</v>
      </c>
      <c r="AK988" s="6" t="n">
        <v>2</v>
      </c>
      <c r="AL988" s="6" t="s">
        <v>8301</v>
      </c>
      <c r="AM988" s="6" t="n">
        <v>1</v>
      </c>
      <c r="AN988" s="6" t="s">
        <v>8302</v>
      </c>
      <c r="AO988" s="6" t="n">
        <v>1</v>
      </c>
      <c r="AP988" s="6" t="s">
        <v>8303</v>
      </c>
      <c r="AQ988" s="6" t="n">
        <v>0</v>
      </c>
      <c r="AR988" s="6" t="s">
        <v>8304</v>
      </c>
      <c r="AS988" s="6" t="n">
        <v>0</v>
      </c>
    </row>
    <row r="989" customFormat="false" ht="12.8" hidden="false" customHeight="false" outlineLevel="0" collapsed="false">
      <c r="A989" s="6" t="s">
        <v>8305</v>
      </c>
      <c r="B989" s="6" t="n">
        <v>649</v>
      </c>
      <c r="C989" s="6" t="n">
        <v>607</v>
      </c>
      <c r="D989" s="12" t="n">
        <f aca="false">C989/(B989+C989)*100</f>
        <v>48.328025477707</v>
      </c>
      <c r="E989" s="6" t="n">
        <v>25</v>
      </c>
      <c r="F989" s="6" t="s">
        <v>8306</v>
      </c>
      <c r="G989" s="6" t="n">
        <v>179</v>
      </c>
      <c r="H989" s="6" t="s">
        <v>8307</v>
      </c>
      <c r="I989" s="6" t="n">
        <v>154</v>
      </c>
      <c r="J989" s="6" t="s">
        <v>8308</v>
      </c>
      <c r="K989" s="6" t="n">
        <v>136</v>
      </c>
      <c r="L989" s="6" t="s">
        <v>8309</v>
      </c>
      <c r="M989" s="6" t="n">
        <v>74</v>
      </c>
      <c r="N989" s="6" t="s">
        <v>8310</v>
      </c>
      <c r="O989" s="6" t="n">
        <v>12</v>
      </c>
      <c r="P989" s="6" t="s">
        <v>8311</v>
      </c>
      <c r="Q989" s="6" t="n">
        <v>11</v>
      </c>
      <c r="R989" s="6" t="s">
        <v>8312</v>
      </c>
      <c r="S989" s="6" t="n">
        <v>9</v>
      </c>
      <c r="T989" s="6" t="s">
        <v>8313</v>
      </c>
      <c r="U989" s="6" t="n">
        <v>7</v>
      </c>
      <c r="V989" s="6" t="s">
        <v>8314</v>
      </c>
      <c r="W989" s="6" t="n">
        <v>5</v>
      </c>
      <c r="X989" s="6" t="s">
        <v>8315</v>
      </c>
      <c r="Y989" s="6" t="n">
        <v>4</v>
      </c>
      <c r="Z989" s="6" t="s">
        <v>8316</v>
      </c>
      <c r="AA989" s="6" t="n">
        <v>3</v>
      </c>
      <c r="AB989" s="6" t="s">
        <v>8317</v>
      </c>
      <c r="AC989" s="6" t="n">
        <v>2</v>
      </c>
      <c r="AD989" s="6" t="s">
        <v>8318</v>
      </c>
      <c r="AE989" s="6" t="n">
        <v>2</v>
      </c>
      <c r="AF989" s="6" t="s">
        <v>8319</v>
      </c>
      <c r="AG989" s="6" t="n">
        <v>2</v>
      </c>
      <c r="AH989" s="6" t="s">
        <v>8320</v>
      </c>
      <c r="AI989" s="6" t="n">
        <v>2</v>
      </c>
      <c r="AJ989" s="6" t="s">
        <v>8321</v>
      </c>
      <c r="AK989" s="6" t="n">
        <v>1</v>
      </c>
      <c r="AL989" s="6" t="s">
        <v>8322</v>
      </c>
      <c r="AM989" s="6" t="n">
        <v>1</v>
      </c>
      <c r="AN989" s="6" t="s">
        <v>8323</v>
      </c>
      <c r="AO989" s="6" t="n">
        <v>1</v>
      </c>
      <c r="AP989" s="6" t="s">
        <v>8324</v>
      </c>
      <c r="AQ989" s="6" t="n">
        <v>1</v>
      </c>
      <c r="AR989" s="6" t="s">
        <v>8325</v>
      </c>
      <c r="AS989" s="6" t="n">
        <v>1</v>
      </c>
      <c r="AT989" s="6" t="s">
        <v>8326</v>
      </c>
      <c r="AU989" s="6" t="n">
        <v>0</v>
      </c>
      <c r="AV989" s="6" t="s">
        <v>8327</v>
      </c>
      <c r="AW989" s="6" t="n">
        <v>0</v>
      </c>
      <c r="AX989" s="6" t="s">
        <v>8328</v>
      </c>
      <c r="AY989" s="6" t="n">
        <v>0</v>
      </c>
      <c r="AZ989" s="6" t="s">
        <v>8329</v>
      </c>
      <c r="BA989" s="6" t="n">
        <v>0</v>
      </c>
      <c r="BB989" s="6" t="s">
        <v>8330</v>
      </c>
      <c r="BC989" s="6" t="n">
        <v>0</v>
      </c>
    </row>
    <row r="990" customFormat="false" ht="12.8" hidden="false" customHeight="false" outlineLevel="0" collapsed="false">
      <c r="A990" s="6" t="s">
        <v>8331</v>
      </c>
      <c r="B990" s="6" t="n">
        <v>659</v>
      </c>
      <c r="C990" s="6" t="n">
        <v>56</v>
      </c>
      <c r="D990" s="12" t="n">
        <f aca="false">C990/(B990+C990)*100</f>
        <v>7.83216783216783</v>
      </c>
      <c r="E990" s="6" t="n">
        <v>5</v>
      </c>
      <c r="F990" s="6" t="s">
        <v>8332</v>
      </c>
      <c r="G990" s="6" t="n">
        <v>39</v>
      </c>
      <c r="H990" s="6" t="s">
        <v>8333</v>
      </c>
      <c r="I990" s="6" t="n">
        <v>14</v>
      </c>
      <c r="J990" s="6" t="s">
        <v>8334</v>
      </c>
      <c r="K990" s="6" t="n">
        <v>1</v>
      </c>
      <c r="L990" s="6" t="s">
        <v>8335</v>
      </c>
      <c r="M990" s="6" t="n">
        <v>1</v>
      </c>
      <c r="N990" s="6" t="s">
        <v>8336</v>
      </c>
      <c r="O990" s="6" t="n">
        <v>1</v>
      </c>
    </row>
    <row r="991" customFormat="false" ht="12.8" hidden="false" customHeight="false" outlineLevel="0" collapsed="false">
      <c r="A991" s="6" t="s">
        <v>8337</v>
      </c>
      <c r="B991" s="6" t="n">
        <v>661</v>
      </c>
      <c r="C991" s="6" t="n">
        <v>3980</v>
      </c>
      <c r="D991" s="12" t="n">
        <f aca="false">C991/(B991+C991)*100</f>
        <v>85.7573798750269</v>
      </c>
      <c r="E991" s="6" t="n">
        <v>40</v>
      </c>
      <c r="F991" s="6" t="s">
        <v>8338</v>
      </c>
      <c r="G991" s="6" t="n">
        <v>965</v>
      </c>
      <c r="H991" s="6" t="s">
        <v>8339</v>
      </c>
      <c r="I991" s="6" t="n">
        <v>915</v>
      </c>
      <c r="J991" s="6" t="s">
        <v>8340</v>
      </c>
      <c r="K991" s="6" t="n">
        <v>699</v>
      </c>
      <c r="L991" s="6" t="s">
        <v>8341</v>
      </c>
      <c r="M991" s="6" t="n">
        <v>567</v>
      </c>
      <c r="N991" s="6" t="s">
        <v>8342</v>
      </c>
      <c r="O991" s="6" t="n">
        <v>280</v>
      </c>
      <c r="P991" s="6" t="s">
        <v>8343</v>
      </c>
      <c r="Q991" s="6" t="n">
        <v>116</v>
      </c>
      <c r="R991" s="6" t="s">
        <v>8344</v>
      </c>
      <c r="S991" s="6" t="n">
        <v>93</v>
      </c>
      <c r="T991" s="6" t="s">
        <v>8345</v>
      </c>
      <c r="U991" s="6" t="n">
        <v>77</v>
      </c>
      <c r="V991" s="6" t="s">
        <v>8346</v>
      </c>
      <c r="W991" s="6" t="n">
        <v>65</v>
      </c>
      <c r="X991" s="6" t="s">
        <v>8347</v>
      </c>
      <c r="Y991" s="6" t="n">
        <v>51</v>
      </c>
      <c r="Z991" s="6" t="s">
        <v>8348</v>
      </c>
      <c r="AA991" s="6" t="n">
        <v>46</v>
      </c>
      <c r="AB991" s="6" t="s">
        <v>8349</v>
      </c>
      <c r="AC991" s="6" t="n">
        <v>30</v>
      </c>
      <c r="AD991" s="6" t="s">
        <v>8350</v>
      </c>
      <c r="AE991" s="6" t="n">
        <v>21</v>
      </c>
      <c r="AF991" s="6" t="s">
        <v>8351</v>
      </c>
      <c r="AG991" s="6" t="n">
        <v>11</v>
      </c>
      <c r="AH991" s="6" t="s">
        <v>8352</v>
      </c>
      <c r="AI991" s="6" t="n">
        <v>7</v>
      </c>
      <c r="AJ991" s="6" t="s">
        <v>8353</v>
      </c>
      <c r="AK991" s="6" t="n">
        <v>5</v>
      </c>
      <c r="AL991" s="6" t="s">
        <v>8354</v>
      </c>
      <c r="AM991" s="6" t="n">
        <v>4</v>
      </c>
      <c r="AN991" s="6" t="s">
        <v>8355</v>
      </c>
      <c r="AO991" s="6" t="n">
        <v>4</v>
      </c>
      <c r="AP991" s="6" t="s">
        <v>8356</v>
      </c>
      <c r="AQ991" s="6" t="n">
        <v>3</v>
      </c>
      <c r="AR991" s="6" t="s">
        <v>8357</v>
      </c>
      <c r="AS991" s="6" t="n">
        <v>3</v>
      </c>
      <c r="AT991" s="6" t="s">
        <v>8358</v>
      </c>
      <c r="AU991" s="6" t="n">
        <v>2</v>
      </c>
      <c r="AV991" s="6" t="s">
        <v>8359</v>
      </c>
      <c r="AW991" s="6" t="n">
        <v>2</v>
      </c>
      <c r="AX991" s="6" t="s">
        <v>8360</v>
      </c>
      <c r="AY991" s="6" t="n">
        <v>2</v>
      </c>
      <c r="AZ991" s="6" t="s">
        <v>8361</v>
      </c>
      <c r="BA991" s="6" t="n">
        <v>2</v>
      </c>
      <c r="BB991" s="6" t="s">
        <v>8362</v>
      </c>
      <c r="BC991" s="6" t="n">
        <v>2</v>
      </c>
      <c r="BD991" s="6" t="s">
        <v>8363</v>
      </c>
      <c r="BE991" s="6" t="n">
        <v>1</v>
      </c>
      <c r="BF991" s="6" t="s">
        <v>8364</v>
      </c>
      <c r="BG991" s="6" t="n">
        <v>1</v>
      </c>
      <c r="BH991" s="6" t="s">
        <v>8365</v>
      </c>
      <c r="BI991" s="6" t="n">
        <v>1</v>
      </c>
      <c r="BJ991" s="6" t="s">
        <v>8366</v>
      </c>
      <c r="BK991" s="6" t="n">
        <v>1</v>
      </c>
      <c r="BL991" s="6" t="s">
        <v>8367</v>
      </c>
      <c r="BM991" s="6" t="n">
        <v>1</v>
      </c>
      <c r="BN991" s="6" t="s">
        <v>8368</v>
      </c>
      <c r="BO991" s="6" t="n">
        <v>1</v>
      </c>
      <c r="BP991" s="6" t="s">
        <v>8369</v>
      </c>
      <c r="BQ991" s="6" t="n">
        <v>1</v>
      </c>
      <c r="BR991" s="6" t="s">
        <v>8370</v>
      </c>
      <c r="BS991" s="6" t="n">
        <v>1</v>
      </c>
      <c r="BT991" s="6" t="s">
        <v>8371</v>
      </c>
      <c r="BU991" s="6" t="n">
        <v>0</v>
      </c>
      <c r="BV991" s="6" t="s">
        <v>8372</v>
      </c>
      <c r="BW991" s="6" t="n">
        <v>0</v>
      </c>
      <c r="BX991" s="6" t="s">
        <v>8373</v>
      </c>
      <c r="BY991" s="6" t="n">
        <v>0</v>
      </c>
      <c r="BZ991" s="6" t="s">
        <v>8374</v>
      </c>
      <c r="CA991" s="6" t="n">
        <v>0</v>
      </c>
      <c r="CB991" s="6" t="s">
        <v>8375</v>
      </c>
      <c r="CC991" s="6" t="n">
        <v>0</v>
      </c>
      <c r="CD991" s="6" t="s">
        <v>8376</v>
      </c>
      <c r="CE991" s="6" t="n">
        <v>0</v>
      </c>
      <c r="CF991" s="6" t="s">
        <v>8377</v>
      </c>
      <c r="CG991" s="6" t="n">
        <v>0</v>
      </c>
    </row>
    <row r="992" customFormat="false" ht="12.8" hidden="false" customHeight="false" outlineLevel="0" collapsed="false">
      <c r="A992" s="6" t="s">
        <v>8378</v>
      </c>
      <c r="B992" s="6" t="n">
        <v>661</v>
      </c>
      <c r="C992" s="6" t="n">
        <v>7</v>
      </c>
      <c r="D992" s="12" t="n">
        <f aca="false">C992/(B992+C992)*100</f>
        <v>1.04790419161677</v>
      </c>
      <c r="E992" s="6" t="n">
        <v>5</v>
      </c>
      <c r="F992" s="6" t="s">
        <v>8379</v>
      </c>
      <c r="G992" s="6" t="n">
        <v>4</v>
      </c>
      <c r="H992" s="6" t="s">
        <v>8380</v>
      </c>
      <c r="I992" s="6" t="n">
        <v>1</v>
      </c>
      <c r="J992" s="6" t="s">
        <v>8381</v>
      </c>
      <c r="K992" s="6" t="n">
        <v>1</v>
      </c>
      <c r="L992" s="6" t="s">
        <v>8382</v>
      </c>
      <c r="M992" s="6" t="n">
        <v>1</v>
      </c>
      <c r="O992" s="6" t="n">
        <v>0</v>
      </c>
    </row>
    <row r="993" customFormat="false" ht="12.8" hidden="false" customHeight="false" outlineLevel="0" collapsed="false">
      <c r="A993" s="6" t="s">
        <v>8383</v>
      </c>
      <c r="B993" s="6" t="n">
        <v>673</v>
      </c>
      <c r="C993" s="6" t="n">
        <v>126</v>
      </c>
      <c r="D993" s="12" t="n">
        <f aca="false">C993/(B993+C993)*100</f>
        <v>15.7697121401752</v>
      </c>
      <c r="E993" s="6" t="n">
        <v>12</v>
      </c>
      <c r="F993" s="6" t="s">
        <v>8384</v>
      </c>
      <c r="G993" s="6" t="n">
        <v>48</v>
      </c>
      <c r="H993" s="6" t="s">
        <v>8385</v>
      </c>
      <c r="I993" s="6" t="n">
        <v>30</v>
      </c>
      <c r="J993" s="6" t="s">
        <v>8386</v>
      </c>
      <c r="K993" s="6" t="n">
        <v>23</v>
      </c>
      <c r="L993" s="6" t="s">
        <v>8387</v>
      </c>
      <c r="M993" s="6" t="n">
        <v>9</v>
      </c>
      <c r="N993" s="6" t="s">
        <v>8388</v>
      </c>
      <c r="O993" s="6" t="n">
        <v>6</v>
      </c>
      <c r="P993" s="6" t="s">
        <v>8389</v>
      </c>
      <c r="Q993" s="6" t="n">
        <v>3</v>
      </c>
      <c r="R993" s="6" t="s">
        <v>8390</v>
      </c>
      <c r="S993" s="6" t="n">
        <v>2</v>
      </c>
      <c r="T993" s="6" t="s">
        <v>8391</v>
      </c>
      <c r="U993" s="6" t="n">
        <v>2</v>
      </c>
      <c r="V993" s="6" t="s">
        <v>8392</v>
      </c>
      <c r="W993" s="6" t="n">
        <v>1</v>
      </c>
      <c r="X993" s="6" t="s">
        <v>8393</v>
      </c>
      <c r="Y993" s="6" t="n">
        <v>1</v>
      </c>
      <c r="Z993" s="6" t="s">
        <v>8394</v>
      </c>
      <c r="AA993" s="6" t="n">
        <v>1</v>
      </c>
      <c r="AB993" s="6" t="s">
        <v>8395</v>
      </c>
      <c r="AC993" s="6" t="n">
        <v>0</v>
      </c>
    </row>
    <row r="994" customFormat="false" ht="12.8" hidden="false" customHeight="false" outlineLevel="0" collapsed="false">
      <c r="A994" s="6" t="s">
        <v>8396</v>
      </c>
      <c r="B994" s="6" t="n">
        <v>689</v>
      </c>
      <c r="C994" s="6" t="n">
        <v>2890</v>
      </c>
      <c r="D994" s="12" t="n">
        <f aca="false">C994/(B994+C994)*100</f>
        <v>80.748812517463</v>
      </c>
      <c r="E994" s="6" t="n">
        <v>29</v>
      </c>
      <c r="F994" s="6" t="s">
        <v>8397</v>
      </c>
      <c r="G994" s="6" t="n">
        <v>895</v>
      </c>
      <c r="H994" s="6" t="s">
        <v>8398</v>
      </c>
      <c r="I994" s="6" t="n">
        <v>843</v>
      </c>
      <c r="J994" s="6" t="s">
        <v>8399</v>
      </c>
      <c r="K994" s="6" t="n">
        <v>400</v>
      </c>
      <c r="L994" s="6" t="s">
        <v>8400</v>
      </c>
      <c r="M994" s="6" t="n">
        <v>256</v>
      </c>
      <c r="N994" s="6" t="s">
        <v>8401</v>
      </c>
      <c r="O994" s="6" t="n">
        <v>132</v>
      </c>
      <c r="P994" s="6" t="s">
        <v>8402</v>
      </c>
      <c r="Q994" s="6" t="n">
        <v>121</v>
      </c>
      <c r="R994" s="6" t="s">
        <v>8403</v>
      </c>
      <c r="S994" s="6" t="n">
        <v>64</v>
      </c>
      <c r="T994" s="6" t="s">
        <v>8404</v>
      </c>
      <c r="U994" s="6" t="n">
        <v>52</v>
      </c>
      <c r="V994" s="6" t="s">
        <v>8405</v>
      </c>
      <c r="W994" s="6" t="n">
        <v>42</v>
      </c>
      <c r="X994" s="6" t="s">
        <v>8406</v>
      </c>
      <c r="Y994" s="6" t="n">
        <v>26</v>
      </c>
      <c r="Z994" s="6" t="s">
        <v>8407</v>
      </c>
      <c r="AA994" s="6" t="n">
        <v>22</v>
      </c>
      <c r="AB994" s="6" t="s">
        <v>8408</v>
      </c>
      <c r="AC994" s="6" t="n">
        <v>7</v>
      </c>
      <c r="AD994" s="6" t="s">
        <v>8409</v>
      </c>
      <c r="AE994" s="6" t="n">
        <v>7</v>
      </c>
      <c r="AF994" s="6" t="s">
        <v>8410</v>
      </c>
      <c r="AG994" s="6" t="n">
        <v>7</v>
      </c>
      <c r="AH994" s="6" t="s">
        <v>8411</v>
      </c>
      <c r="AI994" s="6" t="n">
        <v>3</v>
      </c>
      <c r="AJ994" s="6" t="s">
        <v>8412</v>
      </c>
      <c r="AK994" s="6" t="n">
        <v>3</v>
      </c>
      <c r="AL994" s="6" t="s">
        <v>8413</v>
      </c>
      <c r="AM994" s="6" t="n">
        <v>2</v>
      </c>
      <c r="AN994" s="6" t="s">
        <v>8414</v>
      </c>
      <c r="AO994" s="6" t="n">
        <v>2</v>
      </c>
      <c r="AP994" s="6" t="s">
        <v>8415</v>
      </c>
      <c r="AQ994" s="6" t="n">
        <v>2</v>
      </c>
      <c r="AR994" s="6" t="s">
        <v>8416</v>
      </c>
      <c r="AS994" s="6" t="n">
        <v>1</v>
      </c>
      <c r="AT994" s="6" t="s">
        <v>8417</v>
      </c>
      <c r="AU994" s="6" t="n">
        <v>1</v>
      </c>
      <c r="AV994" s="6" t="s">
        <v>8418</v>
      </c>
      <c r="AW994" s="6" t="n">
        <v>1</v>
      </c>
      <c r="AX994" s="6" t="s">
        <v>8419</v>
      </c>
      <c r="AY994" s="6" t="n">
        <v>1</v>
      </c>
      <c r="AZ994" s="6" t="s">
        <v>8420</v>
      </c>
      <c r="BA994" s="6" t="n">
        <v>0</v>
      </c>
      <c r="BB994" s="6" t="s">
        <v>8421</v>
      </c>
      <c r="BC994" s="6" t="n">
        <v>0</v>
      </c>
      <c r="BD994" s="6" t="s">
        <v>8422</v>
      </c>
      <c r="BE994" s="6" t="n">
        <v>0</v>
      </c>
      <c r="BF994" s="6" t="s">
        <v>8423</v>
      </c>
      <c r="BG994" s="6" t="n">
        <v>0</v>
      </c>
      <c r="BH994" s="6" t="s">
        <v>8424</v>
      </c>
      <c r="BI994" s="6" t="n">
        <v>0</v>
      </c>
      <c r="BJ994" s="6" t="s">
        <v>8425</v>
      </c>
      <c r="BK994" s="6" t="n">
        <v>0</v>
      </c>
    </row>
    <row r="995" customFormat="false" ht="12.8" hidden="false" customHeight="false" outlineLevel="0" collapsed="false">
      <c r="A995" s="6" t="s">
        <v>8426</v>
      </c>
      <c r="B995" s="6" t="n">
        <v>701</v>
      </c>
      <c r="C995" s="6" t="n">
        <v>117</v>
      </c>
      <c r="D995" s="12" t="n">
        <f aca="false">C995/(B995+C995)*100</f>
        <v>14.3031784841076</v>
      </c>
      <c r="E995" s="6" t="n">
        <v>13</v>
      </c>
      <c r="F995" s="6" t="s">
        <v>8427</v>
      </c>
      <c r="G995" s="6" t="n">
        <v>76</v>
      </c>
      <c r="H995" s="6" t="s">
        <v>8428</v>
      </c>
      <c r="I995" s="6" t="n">
        <v>19</v>
      </c>
      <c r="J995" s="6" t="s">
        <v>8429</v>
      </c>
      <c r="K995" s="6" t="n">
        <v>8</v>
      </c>
      <c r="L995" s="6" t="s">
        <v>8430</v>
      </c>
      <c r="M995" s="6" t="n">
        <v>7</v>
      </c>
      <c r="N995" s="6" t="s">
        <v>8431</v>
      </c>
      <c r="O995" s="6" t="n">
        <v>1</v>
      </c>
      <c r="P995" s="6" t="s">
        <v>8432</v>
      </c>
      <c r="Q995" s="6" t="n">
        <v>1</v>
      </c>
      <c r="R995" s="6" t="s">
        <v>8433</v>
      </c>
      <c r="S995" s="6" t="n">
        <v>1</v>
      </c>
      <c r="T995" s="6" t="s">
        <v>8434</v>
      </c>
      <c r="U995" s="6" t="n">
        <v>1</v>
      </c>
      <c r="V995" s="6" t="s">
        <v>8435</v>
      </c>
      <c r="W995" s="6" t="n">
        <v>1</v>
      </c>
      <c r="X995" s="6" t="s">
        <v>8436</v>
      </c>
      <c r="Y995" s="6" t="n">
        <v>1</v>
      </c>
      <c r="Z995" s="6" t="s">
        <v>8437</v>
      </c>
      <c r="AA995" s="6" t="n">
        <v>1</v>
      </c>
      <c r="AB995" s="6" t="s">
        <v>8438</v>
      </c>
      <c r="AC995" s="6" t="n">
        <v>0</v>
      </c>
      <c r="AD995" s="6" t="s">
        <v>8439</v>
      </c>
      <c r="AE995" s="6" t="n">
        <v>0</v>
      </c>
    </row>
    <row r="996" customFormat="false" ht="12.8" hidden="false" customHeight="false" outlineLevel="0" collapsed="false">
      <c r="A996" s="6" t="s">
        <v>8440</v>
      </c>
      <c r="B996" s="6" t="n">
        <v>703</v>
      </c>
      <c r="C996" s="6" t="n">
        <v>1083</v>
      </c>
      <c r="D996" s="12" t="n">
        <f aca="false">C996/(B996+C996)*100</f>
        <v>60.6382978723404</v>
      </c>
      <c r="E996" s="6" t="n">
        <v>10</v>
      </c>
      <c r="F996" s="6" t="s">
        <v>8441</v>
      </c>
      <c r="G996" s="6" t="n">
        <v>544</v>
      </c>
      <c r="H996" s="6" t="s">
        <v>8442</v>
      </c>
      <c r="I996" s="6" t="n">
        <v>423</v>
      </c>
      <c r="J996" s="6" t="s">
        <v>8443</v>
      </c>
      <c r="K996" s="6" t="n">
        <v>40</v>
      </c>
      <c r="L996" s="6" t="s">
        <v>8444</v>
      </c>
      <c r="M996" s="6" t="n">
        <v>35</v>
      </c>
      <c r="N996" s="6" t="s">
        <v>8445</v>
      </c>
      <c r="O996" s="6" t="n">
        <v>29</v>
      </c>
      <c r="P996" s="6" t="s">
        <v>8446</v>
      </c>
      <c r="Q996" s="6" t="n">
        <v>9</v>
      </c>
      <c r="R996" s="6" t="s">
        <v>8447</v>
      </c>
      <c r="S996" s="6" t="n">
        <v>2</v>
      </c>
      <c r="T996" s="6" t="s">
        <v>8448</v>
      </c>
      <c r="U996" s="6" t="n">
        <v>1</v>
      </c>
      <c r="V996" s="6" t="s">
        <v>8449</v>
      </c>
      <c r="W996" s="6" t="n">
        <v>0</v>
      </c>
      <c r="X996" s="6" t="s">
        <v>8450</v>
      </c>
      <c r="Y996" s="6" t="n">
        <v>0</v>
      </c>
    </row>
    <row r="997" customFormat="false" ht="12.8" hidden="false" customHeight="false" outlineLevel="0" collapsed="false">
      <c r="A997" s="6" t="s">
        <v>8451</v>
      </c>
      <c r="B997" s="6" t="n">
        <v>723</v>
      </c>
      <c r="C997" s="6" t="n">
        <v>107</v>
      </c>
      <c r="D997" s="12" t="n">
        <f aca="false">C997/(B997+C997)*100</f>
        <v>12.8915662650602</v>
      </c>
      <c r="E997" s="6" t="n">
        <v>13</v>
      </c>
      <c r="F997" s="6" t="s">
        <v>8452</v>
      </c>
      <c r="G997" s="6" t="n">
        <v>89</v>
      </c>
      <c r="H997" s="6" t="s">
        <v>8453</v>
      </c>
      <c r="I997" s="6" t="n">
        <v>6</v>
      </c>
      <c r="J997" s="6" t="s">
        <v>8454</v>
      </c>
      <c r="K997" s="6" t="n">
        <v>3</v>
      </c>
      <c r="L997" s="6" t="s">
        <v>8455</v>
      </c>
      <c r="M997" s="6" t="n">
        <v>2</v>
      </c>
      <c r="N997" s="6" t="s">
        <v>8456</v>
      </c>
      <c r="O997" s="6" t="n">
        <v>2</v>
      </c>
      <c r="P997" s="6" t="s">
        <v>8457</v>
      </c>
      <c r="Q997" s="6" t="n">
        <v>2</v>
      </c>
      <c r="R997" s="6" t="s">
        <v>8458</v>
      </c>
      <c r="S997" s="6" t="n">
        <v>1</v>
      </c>
      <c r="T997" s="6" t="s">
        <v>8459</v>
      </c>
      <c r="U997" s="6" t="n">
        <v>1</v>
      </c>
      <c r="V997" s="6" t="s">
        <v>8460</v>
      </c>
      <c r="W997" s="6" t="n">
        <v>1</v>
      </c>
      <c r="X997" s="6" t="s">
        <v>8461</v>
      </c>
      <c r="Y997" s="6" t="n">
        <v>0</v>
      </c>
      <c r="Z997" s="6" t="s">
        <v>8462</v>
      </c>
      <c r="AA997" s="6" t="n">
        <v>0</v>
      </c>
      <c r="AB997" s="6" t="s">
        <v>8463</v>
      </c>
      <c r="AC997" s="6" t="n">
        <v>0</v>
      </c>
      <c r="AD997" s="6" t="s">
        <v>8464</v>
      </c>
      <c r="AE997" s="6" t="n">
        <v>0</v>
      </c>
    </row>
    <row r="998" customFormat="false" ht="12.8" hidden="false" customHeight="false" outlineLevel="0" collapsed="false">
      <c r="A998" s="6" t="s">
        <v>8465</v>
      </c>
      <c r="B998" s="6" t="n">
        <v>732</v>
      </c>
      <c r="C998" s="6" t="n">
        <v>1754</v>
      </c>
      <c r="D998" s="12" t="n">
        <f aca="false">C998/(B998+C998)*100</f>
        <v>70.555108608206</v>
      </c>
      <c r="E998" s="6" t="n">
        <v>36</v>
      </c>
      <c r="F998" s="6" t="s">
        <v>8466</v>
      </c>
      <c r="G998" s="6" t="n">
        <v>514</v>
      </c>
      <c r="H998" s="6" t="s">
        <v>8466</v>
      </c>
      <c r="I998" s="6" t="n">
        <v>514</v>
      </c>
      <c r="J998" s="6" t="s">
        <v>8467</v>
      </c>
      <c r="K998" s="6" t="n">
        <v>231</v>
      </c>
      <c r="L998" s="6" t="s">
        <v>8468</v>
      </c>
      <c r="M998" s="6" t="n">
        <v>226</v>
      </c>
      <c r="N998" s="6" t="s">
        <v>8469</v>
      </c>
      <c r="O998" s="6" t="n">
        <v>66</v>
      </c>
      <c r="P998" s="6" t="s">
        <v>8470</v>
      </c>
      <c r="Q998" s="6" t="n">
        <v>44</v>
      </c>
      <c r="R998" s="6" t="s">
        <v>8471</v>
      </c>
      <c r="S998" s="6" t="n">
        <v>40</v>
      </c>
      <c r="T998" s="6" t="s">
        <v>8472</v>
      </c>
      <c r="U998" s="6" t="n">
        <v>14</v>
      </c>
      <c r="V998" s="6" t="s">
        <v>8472</v>
      </c>
      <c r="W998" s="6" t="n">
        <v>14</v>
      </c>
      <c r="X998" s="6" t="s">
        <v>8473</v>
      </c>
      <c r="Y998" s="6" t="n">
        <v>12</v>
      </c>
      <c r="Z998" s="6" t="s">
        <v>8474</v>
      </c>
      <c r="AA998" s="6" t="n">
        <v>11</v>
      </c>
      <c r="AB998" s="6" t="s">
        <v>8475</v>
      </c>
      <c r="AC998" s="6" t="n">
        <v>10</v>
      </c>
      <c r="AD998" s="6" t="s">
        <v>8475</v>
      </c>
      <c r="AE998" s="6" t="n">
        <v>10</v>
      </c>
      <c r="AF998" s="6" t="s">
        <v>8476</v>
      </c>
      <c r="AG998" s="6" t="n">
        <v>6</v>
      </c>
      <c r="AH998" s="6" t="s">
        <v>8477</v>
      </c>
      <c r="AI998" s="6" t="n">
        <v>6</v>
      </c>
      <c r="AJ998" s="6" t="s">
        <v>8476</v>
      </c>
      <c r="AK998" s="6" t="n">
        <v>6</v>
      </c>
      <c r="AL998" s="6" t="s">
        <v>8478</v>
      </c>
      <c r="AM998" s="6" t="n">
        <v>5</v>
      </c>
      <c r="AN998" s="6" t="s">
        <v>8479</v>
      </c>
      <c r="AO998" s="6" t="n">
        <v>4</v>
      </c>
      <c r="AP998" s="6" t="s">
        <v>8480</v>
      </c>
      <c r="AQ998" s="6" t="n">
        <v>4</v>
      </c>
      <c r="AR998" s="6" t="s">
        <v>8481</v>
      </c>
      <c r="AS998" s="6" t="n">
        <v>2</v>
      </c>
      <c r="AT998" s="6" t="s">
        <v>8482</v>
      </c>
      <c r="AU998" s="6" t="n">
        <v>2</v>
      </c>
      <c r="AV998" s="6" t="s">
        <v>8483</v>
      </c>
      <c r="AW998" s="6" t="n">
        <v>2</v>
      </c>
      <c r="AX998" s="6" t="s">
        <v>8483</v>
      </c>
      <c r="AY998" s="6" t="n">
        <v>2</v>
      </c>
      <c r="AZ998" s="6" t="s">
        <v>8484</v>
      </c>
      <c r="BA998" s="6" t="n">
        <v>1</v>
      </c>
      <c r="BB998" s="6" t="s">
        <v>8485</v>
      </c>
      <c r="BC998" s="6" t="n">
        <v>1</v>
      </c>
      <c r="BD998" s="6" t="s">
        <v>8486</v>
      </c>
      <c r="BE998" s="6" t="n">
        <v>1</v>
      </c>
      <c r="BF998" s="6" t="s">
        <v>8487</v>
      </c>
      <c r="BG998" s="6" t="n">
        <v>1</v>
      </c>
      <c r="BH998" s="6" t="s">
        <v>8488</v>
      </c>
      <c r="BI998" s="6" t="n">
        <v>1</v>
      </c>
      <c r="BJ998" s="6" t="s">
        <v>8489</v>
      </c>
      <c r="BK998" s="6" t="n">
        <v>1</v>
      </c>
      <c r="BL998" s="6" t="s">
        <v>8490</v>
      </c>
      <c r="BM998" s="6" t="n">
        <v>1</v>
      </c>
      <c r="BN998" s="6" t="s">
        <v>8486</v>
      </c>
      <c r="BO998" s="6" t="n">
        <v>1</v>
      </c>
      <c r="BP998" s="6" t="s">
        <v>8488</v>
      </c>
      <c r="BQ998" s="6" t="n">
        <v>1</v>
      </c>
      <c r="BR998" s="6" t="s">
        <v>8491</v>
      </c>
      <c r="BS998" s="6" t="n">
        <v>0</v>
      </c>
      <c r="BT998" s="6" t="s">
        <v>8492</v>
      </c>
      <c r="BU998" s="6" t="n">
        <v>0</v>
      </c>
      <c r="BV998" s="6" t="s">
        <v>8493</v>
      </c>
      <c r="BW998" s="6" t="n">
        <v>0</v>
      </c>
      <c r="BX998" s="6" t="s">
        <v>8494</v>
      </c>
      <c r="BY998" s="6" t="n">
        <v>0</v>
      </c>
    </row>
    <row r="999" customFormat="false" ht="12.8" hidden="false" customHeight="false" outlineLevel="0" collapsed="false">
      <c r="A999" s="6" t="s">
        <v>8495</v>
      </c>
      <c r="B999" s="6" t="n">
        <v>735</v>
      </c>
      <c r="C999" s="6" t="n">
        <v>429</v>
      </c>
      <c r="D999" s="12" t="n">
        <f aca="false">C999/(B999+C999)*100</f>
        <v>36.8556701030928</v>
      </c>
      <c r="E999" s="6" t="n">
        <v>16</v>
      </c>
      <c r="F999" s="6" t="s">
        <v>8496</v>
      </c>
      <c r="G999" s="6" t="n">
        <v>73</v>
      </c>
      <c r="H999" s="6" t="s">
        <v>8497</v>
      </c>
      <c r="I999" s="6" t="n">
        <v>69</v>
      </c>
      <c r="J999" s="6" t="s">
        <v>8498</v>
      </c>
      <c r="K999" s="6" t="n">
        <v>68</v>
      </c>
      <c r="L999" s="6" t="s">
        <v>8499</v>
      </c>
      <c r="M999" s="6" t="n">
        <v>65</v>
      </c>
      <c r="N999" s="6" t="s">
        <v>8500</v>
      </c>
      <c r="O999" s="6" t="n">
        <v>59</v>
      </c>
      <c r="P999" s="6" t="s">
        <v>8501</v>
      </c>
      <c r="Q999" s="6" t="n">
        <v>44</v>
      </c>
      <c r="R999" s="6" t="s">
        <v>8502</v>
      </c>
      <c r="S999" s="6" t="n">
        <v>30</v>
      </c>
      <c r="T999" s="6" t="s">
        <v>8503</v>
      </c>
      <c r="U999" s="6" t="n">
        <v>7</v>
      </c>
      <c r="V999" s="6" t="s">
        <v>8504</v>
      </c>
      <c r="W999" s="6" t="n">
        <v>5</v>
      </c>
      <c r="X999" s="6" t="s">
        <v>8505</v>
      </c>
      <c r="Y999" s="6" t="n">
        <v>4</v>
      </c>
      <c r="Z999" s="6" t="s">
        <v>8506</v>
      </c>
      <c r="AA999" s="6" t="n">
        <v>2</v>
      </c>
      <c r="AB999" s="6" t="s">
        <v>8507</v>
      </c>
      <c r="AC999" s="6" t="n">
        <v>1</v>
      </c>
      <c r="AD999" s="6" t="s">
        <v>8508</v>
      </c>
      <c r="AE999" s="6" t="n">
        <v>1</v>
      </c>
      <c r="AF999" s="6" t="s">
        <v>8509</v>
      </c>
      <c r="AG999" s="6" t="n">
        <v>1</v>
      </c>
      <c r="AH999" s="6" t="s">
        <v>8510</v>
      </c>
      <c r="AI999" s="6" t="n">
        <v>0</v>
      </c>
      <c r="AJ999" s="6" t="s">
        <v>8511</v>
      </c>
      <c r="AK999" s="6" t="n">
        <v>0</v>
      </c>
    </row>
    <row r="1000" customFormat="false" ht="12.8" hidden="false" customHeight="false" outlineLevel="0" collapsed="false">
      <c r="A1000" s="6" t="s">
        <v>8512</v>
      </c>
      <c r="B1000" s="6" t="n">
        <v>737</v>
      </c>
      <c r="C1000" s="6" t="n">
        <v>242</v>
      </c>
      <c r="D1000" s="12" t="n">
        <f aca="false">C1000/(B1000+C1000)*100</f>
        <v>24.7191011235955</v>
      </c>
      <c r="E1000" s="6" t="n">
        <v>16</v>
      </c>
      <c r="F1000" s="6" t="s">
        <v>8513</v>
      </c>
      <c r="G1000" s="6" t="n">
        <v>197</v>
      </c>
      <c r="H1000" s="6" t="s">
        <v>8514</v>
      </c>
      <c r="I1000" s="6" t="n">
        <v>13</v>
      </c>
      <c r="J1000" s="6" t="s">
        <v>8515</v>
      </c>
      <c r="K1000" s="6" t="n">
        <v>7</v>
      </c>
      <c r="L1000" s="6" t="s">
        <v>8516</v>
      </c>
      <c r="M1000" s="6" t="n">
        <v>5</v>
      </c>
      <c r="N1000" s="6" t="s">
        <v>8517</v>
      </c>
      <c r="O1000" s="6" t="n">
        <v>5</v>
      </c>
      <c r="P1000" s="6" t="s">
        <v>8518</v>
      </c>
      <c r="Q1000" s="6" t="n">
        <v>3</v>
      </c>
      <c r="R1000" s="6" t="s">
        <v>8519</v>
      </c>
      <c r="S1000" s="6" t="n">
        <v>3</v>
      </c>
      <c r="T1000" s="6" t="s">
        <v>8520</v>
      </c>
      <c r="U1000" s="6" t="n">
        <v>2</v>
      </c>
      <c r="V1000" s="6" t="s">
        <v>8521</v>
      </c>
      <c r="W1000" s="6" t="n">
        <v>2</v>
      </c>
      <c r="X1000" s="6" t="s">
        <v>8522</v>
      </c>
      <c r="Y1000" s="6" t="n">
        <v>2</v>
      </c>
      <c r="Z1000" s="6" t="s">
        <v>8523</v>
      </c>
      <c r="AA1000" s="6" t="n">
        <v>1</v>
      </c>
      <c r="AB1000" s="6" t="s">
        <v>8524</v>
      </c>
      <c r="AC1000" s="6" t="n">
        <v>1</v>
      </c>
      <c r="AD1000" s="6" t="s">
        <v>8525</v>
      </c>
      <c r="AE1000" s="6" t="n">
        <v>1</v>
      </c>
      <c r="AF1000" s="6" t="s">
        <v>8526</v>
      </c>
      <c r="AG1000" s="6" t="n">
        <v>0</v>
      </c>
      <c r="AH1000" s="6" t="s">
        <v>8527</v>
      </c>
      <c r="AI1000" s="6" t="n">
        <v>0</v>
      </c>
      <c r="AJ1000" s="6" t="s">
        <v>8528</v>
      </c>
      <c r="AK1000" s="6" t="n">
        <v>0</v>
      </c>
    </row>
    <row r="1001" customFormat="false" ht="12.8" hidden="false" customHeight="false" outlineLevel="0" collapsed="false">
      <c r="A1001" s="6" t="s">
        <v>8529</v>
      </c>
      <c r="B1001" s="6" t="n">
        <v>755</v>
      </c>
      <c r="C1001" s="6" t="n">
        <v>114</v>
      </c>
      <c r="D1001" s="12" t="n">
        <f aca="false">C1001/(B1001+C1001)*100</f>
        <v>13.1185270425777</v>
      </c>
      <c r="E1001" s="6" t="n">
        <v>8</v>
      </c>
      <c r="F1001" s="6" t="s">
        <v>8530</v>
      </c>
      <c r="G1001" s="6" t="n">
        <v>90</v>
      </c>
      <c r="H1001" s="6" t="s">
        <v>8531</v>
      </c>
      <c r="I1001" s="6" t="n">
        <v>11</v>
      </c>
      <c r="J1001" s="6" t="s">
        <v>8532</v>
      </c>
      <c r="K1001" s="6" t="n">
        <v>6</v>
      </c>
      <c r="L1001" s="6" t="s">
        <v>8533</v>
      </c>
      <c r="M1001" s="6" t="n">
        <v>4</v>
      </c>
      <c r="N1001" s="6" t="s">
        <v>8534</v>
      </c>
      <c r="O1001" s="6" t="n">
        <v>1</v>
      </c>
      <c r="P1001" s="6" t="s">
        <v>8535</v>
      </c>
      <c r="Q1001" s="6" t="n">
        <v>1</v>
      </c>
      <c r="R1001" s="6" t="s">
        <v>8536</v>
      </c>
      <c r="S1001" s="6" t="n">
        <v>1</v>
      </c>
      <c r="T1001" s="6" t="s">
        <v>8537</v>
      </c>
      <c r="U1001" s="6" t="n">
        <v>0</v>
      </c>
    </row>
    <row r="1002" customFormat="false" ht="12.8" hidden="false" customHeight="false" outlineLevel="0" collapsed="false">
      <c r="A1002" s="6" t="s">
        <v>8538</v>
      </c>
      <c r="B1002" s="6" t="n">
        <v>762</v>
      </c>
      <c r="C1002" s="6" t="n">
        <v>241</v>
      </c>
      <c r="D1002" s="12" t="n">
        <f aca="false">C1002/(B1002+C1002)*100</f>
        <v>24.0279162512463</v>
      </c>
      <c r="E1002" s="6" t="n">
        <v>5</v>
      </c>
      <c r="F1002" s="6" t="s">
        <v>8539</v>
      </c>
      <c r="G1002" s="6" t="n">
        <v>87</v>
      </c>
      <c r="H1002" s="6" t="s">
        <v>8540</v>
      </c>
      <c r="I1002" s="6" t="n">
        <v>82</v>
      </c>
      <c r="J1002" s="6" t="s">
        <v>8541</v>
      </c>
      <c r="K1002" s="6" t="n">
        <v>60</v>
      </c>
      <c r="L1002" s="6" t="s">
        <v>8542</v>
      </c>
      <c r="M1002" s="6" t="n">
        <v>11</v>
      </c>
      <c r="N1002" s="6" t="s">
        <v>8543</v>
      </c>
      <c r="O1002" s="6" t="n">
        <v>1</v>
      </c>
    </row>
    <row r="1003" customFormat="false" ht="12.8" hidden="false" customHeight="false" outlineLevel="0" collapsed="false">
      <c r="A1003" s="6" t="s">
        <v>8544</v>
      </c>
      <c r="B1003" s="6" t="n">
        <v>781</v>
      </c>
      <c r="C1003" s="6" t="n">
        <v>231</v>
      </c>
      <c r="D1003" s="12" t="n">
        <f aca="false">C1003/(B1003+C1003)*100</f>
        <v>22.8260869565217</v>
      </c>
      <c r="E1003" s="6" t="n">
        <v>9</v>
      </c>
      <c r="F1003" s="6" t="s">
        <v>8545</v>
      </c>
      <c r="G1003" s="6" t="n">
        <v>134</v>
      </c>
      <c r="H1003" s="6" t="s">
        <v>8546</v>
      </c>
      <c r="I1003" s="6" t="n">
        <v>89</v>
      </c>
      <c r="J1003" s="6" t="s">
        <v>8547</v>
      </c>
      <c r="K1003" s="6" t="n">
        <v>3</v>
      </c>
      <c r="L1003" s="6" t="s">
        <v>8548</v>
      </c>
      <c r="M1003" s="6" t="n">
        <v>1</v>
      </c>
      <c r="N1003" s="6" t="s">
        <v>8549</v>
      </c>
      <c r="O1003" s="6" t="n">
        <v>1</v>
      </c>
      <c r="P1003" s="6" t="s">
        <v>8550</v>
      </c>
      <c r="Q1003" s="6" t="n">
        <v>1</v>
      </c>
      <c r="R1003" s="6" t="s">
        <v>8551</v>
      </c>
      <c r="S1003" s="6" t="n">
        <v>1</v>
      </c>
      <c r="T1003" s="6" t="s">
        <v>8552</v>
      </c>
      <c r="U1003" s="6" t="n">
        <v>1</v>
      </c>
      <c r="V1003" s="6" t="s">
        <v>8553</v>
      </c>
      <c r="W1003" s="6" t="n">
        <v>0</v>
      </c>
    </row>
    <row r="1004" customFormat="false" ht="12.8" hidden="false" customHeight="false" outlineLevel="0" collapsed="false">
      <c r="A1004" s="6" t="s">
        <v>8554</v>
      </c>
      <c r="B1004" s="6" t="n">
        <v>784</v>
      </c>
      <c r="C1004" s="6" t="n">
        <v>678</v>
      </c>
      <c r="D1004" s="12" t="n">
        <f aca="false">C1004/(B1004+C1004)*100</f>
        <v>46.374829001368</v>
      </c>
      <c r="E1004" s="6" t="n">
        <v>16</v>
      </c>
      <c r="F1004" s="6" t="s">
        <v>8555</v>
      </c>
      <c r="G1004" s="6" t="n">
        <v>219</v>
      </c>
      <c r="H1004" s="6" t="s">
        <v>8556</v>
      </c>
      <c r="I1004" s="6" t="n">
        <v>134</v>
      </c>
      <c r="J1004" s="6" t="s">
        <v>8557</v>
      </c>
      <c r="K1004" s="6" t="n">
        <v>116</v>
      </c>
      <c r="L1004" s="6" t="s">
        <v>8558</v>
      </c>
      <c r="M1004" s="6" t="n">
        <v>81</v>
      </c>
      <c r="N1004" s="6" t="s">
        <v>8559</v>
      </c>
      <c r="O1004" s="6" t="n">
        <v>75</v>
      </c>
      <c r="P1004" s="6" t="s">
        <v>8560</v>
      </c>
      <c r="Q1004" s="6" t="n">
        <v>31</v>
      </c>
      <c r="R1004" s="6" t="s">
        <v>8561</v>
      </c>
      <c r="S1004" s="6" t="n">
        <v>6</v>
      </c>
      <c r="T1004" s="6" t="s">
        <v>8562</v>
      </c>
      <c r="U1004" s="6" t="n">
        <v>4</v>
      </c>
      <c r="V1004" s="6" t="s">
        <v>8563</v>
      </c>
      <c r="W1004" s="6" t="n">
        <v>4</v>
      </c>
      <c r="X1004" s="6" t="s">
        <v>8564</v>
      </c>
      <c r="Y1004" s="6" t="n">
        <v>2</v>
      </c>
      <c r="Z1004" s="6" t="s">
        <v>8565</v>
      </c>
      <c r="AA1004" s="6" t="n">
        <v>2</v>
      </c>
      <c r="AB1004" s="6" t="s">
        <v>8566</v>
      </c>
      <c r="AC1004" s="6" t="n">
        <v>1</v>
      </c>
      <c r="AD1004" s="6" t="s">
        <v>8567</v>
      </c>
      <c r="AE1004" s="6" t="n">
        <v>1</v>
      </c>
      <c r="AF1004" s="6" t="s">
        <v>8568</v>
      </c>
      <c r="AG1004" s="6" t="n">
        <v>1</v>
      </c>
      <c r="AH1004" s="6" t="s">
        <v>8569</v>
      </c>
      <c r="AI1004" s="6" t="n">
        <v>1</v>
      </c>
      <c r="AJ1004" s="6" t="s">
        <v>8570</v>
      </c>
      <c r="AK1004" s="6" t="n">
        <v>0</v>
      </c>
    </row>
    <row r="1005" customFormat="false" ht="12.8" hidden="false" customHeight="false" outlineLevel="0" collapsed="false">
      <c r="A1005" s="6" t="s">
        <v>8571</v>
      </c>
      <c r="B1005" s="6" t="n">
        <v>838</v>
      </c>
      <c r="C1005" s="6" t="n">
        <v>1310</v>
      </c>
      <c r="D1005" s="12" t="n">
        <f aca="false">C1005/(B1005+C1005)*100</f>
        <v>60.9869646182495</v>
      </c>
      <c r="E1005" s="6" t="n">
        <v>28</v>
      </c>
      <c r="F1005" s="6" t="s">
        <v>8572</v>
      </c>
      <c r="G1005" s="6" t="n">
        <v>428</v>
      </c>
      <c r="H1005" s="6" t="s">
        <v>8573</v>
      </c>
      <c r="I1005" s="6" t="n">
        <v>381</v>
      </c>
      <c r="J1005" s="6" t="s">
        <v>8574</v>
      </c>
      <c r="K1005" s="6" t="n">
        <v>196</v>
      </c>
      <c r="L1005" s="6" t="s">
        <v>8575</v>
      </c>
      <c r="M1005" s="6" t="n">
        <v>77</v>
      </c>
      <c r="N1005" s="6" t="s">
        <v>8576</v>
      </c>
      <c r="O1005" s="6" t="n">
        <v>59</v>
      </c>
      <c r="P1005" s="6" t="s">
        <v>8577</v>
      </c>
      <c r="Q1005" s="6" t="n">
        <v>52</v>
      </c>
      <c r="R1005" s="6" t="s">
        <v>8578</v>
      </c>
      <c r="S1005" s="6" t="n">
        <v>41</v>
      </c>
      <c r="T1005" s="6" t="s">
        <v>8579</v>
      </c>
      <c r="U1005" s="6" t="n">
        <v>23</v>
      </c>
      <c r="V1005" s="6" t="s">
        <v>8580</v>
      </c>
      <c r="W1005" s="6" t="n">
        <v>22</v>
      </c>
      <c r="X1005" s="6" t="s">
        <v>8581</v>
      </c>
      <c r="Y1005" s="6" t="n">
        <v>12</v>
      </c>
      <c r="Z1005" s="6" t="s">
        <v>8582</v>
      </c>
      <c r="AA1005" s="6" t="n">
        <v>4</v>
      </c>
      <c r="AB1005" s="6" t="s">
        <v>8583</v>
      </c>
      <c r="AC1005" s="6" t="n">
        <v>2</v>
      </c>
      <c r="AD1005" s="6" t="s">
        <v>8584</v>
      </c>
      <c r="AE1005" s="6" t="n">
        <v>2</v>
      </c>
      <c r="AF1005" s="6" t="s">
        <v>8585</v>
      </c>
      <c r="AG1005" s="6" t="n">
        <v>2</v>
      </c>
      <c r="AH1005" s="6" t="s">
        <v>8586</v>
      </c>
      <c r="AI1005" s="6" t="n">
        <v>2</v>
      </c>
      <c r="AJ1005" s="6" t="s">
        <v>8587</v>
      </c>
      <c r="AK1005" s="6" t="n">
        <v>1</v>
      </c>
      <c r="AL1005" s="6" t="s">
        <v>8588</v>
      </c>
      <c r="AM1005" s="6" t="n">
        <v>1</v>
      </c>
      <c r="AN1005" s="6" t="s">
        <v>8589</v>
      </c>
      <c r="AO1005" s="6" t="n">
        <v>1</v>
      </c>
      <c r="AP1005" s="6" t="s">
        <v>8590</v>
      </c>
      <c r="AQ1005" s="6" t="n">
        <v>1</v>
      </c>
      <c r="AR1005" s="6" t="s">
        <v>8591</v>
      </c>
      <c r="AS1005" s="6" t="n">
        <v>1</v>
      </c>
      <c r="AT1005" s="6" t="s">
        <v>8592</v>
      </c>
      <c r="AU1005" s="6" t="n">
        <v>1</v>
      </c>
      <c r="AV1005" s="6" t="s">
        <v>8593</v>
      </c>
      <c r="AW1005" s="6" t="n">
        <v>1</v>
      </c>
      <c r="AX1005" s="6" t="s">
        <v>8594</v>
      </c>
      <c r="AY1005" s="6" t="n">
        <v>0</v>
      </c>
      <c r="AZ1005" s="6" t="s">
        <v>8595</v>
      </c>
      <c r="BA1005" s="6" t="n">
        <v>0</v>
      </c>
      <c r="BB1005" s="6" t="s">
        <v>8596</v>
      </c>
      <c r="BC1005" s="6" t="n">
        <v>0</v>
      </c>
      <c r="BD1005" s="6" t="s">
        <v>8597</v>
      </c>
      <c r="BE1005" s="6" t="n">
        <v>0</v>
      </c>
      <c r="BF1005" s="6" t="s">
        <v>8598</v>
      </c>
      <c r="BG1005" s="6" t="n">
        <v>0</v>
      </c>
      <c r="BH1005" s="6" t="s">
        <v>8599</v>
      </c>
      <c r="BI1005" s="6" t="n">
        <v>0</v>
      </c>
    </row>
    <row r="1006" customFormat="false" ht="12.8" hidden="false" customHeight="false" outlineLevel="0" collapsed="false">
      <c r="A1006" s="6" t="s">
        <v>8600</v>
      </c>
      <c r="B1006" s="6" t="n">
        <v>841</v>
      </c>
      <c r="C1006" s="6" t="n">
        <v>503</v>
      </c>
      <c r="D1006" s="12" t="n">
        <f aca="false">C1006/(B1006+C1006)*100</f>
        <v>37.4255952380952</v>
      </c>
      <c r="E1006" s="6" t="n">
        <v>24</v>
      </c>
      <c r="F1006" s="6" t="s">
        <v>8601</v>
      </c>
      <c r="G1006" s="6" t="n">
        <v>98</v>
      </c>
      <c r="H1006" s="6" t="s">
        <v>8602</v>
      </c>
      <c r="I1006" s="6" t="n">
        <v>91</v>
      </c>
      <c r="J1006" s="6" t="s">
        <v>8603</v>
      </c>
      <c r="K1006" s="6" t="n">
        <v>56</v>
      </c>
      <c r="L1006" s="6" t="s">
        <v>8604</v>
      </c>
      <c r="M1006" s="6" t="n">
        <v>53</v>
      </c>
      <c r="N1006" s="6" t="s">
        <v>8605</v>
      </c>
      <c r="O1006" s="6" t="n">
        <v>40</v>
      </c>
      <c r="P1006" s="6" t="s">
        <v>8606</v>
      </c>
      <c r="Q1006" s="6" t="n">
        <v>36</v>
      </c>
      <c r="R1006" s="6" t="s">
        <v>8607</v>
      </c>
      <c r="S1006" s="6" t="n">
        <v>32</v>
      </c>
      <c r="T1006" s="6" t="s">
        <v>8608</v>
      </c>
      <c r="U1006" s="6" t="n">
        <v>17</v>
      </c>
      <c r="V1006" s="6" t="s">
        <v>8609</v>
      </c>
      <c r="W1006" s="6" t="n">
        <v>15</v>
      </c>
      <c r="X1006" s="6" t="s">
        <v>8610</v>
      </c>
      <c r="Y1006" s="6" t="n">
        <v>15</v>
      </c>
      <c r="Z1006" s="6" t="s">
        <v>8611</v>
      </c>
      <c r="AA1006" s="6" t="n">
        <v>14</v>
      </c>
      <c r="AB1006" s="6" t="s">
        <v>8612</v>
      </c>
      <c r="AC1006" s="6" t="n">
        <v>10</v>
      </c>
      <c r="AD1006" s="6" t="s">
        <v>8613</v>
      </c>
      <c r="AE1006" s="6" t="n">
        <v>8</v>
      </c>
      <c r="AF1006" s="6" t="s">
        <v>8614</v>
      </c>
      <c r="AG1006" s="6" t="n">
        <v>6</v>
      </c>
      <c r="AH1006" s="6" t="s">
        <v>8615</v>
      </c>
      <c r="AI1006" s="6" t="n">
        <v>2</v>
      </c>
      <c r="AJ1006" s="6" t="s">
        <v>8616</v>
      </c>
      <c r="AK1006" s="6" t="n">
        <v>2</v>
      </c>
      <c r="AL1006" s="6" t="s">
        <v>8617</v>
      </c>
      <c r="AM1006" s="6" t="n">
        <v>2</v>
      </c>
      <c r="AN1006" s="6" t="s">
        <v>8618</v>
      </c>
      <c r="AO1006" s="6" t="n">
        <v>1</v>
      </c>
      <c r="AP1006" s="6" t="s">
        <v>8619</v>
      </c>
      <c r="AQ1006" s="6" t="n">
        <v>1</v>
      </c>
      <c r="AR1006" s="6" t="s">
        <v>8620</v>
      </c>
      <c r="AS1006" s="6" t="n">
        <v>1</v>
      </c>
      <c r="AT1006" s="6" t="s">
        <v>8621</v>
      </c>
      <c r="AU1006" s="6" t="n">
        <v>1</v>
      </c>
      <c r="AV1006" s="6" t="s">
        <v>8622</v>
      </c>
      <c r="AW1006" s="6" t="n">
        <v>1</v>
      </c>
      <c r="AX1006" s="6" t="s">
        <v>8623</v>
      </c>
      <c r="AY1006" s="6" t="n">
        <v>1</v>
      </c>
      <c r="AZ1006" s="6" t="s">
        <v>8624</v>
      </c>
      <c r="BA1006" s="6" t="n">
        <v>0</v>
      </c>
    </row>
    <row r="1007" customFormat="false" ht="12.8" hidden="false" customHeight="false" outlineLevel="0" collapsed="false">
      <c r="A1007" s="6" t="s">
        <v>8625</v>
      </c>
      <c r="B1007" s="6" t="n">
        <v>856</v>
      </c>
      <c r="C1007" s="6" t="n">
        <v>536</v>
      </c>
      <c r="D1007" s="12" t="n">
        <f aca="false">C1007/(B1007+C1007)*100</f>
        <v>38.5057471264368</v>
      </c>
      <c r="E1007" s="6" t="n">
        <v>23</v>
      </c>
      <c r="F1007" s="6" t="s">
        <v>8626</v>
      </c>
      <c r="G1007" s="6" t="n">
        <v>377</v>
      </c>
      <c r="H1007" s="6" t="s">
        <v>8627</v>
      </c>
      <c r="I1007" s="6" t="n">
        <v>83</v>
      </c>
      <c r="J1007" s="6" t="s">
        <v>8628</v>
      </c>
      <c r="K1007" s="6" t="n">
        <v>25</v>
      </c>
      <c r="L1007" s="6" t="s">
        <v>8629</v>
      </c>
      <c r="M1007" s="6" t="n">
        <v>10</v>
      </c>
      <c r="N1007" s="6" t="s">
        <v>8630</v>
      </c>
      <c r="O1007" s="6" t="n">
        <v>7</v>
      </c>
      <c r="P1007" s="6" t="s">
        <v>8631</v>
      </c>
      <c r="Q1007" s="6" t="n">
        <v>6</v>
      </c>
      <c r="R1007" s="6" t="s">
        <v>8632</v>
      </c>
      <c r="S1007" s="6" t="n">
        <v>5</v>
      </c>
      <c r="T1007" s="6" t="s">
        <v>8633</v>
      </c>
      <c r="U1007" s="6" t="n">
        <v>5</v>
      </c>
      <c r="V1007" s="6" t="s">
        <v>8634</v>
      </c>
      <c r="W1007" s="6" t="n">
        <v>3</v>
      </c>
      <c r="X1007" s="6" t="s">
        <v>8635</v>
      </c>
      <c r="Y1007" s="6" t="n">
        <v>3</v>
      </c>
      <c r="Z1007" s="6" t="s">
        <v>8636</v>
      </c>
      <c r="AA1007" s="6" t="n">
        <v>2</v>
      </c>
      <c r="AB1007" s="6" t="s">
        <v>8637</v>
      </c>
      <c r="AC1007" s="6" t="n">
        <v>2</v>
      </c>
      <c r="AD1007" s="6" t="s">
        <v>8638</v>
      </c>
      <c r="AE1007" s="6" t="n">
        <v>2</v>
      </c>
      <c r="AF1007" s="6" t="s">
        <v>8639</v>
      </c>
      <c r="AG1007" s="6" t="n">
        <v>1</v>
      </c>
      <c r="AH1007" s="6" t="s">
        <v>8640</v>
      </c>
      <c r="AI1007" s="6" t="n">
        <v>1</v>
      </c>
      <c r="AJ1007" s="6" t="s">
        <v>8641</v>
      </c>
      <c r="AK1007" s="6" t="n">
        <v>1</v>
      </c>
      <c r="AL1007" s="6" t="s">
        <v>8642</v>
      </c>
      <c r="AM1007" s="6" t="n">
        <v>1</v>
      </c>
      <c r="AN1007" s="6" t="s">
        <v>8643</v>
      </c>
      <c r="AO1007" s="6" t="n">
        <v>1</v>
      </c>
      <c r="AP1007" s="6" t="s">
        <v>8644</v>
      </c>
      <c r="AQ1007" s="6" t="n">
        <v>1</v>
      </c>
      <c r="AR1007" s="6" t="s">
        <v>8645</v>
      </c>
      <c r="AS1007" s="6" t="n">
        <v>0</v>
      </c>
      <c r="AT1007" s="6" t="s">
        <v>8646</v>
      </c>
      <c r="AU1007" s="6" t="n">
        <v>0</v>
      </c>
      <c r="AV1007" s="6" t="s">
        <v>8647</v>
      </c>
      <c r="AW1007" s="6" t="n">
        <v>0</v>
      </c>
      <c r="AX1007" s="6" t="s">
        <v>8648</v>
      </c>
      <c r="AY1007" s="6" t="n">
        <v>0</v>
      </c>
    </row>
    <row r="1008" customFormat="false" ht="12.8" hidden="false" customHeight="false" outlineLevel="0" collapsed="false">
      <c r="A1008" s="6" t="s">
        <v>8649</v>
      </c>
      <c r="B1008" s="6" t="n">
        <v>859</v>
      </c>
      <c r="C1008" s="6" t="n">
        <v>484</v>
      </c>
      <c r="D1008" s="12" t="n">
        <f aca="false">C1008/(B1008+C1008)*100</f>
        <v>36.0387192851824</v>
      </c>
      <c r="E1008" s="6" t="n">
        <v>16</v>
      </c>
      <c r="F1008" s="6" t="s">
        <v>8650</v>
      </c>
      <c r="G1008" s="6" t="n">
        <v>247</v>
      </c>
      <c r="H1008" s="6" t="s">
        <v>8651</v>
      </c>
      <c r="I1008" s="6" t="n">
        <v>187</v>
      </c>
      <c r="J1008" s="6" t="s">
        <v>8652</v>
      </c>
      <c r="K1008" s="6" t="n">
        <v>19</v>
      </c>
      <c r="L1008" s="6" t="s">
        <v>8653</v>
      </c>
      <c r="M1008" s="6" t="n">
        <v>15</v>
      </c>
      <c r="N1008" s="6" t="s">
        <v>8654</v>
      </c>
      <c r="O1008" s="6" t="n">
        <v>6</v>
      </c>
      <c r="P1008" s="6" t="s">
        <v>8655</v>
      </c>
      <c r="Q1008" s="6" t="n">
        <v>2</v>
      </c>
      <c r="R1008" s="6" t="s">
        <v>8656</v>
      </c>
      <c r="S1008" s="6" t="n">
        <v>2</v>
      </c>
      <c r="T1008" s="6" t="s">
        <v>8657</v>
      </c>
      <c r="U1008" s="6" t="n">
        <v>2</v>
      </c>
      <c r="V1008" s="6" t="s">
        <v>8658</v>
      </c>
      <c r="W1008" s="6" t="n">
        <v>1</v>
      </c>
      <c r="X1008" s="6" t="s">
        <v>8659</v>
      </c>
      <c r="Y1008" s="6" t="n">
        <v>1</v>
      </c>
      <c r="Z1008" s="6" t="s">
        <v>8660</v>
      </c>
      <c r="AA1008" s="6" t="n">
        <v>1</v>
      </c>
      <c r="AB1008" s="6" t="s">
        <v>8661</v>
      </c>
      <c r="AC1008" s="6" t="n">
        <v>1</v>
      </c>
      <c r="AD1008" s="6" t="s">
        <v>8662</v>
      </c>
      <c r="AE1008" s="6" t="n">
        <v>0</v>
      </c>
      <c r="AF1008" s="6" t="s">
        <v>8663</v>
      </c>
      <c r="AG1008" s="6" t="n">
        <v>0</v>
      </c>
      <c r="AH1008" s="6" t="s">
        <v>8664</v>
      </c>
      <c r="AI1008" s="6" t="n">
        <v>0</v>
      </c>
      <c r="AJ1008" s="6" t="s">
        <v>8665</v>
      </c>
      <c r="AK1008" s="6" t="n">
        <v>0</v>
      </c>
    </row>
    <row r="1009" customFormat="false" ht="12.8" hidden="false" customHeight="false" outlineLevel="0" collapsed="false">
      <c r="A1009" s="6" t="s">
        <v>8666</v>
      </c>
      <c r="B1009" s="6" t="n">
        <v>871</v>
      </c>
      <c r="C1009" s="6" t="n">
        <v>4651</v>
      </c>
      <c r="D1009" s="12" t="n">
        <f aca="false">C1009/(B1009+C1009)*100</f>
        <v>84.226729445853</v>
      </c>
      <c r="E1009" s="6" t="n">
        <v>47</v>
      </c>
      <c r="F1009" s="6" t="s">
        <v>8667</v>
      </c>
      <c r="G1009" s="6" t="n">
        <v>2257</v>
      </c>
      <c r="H1009" s="6" t="s">
        <v>8668</v>
      </c>
      <c r="I1009" s="6" t="n">
        <v>882</v>
      </c>
      <c r="J1009" s="6" t="s">
        <v>8669</v>
      </c>
      <c r="K1009" s="6" t="n">
        <v>486</v>
      </c>
      <c r="L1009" s="6" t="s">
        <v>8670</v>
      </c>
      <c r="M1009" s="6" t="n">
        <v>232</v>
      </c>
      <c r="N1009" s="6" t="s">
        <v>8671</v>
      </c>
      <c r="O1009" s="6" t="n">
        <v>213</v>
      </c>
      <c r="P1009" s="6" t="s">
        <v>8672</v>
      </c>
      <c r="Q1009" s="6" t="n">
        <v>123</v>
      </c>
      <c r="R1009" s="6" t="s">
        <v>8673</v>
      </c>
      <c r="S1009" s="6" t="n">
        <v>107</v>
      </c>
      <c r="T1009" s="6" t="s">
        <v>8674</v>
      </c>
      <c r="U1009" s="6" t="n">
        <v>66</v>
      </c>
      <c r="V1009" s="6" t="s">
        <v>8675</v>
      </c>
      <c r="W1009" s="6" t="n">
        <v>59</v>
      </c>
      <c r="X1009" s="6" t="s">
        <v>8676</v>
      </c>
      <c r="Y1009" s="6" t="n">
        <v>57</v>
      </c>
      <c r="Z1009" s="6" t="s">
        <v>8677</v>
      </c>
      <c r="AA1009" s="6" t="n">
        <v>38</v>
      </c>
      <c r="AB1009" s="6" t="s">
        <v>8678</v>
      </c>
      <c r="AC1009" s="6" t="n">
        <v>25</v>
      </c>
      <c r="AD1009" s="6" t="s">
        <v>8679</v>
      </c>
      <c r="AE1009" s="6" t="n">
        <v>24</v>
      </c>
      <c r="AF1009" s="6" t="s">
        <v>8680</v>
      </c>
      <c r="AG1009" s="6" t="n">
        <v>17</v>
      </c>
      <c r="AH1009" s="6" t="s">
        <v>8681</v>
      </c>
      <c r="AI1009" s="6" t="n">
        <v>9</v>
      </c>
      <c r="AJ1009" s="6" t="s">
        <v>8682</v>
      </c>
      <c r="AK1009" s="6" t="n">
        <v>8</v>
      </c>
      <c r="AL1009" s="6" t="s">
        <v>8683</v>
      </c>
      <c r="AM1009" s="6" t="n">
        <v>7</v>
      </c>
      <c r="AN1009" s="6" t="s">
        <v>8684</v>
      </c>
      <c r="AO1009" s="6" t="n">
        <v>7</v>
      </c>
      <c r="AP1009" s="6" t="s">
        <v>8685</v>
      </c>
      <c r="AQ1009" s="6" t="n">
        <v>4</v>
      </c>
      <c r="AR1009" s="6" t="s">
        <v>8686</v>
      </c>
      <c r="AS1009" s="6" t="n">
        <v>4</v>
      </c>
      <c r="AT1009" s="6" t="s">
        <v>8687</v>
      </c>
      <c r="AU1009" s="6" t="n">
        <v>4</v>
      </c>
      <c r="AV1009" s="6" t="s">
        <v>8688</v>
      </c>
      <c r="AW1009" s="6" t="n">
        <v>3</v>
      </c>
      <c r="AX1009" s="6" t="s">
        <v>8689</v>
      </c>
      <c r="AY1009" s="6" t="n">
        <v>3</v>
      </c>
      <c r="AZ1009" s="6" t="s">
        <v>8690</v>
      </c>
      <c r="BA1009" s="6" t="n">
        <v>2</v>
      </c>
      <c r="BB1009" s="6" t="s">
        <v>8691</v>
      </c>
      <c r="BC1009" s="6" t="n">
        <v>2</v>
      </c>
      <c r="BD1009" s="6" t="s">
        <v>8692</v>
      </c>
      <c r="BE1009" s="6" t="n">
        <v>2</v>
      </c>
      <c r="BF1009" s="6" t="s">
        <v>8693</v>
      </c>
      <c r="BG1009" s="6" t="n">
        <v>1</v>
      </c>
      <c r="BH1009" s="6" t="s">
        <v>8694</v>
      </c>
      <c r="BI1009" s="6" t="n">
        <v>1</v>
      </c>
      <c r="BJ1009" s="6" t="s">
        <v>8695</v>
      </c>
      <c r="BK1009" s="6" t="n">
        <v>1</v>
      </c>
      <c r="BL1009" s="6" t="s">
        <v>8696</v>
      </c>
      <c r="BM1009" s="6" t="n">
        <v>1</v>
      </c>
      <c r="BN1009" s="6" t="s">
        <v>8697</v>
      </c>
      <c r="BO1009" s="6" t="n">
        <v>1</v>
      </c>
      <c r="BP1009" s="6" t="s">
        <v>8698</v>
      </c>
      <c r="BQ1009" s="6" t="n">
        <v>1</v>
      </c>
      <c r="BR1009" s="6" t="s">
        <v>8699</v>
      </c>
      <c r="BS1009" s="6" t="n">
        <v>1</v>
      </c>
      <c r="BT1009" s="6" t="s">
        <v>8700</v>
      </c>
      <c r="BU1009" s="6" t="n">
        <v>1</v>
      </c>
      <c r="BV1009" s="6" t="s">
        <v>8701</v>
      </c>
      <c r="BW1009" s="6" t="n">
        <v>1</v>
      </c>
      <c r="BX1009" s="6" t="s">
        <v>8702</v>
      </c>
      <c r="BY1009" s="6" t="n">
        <v>1</v>
      </c>
      <c r="BZ1009" s="6" t="s">
        <v>8703</v>
      </c>
      <c r="CA1009" s="6" t="n">
        <v>0</v>
      </c>
      <c r="CB1009" s="6" t="s">
        <v>8704</v>
      </c>
      <c r="CC1009" s="6" t="n">
        <v>0</v>
      </c>
      <c r="CD1009" s="6" t="s">
        <v>8705</v>
      </c>
      <c r="CE1009" s="6" t="n">
        <v>0</v>
      </c>
      <c r="CF1009" s="6" t="s">
        <v>8706</v>
      </c>
      <c r="CG1009" s="6" t="n">
        <v>0</v>
      </c>
      <c r="CH1009" s="6" t="s">
        <v>8707</v>
      </c>
      <c r="CI1009" s="6" t="n">
        <v>0</v>
      </c>
      <c r="CJ1009" s="6" t="s">
        <v>8708</v>
      </c>
      <c r="CK1009" s="6" t="n">
        <v>0</v>
      </c>
      <c r="CL1009" s="6" t="s">
        <v>8709</v>
      </c>
      <c r="CM1009" s="6" t="n">
        <v>0</v>
      </c>
      <c r="CN1009" s="6" t="s">
        <v>8710</v>
      </c>
      <c r="CO1009" s="6" t="n">
        <v>0</v>
      </c>
      <c r="CQ1009" s="6" t="n">
        <v>0</v>
      </c>
      <c r="CR1009" s="6" t="s">
        <v>8711</v>
      </c>
      <c r="CS1009" s="6" t="n">
        <v>0</v>
      </c>
      <c r="CT1009" s="6" t="s">
        <v>8712</v>
      </c>
      <c r="CU1009" s="6" t="n">
        <v>0</v>
      </c>
    </row>
    <row r="1010" customFormat="false" ht="12.8" hidden="false" customHeight="false" outlineLevel="0" collapsed="false">
      <c r="A1010" s="6" t="s">
        <v>8713</v>
      </c>
      <c r="B1010" s="6" t="n">
        <v>903</v>
      </c>
      <c r="C1010" s="6" t="n">
        <v>239</v>
      </c>
      <c r="D1010" s="12" t="n">
        <f aca="false">C1010/(B1010+C1010)*100</f>
        <v>20.9281961471103</v>
      </c>
      <c r="E1010" s="6" t="n">
        <v>16</v>
      </c>
      <c r="F1010" s="6" t="s">
        <v>8714</v>
      </c>
      <c r="G1010" s="6" t="n">
        <v>55</v>
      </c>
      <c r="H1010" s="6" t="s">
        <v>8714</v>
      </c>
      <c r="I1010" s="6" t="n">
        <v>55</v>
      </c>
      <c r="J1010" s="6" t="s">
        <v>8715</v>
      </c>
      <c r="K1010" s="6" t="n">
        <v>52</v>
      </c>
      <c r="L1010" s="6" t="s">
        <v>8716</v>
      </c>
      <c r="M1010" s="6" t="n">
        <v>15</v>
      </c>
      <c r="N1010" s="6" t="s">
        <v>8716</v>
      </c>
      <c r="O1010" s="6" t="n">
        <v>15</v>
      </c>
      <c r="P1010" s="6" t="s">
        <v>8717</v>
      </c>
      <c r="Q1010" s="6" t="n">
        <v>12</v>
      </c>
      <c r="R1010" s="6" t="s">
        <v>8717</v>
      </c>
      <c r="S1010" s="6" t="n">
        <v>12</v>
      </c>
      <c r="T1010" s="6" t="s">
        <v>8718</v>
      </c>
      <c r="U1010" s="6" t="n">
        <v>9</v>
      </c>
      <c r="V1010" s="6" t="s">
        <v>8719</v>
      </c>
      <c r="W1010" s="6" t="n">
        <v>6</v>
      </c>
      <c r="X1010" s="6" t="s">
        <v>8720</v>
      </c>
      <c r="Y1010" s="6" t="n">
        <v>3</v>
      </c>
      <c r="Z1010" s="6" t="s">
        <v>8721</v>
      </c>
      <c r="AA1010" s="6" t="n">
        <v>2</v>
      </c>
      <c r="AB1010" s="6" t="s">
        <v>8722</v>
      </c>
      <c r="AC1010" s="6" t="n">
        <v>1</v>
      </c>
      <c r="AD1010" s="6" t="s">
        <v>8723</v>
      </c>
      <c r="AE1010" s="6" t="n">
        <v>1</v>
      </c>
      <c r="AF1010" s="6" t="s">
        <v>8722</v>
      </c>
      <c r="AG1010" s="6" t="n">
        <v>1</v>
      </c>
      <c r="AH1010" s="6" t="s">
        <v>8724</v>
      </c>
      <c r="AI1010" s="6" t="n">
        <v>0</v>
      </c>
      <c r="AJ1010" s="6" t="s">
        <v>8725</v>
      </c>
      <c r="AK1010" s="6" t="n">
        <v>0</v>
      </c>
    </row>
    <row r="1011" customFormat="false" ht="12.8" hidden="false" customHeight="false" outlineLevel="0" collapsed="false">
      <c r="A1011" s="6" t="s">
        <v>8726</v>
      </c>
      <c r="B1011" s="6" t="n">
        <v>907</v>
      </c>
      <c r="C1011" s="6" t="n">
        <v>208</v>
      </c>
      <c r="D1011" s="12" t="n">
        <f aca="false">C1011/(B1011+C1011)*100</f>
        <v>18.6547085201794</v>
      </c>
      <c r="E1011" s="6" t="n">
        <v>8</v>
      </c>
      <c r="F1011" s="6" t="s">
        <v>8727</v>
      </c>
      <c r="G1011" s="6" t="n">
        <v>173</v>
      </c>
      <c r="H1011" s="6" t="s">
        <v>8728</v>
      </c>
      <c r="I1011" s="6" t="n">
        <v>26</v>
      </c>
      <c r="J1011" s="6" t="s">
        <v>8729</v>
      </c>
      <c r="K1011" s="6" t="n">
        <v>4</v>
      </c>
      <c r="L1011" s="6" t="s">
        <v>8730</v>
      </c>
      <c r="M1011" s="6" t="n">
        <v>3</v>
      </c>
      <c r="N1011" s="6" t="s">
        <v>8731</v>
      </c>
      <c r="O1011" s="6" t="n">
        <v>1</v>
      </c>
      <c r="P1011" s="6" t="s">
        <v>8732</v>
      </c>
      <c r="Q1011" s="6" t="n">
        <v>1</v>
      </c>
      <c r="R1011" s="6" t="s">
        <v>8733</v>
      </c>
      <c r="S1011" s="6" t="n">
        <v>0</v>
      </c>
      <c r="T1011" s="6" t="s">
        <v>8734</v>
      </c>
      <c r="U1011" s="6" t="n">
        <v>0</v>
      </c>
    </row>
    <row r="1012" customFormat="false" ht="12.8" hidden="false" customHeight="false" outlineLevel="0" collapsed="false">
      <c r="A1012" s="6" t="s">
        <v>8735</v>
      </c>
      <c r="B1012" s="6" t="n">
        <v>918</v>
      </c>
      <c r="C1012" s="6" t="n">
        <v>27</v>
      </c>
      <c r="D1012" s="12" t="n">
        <f aca="false">C1012/(B1012+C1012)*100</f>
        <v>2.85714285714286</v>
      </c>
      <c r="E1012" s="6" t="n">
        <v>12</v>
      </c>
      <c r="F1012" s="6" t="s">
        <v>8736</v>
      </c>
      <c r="G1012" s="6" t="n">
        <v>18</v>
      </c>
      <c r="H1012" s="6" t="s">
        <v>8737</v>
      </c>
      <c r="I1012" s="6" t="n">
        <v>2</v>
      </c>
      <c r="J1012" s="6" t="s">
        <v>8738</v>
      </c>
      <c r="K1012" s="6" t="n">
        <v>2</v>
      </c>
      <c r="L1012" s="6" t="s">
        <v>8739</v>
      </c>
      <c r="M1012" s="6" t="n">
        <v>1</v>
      </c>
      <c r="N1012" s="6" t="s">
        <v>8740</v>
      </c>
      <c r="O1012" s="6" t="n">
        <v>1</v>
      </c>
      <c r="P1012" s="6" t="s">
        <v>8741</v>
      </c>
      <c r="Q1012" s="6" t="n">
        <v>1</v>
      </c>
      <c r="R1012" s="6" t="s">
        <v>8742</v>
      </c>
      <c r="S1012" s="6" t="n">
        <v>1</v>
      </c>
      <c r="T1012" s="6" t="s">
        <v>8743</v>
      </c>
      <c r="U1012" s="6" t="n">
        <v>1</v>
      </c>
      <c r="V1012" s="6" t="s">
        <v>8744</v>
      </c>
      <c r="W1012" s="6" t="n">
        <v>0</v>
      </c>
      <c r="X1012" s="6" t="s">
        <v>8745</v>
      </c>
      <c r="Y1012" s="6" t="n">
        <v>0</v>
      </c>
      <c r="Z1012" s="6" t="s">
        <v>8746</v>
      </c>
      <c r="AA1012" s="6" t="n">
        <v>0</v>
      </c>
      <c r="AB1012" s="6" t="s">
        <v>8747</v>
      </c>
      <c r="AC1012" s="6" t="n">
        <v>0</v>
      </c>
    </row>
    <row r="1013" customFormat="false" ht="12.8" hidden="false" customHeight="false" outlineLevel="0" collapsed="false">
      <c r="A1013" s="6" t="s">
        <v>8748</v>
      </c>
      <c r="B1013" s="6" t="n">
        <v>924</v>
      </c>
      <c r="C1013" s="6" t="n">
        <v>827</v>
      </c>
      <c r="D1013" s="12" t="n">
        <f aca="false">C1013/(B1013+C1013)*100</f>
        <v>47.2301541976014</v>
      </c>
      <c r="E1013" s="6" t="n">
        <v>22</v>
      </c>
      <c r="F1013" s="6" t="s">
        <v>8749</v>
      </c>
      <c r="G1013" s="6" t="n">
        <v>315</v>
      </c>
      <c r="H1013" s="6" t="s">
        <v>8750</v>
      </c>
      <c r="I1013" s="6" t="n">
        <v>226</v>
      </c>
      <c r="J1013" s="6" t="s">
        <v>8751</v>
      </c>
      <c r="K1013" s="6" t="n">
        <v>127</v>
      </c>
      <c r="L1013" s="6" t="s">
        <v>8752</v>
      </c>
      <c r="M1013" s="6" t="n">
        <v>34</v>
      </c>
      <c r="N1013" s="6" t="s">
        <v>8753</v>
      </c>
      <c r="O1013" s="6" t="n">
        <v>31</v>
      </c>
      <c r="P1013" s="6" t="s">
        <v>8754</v>
      </c>
      <c r="Q1013" s="6" t="n">
        <v>29</v>
      </c>
      <c r="R1013" s="6" t="s">
        <v>8755</v>
      </c>
      <c r="S1013" s="6" t="n">
        <v>15</v>
      </c>
      <c r="T1013" s="6" t="s">
        <v>8756</v>
      </c>
      <c r="U1013" s="6" t="n">
        <v>10</v>
      </c>
      <c r="V1013" s="6" t="s">
        <v>8757</v>
      </c>
      <c r="W1013" s="6" t="n">
        <v>8</v>
      </c>
      <c r="X1013" s="6" t="s">
        <v>8758</v>
      </c>
      <c r="Y1013" s="6" t="n">
        <v>7</v>
      </c>
      <c r="Z1013" s="6" t="s">
        <v>8759</v>
      </c>
      <c r="AA1013" s="6" t="n">
        <v>6</v>
      </c>
      <c r="AB1013" s="6" t="s">
        <v>8760</v>
      </c>
      <c r="AC1013" s="6" t="n">
        <v>5</v>
      </c>
      <c r="AD1013" s="6" t="s">
        <v>8761</v>
      </c>
      <c r="AE1013" s="6" t="n">
        <v>4</v>
      </c>
      <c r="AF1013" s="6" t="s">
        <v>8762</v>
      </c>
      <c r="AG1013" s="6" t="n">
        <v>3</v>
      </c>
      <c r="AH1013" s="6" t="s">
        <v>8763</v>
      </c>
      <c r="AI1013" s="6" t="n">
        <v>1</v>
      </c>
      <c r="AJ1013" s="6" t="s">
        <v>8764</v>
      </c>
      <c r="AK1013" s="6" t="n">
        <v>1</v>
      </c>
      <c r="AL1013" s="6" t="s">
        <v>8765</v>
      </c>
      <c r="AM1013" s="6" t="n">
        <v>1</v>
      </c>
      <c r="AN1013" s="6" t="s">
        <v>8766</v>
      </c>
      <c r="AO1013" s="6" t="n">
        <v>1</v>
      </c>
      <c r="AP1013" s="6" t="s">
        <v>8767</v>
      </c>
      <c r="AQ1013" s="6" t="n">
        <v>1</v>
      </c>
      <c r="AR1013" s="6" t="s">
        <v>8768</v>
      </c>
      <c r="AS1013" s="6" t="n">
        <v>1</v>
      </c>
      <c r="AT1013" s="6" t="s">
        <v>8769</v>
      </c>
      <c r="AU1013" s="6" t="n">
        <v>1</v>
      </c>
      <c r="AV1013" s="6" t="s">
        <v>8770</v>
      </c>
      <c r="AW1013" s="6" t="n">
        <v>0</v>
      </c>
    </row>
    <row r="1014" customFormat="false" ht="12.8" hidden="false" customHeight="false" outlineLevel="0" collapsed="false">
      <c r="A1014" s="6" t="s">
        <v>8771</v>
      </c>
      <c r="B1014" s="6" t="n">
        <v>928</v>
      </c>
      <c r="C1014" s="6" t="n">
        <v>497</v>
      </c>
      <c r="D1014" s="12" t="n">
        <f aca="false">C1014/(B1014+C1014)*100</f>
        <v>34.8771929824561</v>
      </c>
      <c r="E1014" s="6" t="n">
        <v>18</v>
      </c>
      <c r="F1014" s="6" t="s">
        <v>8772</v>
      </c>
      <c r="G1014" s="6" t="n">
        <v>258</v>
      </c>
      <c r="H1014" s="6" t="s">
        <v>8773</v>
      </c>
      <c r="I1014" s="6" t="n">
        <v>206</v>
      </c>
      <c r="J1014" s="6" t="s">
        <v>8774</v>
      </c>
      <c r="K1014" s="6" t="n">
        <v>14</v>
      </c>
      <c r="L1014" s="6" t="s">
        <v>8775</v>
      </c>
      <c r="M1014" s="6" t="n">
        <v>5</v>
      </c>
      <c r="N1014" s="6" t="s">
        <v>8776</v>
      </c>
      <c r="O1014" s="6" t="n">
        <v>5</v>
      </c>
      <c r="P1014" s="6" t="s">
        <v>8777</v>
      </c>
      <c r="Q1014" s="6" t="n">
        <v>1</v>
      </c>
      <c r="R1014" s="6" t="s">
        <v>8778</v>
      </c>
      <c r="S1014" s="6" t="n">
        <v>1</v>
      </c>
      <c r="T1014" s="6" t="s">
        <v>8779</v>
      </c>
      <c r="U1014" s="6" t="n">
        <v>1</v>
      </c>
      <c r="V1014" s="6" t="s">
        <v>8780</v>
      </c>
      <c r="W1014" s="6" t="n">
        <v>1</v>
      </c>
      <c r="X1014" s="6" t="s">
        <v>8781</v>
      </c>
      <c r="Y1014" s="6" t="n">
        <v>1</v>
      </c>
      <c r="Z1014" s="6" t="s">
        <v>8782</v>
      </c>
      <c r="AA1014" s="6" t="n">
        <v>1</v>
      </c>
      <c r="AB1014" s="6" t="s">
        <v>8783</v>
      </c>
      <c r="AC1014" s="6" t="n">
        <v>1</v>
      </c>
      <c r="AD1014" s="6" t="s">
        <v>8784</v>
      </c>
      <c r="AE1014" s="6" t="n">
        <v>1</v>
      </c>
      <c r="AF1014" s="6" t="s">
        <v>8785</v>
      </c>
      <c r="AG1014" s="6" t="n">
        <v>1</v>
      </c>
      <c r="AH1014" s="6" t="s">
        <v>8786</v>
      </c>
      <c r="AI1014" s="6" t="n">
        <v>0</v>
      </c>
      <c r="AJ1014" s="6" t="s">
        <v>8787</v>
      </c>
      <c r="AK1014" s="6" t="n">
        <v>0</v>
      </c>
      <c r="AL1014" s="6" t="s">
        <v>8788</v>
      </c>
      <c r="AM1014" s="6" t="n">
        <v>0</v>
      </c>
      <c r="AN1014" s="6" t="s">
        <v>8789</v>
      </c>
      <c r="AO1014" s="6" t="n">
        <v>0</v>
      </c>
    </row>
    <row r="1015" customFormat="false" ht="12.8" hidden="false" customHeight="false" outlineLevel="0" collapsed="false">
      <c r="A1015" s="6" t="s">
        <v>8790</v>
      </c>
      <c r="B1015" s="6" t="n">
        <v>936</v>
      </c>
      <c r="C1015" s="6" t="n">
        <v>457</v>
      </c>
      <c r="D1015" s="12" t="n">
        <f aca="false">C1015/(B1015+C1015)*100</f>
        <v>32.8068916008614</v>
      </c>
      <c r="E1015" s="6" t="n">
        <v>16</v>
      </c>
      <c r="F1015" s="6" t="s">
        <v>8791</v>
      </c>
      <c r="G1015" s="6" t="n">
        <v>303</v>
      </c>
      <c r="H1015" s="6" t="s">
        <v>8792</v>
      </c>
      <c r="I1015" s="6" t="n">
        <v>82</v>
      </c>
      <c r="J1015" s="6" t="s">
        <v>8793</v>
      </c>
      <c r="K1015" s="6" t="n">
        <v>31</v>
      </c>
      <c r="L1015" s="6" t="s">
        <v>8794</v>
      </c>
      <c r="M1015" s="6" t="n">
        <v>20</v>
      </c>
      <c r="N1015" s="6" t="s">
        <v>8795</v>
      </c>
      <c r="O1015" s="6" t="n">
        <v>7</v>
      </c>
      <c r="P1015" s="6" t="s">
        <v>8796</v>
      </c>
      <c r="Q1015" s="6" t="n">
        <v>5</v>
      </c>
      <c r="R1015" s="6" t="s">
        <v>8797</v>
      </c>
      <c r="S1015" s="6" t="n">
        <v>3</v>
      </c>
      <c r="T1015" s="6" t="s">
        <v>8798</v>
      </c>
      <c r="U1015" s="6" t="n">
        <v>2</v>
      </c>
      <c r="V1015" s="6" t="s">
        <v>8799</v>
      </c>
      <c r="W1015" s="6" t="n">
        <v>2</v>
      </c>
      <c r="X1015" s="6" t="s">
        <v>8800</v>
      </c>
      <c r="Y1015" s="6" t="n">
        <v>1</v>
      </c>
      <c r="Z1015" s="6" t="s">
        <v>8801</v>
      </c>
      <c r="AA1015" s="6" t="n">
        <v>1</v>
      </c>
      <c r="AB1015" s="6" t="s">
        <v>8802</v>
      </c>
      <c r="AC1015" s="6" t="n">
        <v>0</v>
      </c>
      <c r="AD1015" s="6" t="s">
        <v>8803</v>
      </c>
      <c r="AE1015" s="6" t="n">
        <v>0</v>
      </c>
      <c r="AF1015" s="6" t="s">
        <v>8804</v>
      </c>
      <c r="AG1015" s="6" t="n">
        <v>0</v>
      </c>
      <c r="AH1015" s="6" t="s">
        <v>8805</v>
      </c>
      <c r="AI1015" s="6" t="n">
        <v>0</v>
      </c>
      <c r="AJ1015" s="6" t="s">
        <v>8806</v>
      </c>
      <c r="AK1015" s="6" t="n">
        <v>0</v>
      </c>
    </row>
    <row r="1016" customFormat="false" ht="12.8" hidden="false" customHeight="false" outlineLevel="0" collapsed="false">
      <c r="A1016" s="6" t="s">
        <v>8807</v>
      </c>
      <c r="B1016" s="6" t="n">
        <v>959</v>
      </c>
      <c r="C1016" s="6" t="n">
        <v>1200</v>
      </c>
      <c r="D1016" s="12" t="n">
        <f aca="false">C1016/(B1016+C1016)*100</f>
        <v>55.5812876331635</v>
      </c>
      <c r="E1016" s="6" t="n">
        <v>14</v>
      </c>
      <c r="F1016" s="6" t="s">
        <v>2104</v>
      </c>
      <c r="G1016" s="6" t="n">
        <v>704</v>
      </c>
      <c r="H1016" s="6" t="s">
        <v>2107</v>
      </c>
      <c r="I1016" s="6" t="n">
        <v>438</v>
      </c>
      <c r="J1016" s="6" t="s">
        <v>8808</v>
      </c>
      <c r="K1016" s="6" t="n">
        <v>42</v>
      </c>
      <c r="L1016" s="6" t="s">
        <v>8809</v>
      </c>
      <c r="M1016" s="6" t="n">
        <v>5</v>
      </c>
      <c r="N1016" s="6" t="s">
        <v>8810</v>
      </c>
      <c r="O1016" s="6" t="n">
        <v>3</v>
      </c>
      <c r="P1016" s="6" t="s">
        <v>8811</v>
      </c>
      <c r="Q1016" s="6" t="n">
        <v>3</v>
      </c>
      <c r="R1016" s="6" t="s">
        <v>8812</v>
      </c>
      <c r="S1016" s="6" t="n">
        <v>2</v>
      </c>
      <c r="T1016" s="6" t="s">
        <v>8813</v>
      </c>
      <c r="U1016" s="6" t="n">
        <v>1</v>
      </c>
      <c r="V1016" s="6" t="s">
        <v>8814</v>
      </c>
      <c r="W1016" s="6" t="n">
        <v>1</v>
      </c>
      <c r="X1016" s="6" t="s">
        <v>8815</v>
      </c>
      <c r="Y1016" s="6" t="n">
        <v>1</v>
      </c>
      <c r="Z1016" s="6" t="s">
        <v>8816</v>
      </c>
      <c r="AA1016" s="6" t="n">
        <v>0</v>
      </c>
      <c r="AB1016" s="6" t="s">
        <v>8817</v>
      </c>
      <c r="AC1016" s="6" t="n">
        <v>0</v>
      </c>
      <c r="AD1016" s="6" t="s">
        <v>8818</v>
      </c>
      <c r="AE1016" s="6" t="n">
        <v>0</v>
      </c>
      <c r="AF1016" s="6" t="s">
        <v>8819</v>
      </c>
      <c r="AG1016" s="6" t="n">
        <v>0</v>
      </c>
    </row>
    <row r="1017" customFormat="false" ht="12.8" hidden="false" customHeight="false" outlineLevel="0" collapsed="false">
      <c r="A1017" s="6" t="s">
        <v>8820</v>
      </c>
      <c r="B1017" s="6" t="n">
        <v>970</v>
      </c>
      <c r="C1017" s="6" t="n">
        <v>1258</v>
      </c>
      <c r="D1017" s="12" t="n">
        <f aca="false">C1017/(B1017+C1017)*100</f>
        <v>56.4631956912029</v>
      </c>
      <c r="E1017" s="6" t="n">
        <v>22</v>
      </c>
      <c r="F1017" s="6" t="s">
        <v>8821</v>
      </c>
      <c r="G1017" s="6" t="n">
        <v>504</v>
      </c>
      <c r="H1017" s="6" t="s">
        <v>8822</v>
      </c>
      <c r="I1017" s="6" t="n">
        <v>179</v>
      </c>
      <c r="J1017" s="6" t="s">
        <v>8823</v>
      </c>
      <c r="K1017" s="6" t="n">
        <v>150</v>
      </c>
      <c r="L1017" s="6" t="s">
        <v>8824</v>
      </c>
      <c r="M1017" s="6" t="n">
        <v>135</v>
      </c>
      <c r="N1017" s="6" t="s">
        <v>8825</v>
      </c>
      <c r="O1017" s="6" t="n">
        <v>101</v>
      </c>
      <c r="P1017" s="6" t="s">
        <v>8826</v>
      </c>
      <c r="Q1017" s="6" t="n">
        <v>82</v>
      </c>
      <c r="R1017" s="6" t="s">
        <v>8827</v>
      </c>
      <c r="S1017" s="6" t="n">
        <v>50</v>
      </c>
      <c r="T1017" s="6" t="s">
        <v>8828</v>
      </c>
      <c r="U1017" s="6" t="n">
        <v>30</v>
      </c>
      <c r="V1017" s="6" t="s">
        <v>8829</v>
      </c>
      <c r="W1017" s="6" t="n">
        <v>11</v>
      </c>
      <c r="X1017" s="6" t="s">
        <v>8830</v>
      </c>
      <c r="Y1017" s="6" t="n">
        <v>3</v>
      </c>
      <c r="Z1017" s="6" t="s">
        <v>8831</v>
      </c>
      <c r="AA1017" s="6" t="n">
        <v>2</v>
      </c>
      <c r="AB1017" s="6" t="s">
        <v>8832</v>
      </c>
      <c r="AC1017" s="6" t="n">
        <v>2</v>
      </c>
      <c r="AD1017" s="6" t="s">
        <v>8833</v>
      </c>
      <c r="AE1017" s="6" t="n">
        <v>2</v>
      </c>
      <c r="AF1017" s="6" t="s">
        <v>8834</v>
      </c>
      <c r="AG1017" s="6" t="n">
        <v>2</v>
      </c>
      <c r="AH1017" s="6" t="s">
        <v>8835</v>
      </c>
      <c r="AI1017" s="6" t="n">
        <v>1</v>
      </c>
      <c r="AJ1017" s="6" t="s">
        <v>8836</v>
      </c>
      <c r="AK1017" s="6" t="n">
        <v>1</v>
      </c>
      <c r="AL1017" s="6" t="s">
        <v>8837</v>
      </c>
      <c r="AM1017" s="6" t="n">
        <v>1</v>
      </c>
      <c r="AN1017" s="6" t="s">
        <v>8838</v>
      </c>
      <c r="AO1017" s="6" t="n">
        <v>1</v>
      </c>
      <c r="AP1017" s="6" t="s">
        <v>8839</v>
      </c>
      <c r="AQ1017" s="6" t="n">
        <v>1</v>
      </c>
      <c r="AR1017" s="6" t="s">
        <v>8840</v>
      </c>
      <c r="AS1017" s="6" t="n">
        <v>0</v>
      </c>
      <c r="AT1017" s="6" t="s">
        <v>8841</v>
      </c>
      <c r="AU1017" s="6" t="n">
        <v>0</v>
      </c>
      <c r="AV1017" s="6" t="s">
        <v>8842</v>
      </c>
      <c r="AW1017" s="6" t="n">
        <v>0</v>
      </c>
    </row>
    <row r="1018" customFormat="false" ht="12.8" hidden="false" customHeight="false" outlineLevel="0" collapsed="false">
      <c r="A1018" s="6" t="s">
        <v>8843</v>
      </c>
      <c r="B1018" s="6" t="n">
        <v>988</v>
      </c>
      <c r="C1018" s="6" t="n">
        <v>253</v>
      </c>
      <c r="D1018" s="12" t="n">
        <f aca="false">C1018/(B1018+C1018)*100</f>
        <v>20.3867848509267</v>
      </c>
      <c r="E1018" s="6" t="n">
        <v>19</v>
      </c>
      <c r="F1018" s="6" t="s">
        <v>8844</v>
      </c>
      <c r="G1018" s="6" t="n">
        <v>99</v>
      </c>
      <c r="H1018" s="6" t="s">
        <v>8845</v>
      </c>
      <c r="I1018" s="6" t="n">
        <v>48</v>
      </c>
      <c r="J1018" s="6" t="s">
        <v>8846</v>
      </c>
      <c r="K1018" s="6" t="n">
        <v>30</v>
      </c>
      <c r="L1018" s="6" t="s">
        <v>8847</v>
      </c>
      <c r="M1018" s="6" t="n">
        <v>24</v>
      </c>
      <c r="N1018" s="6" t="s">
        <v>8848</v>
      </c>
      <c r="O1018" s="6" t="n">
        <v>11</v>
      </c>
      <c r="P1018" s="6" t="s">
        <v>8849</v>
      </c>
      <c r="Q1018" s="6" t="n">
        <v>10</v>
      </c>
      <c r="R1018" s="6" t="s">
        <v>8850</v>
      </c>
      <c r="S1018" s="6" t="n">
        <v>8</v>
      </c>
      <c r="T1018" s="6" t="s">
        <v>8851</v>
      </c>
      <c r="U1018" s="6" t="n">
        <v>8</v>
      </c>
      <c r="V1018" s="6" t="s">
        <v>8852</v>
      </c>
      <c r="W1018" s="6" t="n">
        <v>3</v>
      </c>
      <c r="X1018" s="6" t="s">
        <v>8853</v>
      </c>
      <c r="Y1018" s="6" t="n">
        <v>2</v>
      </c>
      <c r="Z1018" s="6" t="s">
        <v>8854</v>
      </c>
      <c r="AA1018" s="6" t="n">
        <v>2</v>
      </c>
      <c r="AB1018" s="6" t="s">
        <v>8855</v>
      </c>
      <c r="AC1018" s="6" t="n">
        <v>2</v>
      </c>
      <c r="AD1018" s="6" t="s">
        <v>8856</v>
      </c>
      <c r="AE1018" s="6" t="n">
        <v>1</v>
      </c>
      <c r="AF1018" s="6" t="s">
        <v>8857</v>
      </c>
      <c r="AG1018" s="6" t="n">
        <v>1</v>
      </c>
      <c r="AH1018" s="6" t="s">
        <v>8858</v>
      </c>
      <c r="AI1018" s="6" t="n">
        <v>1</v>
      </c>
      <c r="AJ1018" s="6" t="s">
        <v>8859</v>
      </c>
      <c r="AK1018" s="6" t="n">
        <v>1</v>
      </c>
      <c r="AL1018" s="6" t="s">
        <v>8860</v>
      </c>
      <c r="AM1018" s="6" t="n">
        <v>1</v>
      </c>
      <c r="AN1018" s="6" t="s">
        <v>8861</v>
      </c>
      <c r="AO1018" s="6" t="n">
        <v>1</v>
      </c>
      <c r="AP1018" s="6" t="s">
        <v>8862</v>
      </c>
      <c r="AQ1018" s="6" t="n">
        <v>0</v>
      </c>
    </row>
    <row r="1019" customFormat="false" ht="12.8" hidden="false" customHeight="false" outlineLevel="0" collapsed="false">
      <c r="A1019" s="6" t="s">
        <v>8863</v>
      </c>
      <c r="B1019" s="6" t="n">
        <v>989</v>
      </c>
      <c r="C1019" s="6" t="n">
        <v>205</v>
      </c>
      <c r="D1019" s="12" t="n">
        <f aca="false">C1019/(B1019+C1019)*100</f>
        <v>17.1691792294807</v>
      </c>
      <c r="E1019" s="6" t="n">
        <v>18</v>
      </c>
      <c r="F1019" s="6" t="s">
        <v>8864</v>
      </c>
      <c r="G1019" s="6" t="n">
        <v>82</v>
      </c>
      <c r="H1019" s="6" t="s">
        <v>8865</v>
      </c>
      <c r="I1019" s="6" t="n">
        <v>76</v>
      </c>
      <c r="J1019" s="6" t="s">
        <v>8866</v>
      </c>
      <c r="K1019" s="6" t="n">
        <v>15</v>
      </c>
      <c r="L1019" s="6" t="s">
        <v>8867</v>
      </c>
      <c r="M1019" s="6" t="n">
        <v>12</v>
      </c>
      <c r="N1019" s="6" t="s">
        <v>8868</v>
      </c>
      <c r="O1019" s="6" t="n">
        <v>4</v>
      </c>
      <c r="P1019" s="6" t="s">
        <v>8869</v>
      </c>
      <c r="Q1019" s="6" t="n">
        <v>4</v>
      </c>
      <c r="R1019" s="6" t="s">
        <v>8870</v>
      </c>
      <c r="S1019" s="6" t="n">
        <v>2</v>
      </c>
      <c r="T1019" s="6" t="s">
        <v>8871</v>
      </c>
      <c r="U1019" s="6" t="n">
        <v>2</v>
      </c>
      <c r="V1019" s="6" t="s">
        <v>8872</v>
      </c>
      <c r="W1019" s="6" t="n">
        <v>1</v>
      </c>
      <c r="X1019" s="6" t="s">
        <v>8873</v>
      </c>
      <c r="Y1019" s="6" t="n">
        <v>1</v>
      </c>
      <c r="Z1019" s="6" t="s">
        <v>8874</v>
      </c>
      <c r="AA1019" s="6" t="n">
        <v>1</v>
      </c>
      <c r="AB1019" s="6" t="s">
        <v>8875</v>
      </c>
      <c r="AC1019" s="6" t="n">
        <v>1</v>
      </c>
      <c r="AD1019" s="6" t="s">
        <v>8876</v>
      </c>
      <c r="AE1019" s="6" t="n">
        <v>1</v>
      </c>
      <c r="AF1019" s="6" t="s">
        <v>8877</v>
      </c>
      <c r="AG1019" s="6" t="n">
        <v>1</v>
      </c>
      <c r="AH1019" s="6" t="s">
        <v>8878</v>
      </c>
      <c r="AI1019" s="6" t="n">
        <v>1</v>
      </c>
      <c r="AJ1019" s="6" t="s">
        <v>8879</v>
      </c>
      <c r="AK1019" s="6" t="n">
        <v>1</v>
      </c>
      <c r="AL1019" s="6" t="s">
        <v>8880</v>
      </c>
      <c r="AM1019" s="6" t="n">
        <v>0</v>
      </c>
      <c r="AN1019" s="6" t="s">
        <v>8881</v>
      </c>
      <c r="AO1019" s="6" t="n">
        <v>0</v>
      </c>
    </row>
    <row r="1020" customFormat="false" ht="12.8" hidden="false" customHeight="false" outlineLevel="0" collapsed="false">
      <c r="A1020" s="6" t="s">
        <v>8882</v>
      </c>
      <c r="B1020" s="6" t="n">
        <v>998</v>
      </c>
      <c r="C1020" s="6" t="n">
        <v>1426</v>
      </c>
      <c r="D1020" s="12" t="n">
        <f aca="false">C1020/(B1020+C1020)*100</f>
        <v>58.8283828382838</v>
      </c>
      <c r="E1020" s="6" t="n">
        <v>47</v>
      </c>
      <c r="F1020" s="6" t="s">
        <v>8883</v>
      </c>
      <c r="G1020" s="6" t="n">
        <v>475</v>
      </c>
      <c r="H1020" s="6" t="s">
        <v>8884</v>
      </c>
      <c r="I1020" s="6" t="n">
        <v>243</v>
      </c>
      <c r="J1020" s="6" t="s">
        <v>8885</v>
      </c>
      <c r="K1020" s="6" t="n">
        <v>209</v>
      </c>
      <c r="L1020" s="6" t="s">
        <v>8886</v>
      </c>
      <c r="M1020" s="6" t="n">
        <v>159</v>
      </c>
      <c r="N1020" s="6" t="s">
        <v>8887</v>
      </c>
      <c r="O1020" s="6" t="n">
        <v>66</v>
      </c>
      <c r="P1020" s="6" t="s">
        <v>8888</v>
      </c>
      <c r="Q1020" s="6" t="n">
        <v>53</v>
      </c>
      <c r="R1020" s="6" t="s">
        <v>8889</v>
      </c>
      <c r="S1020" s="6" t="n">
        <v>51</v>
      </c>
      <c r="T1020" s="6" t="s">
        <v>8890</v>
      </c>
      <c r="U1020" s="6" t="n">
        <v>38</v>
      </c>
      <c r="V1020" s="6" t="s">
        <v>8891</v>
      </c>
      <c r="W1020" s="6" t="n">
        <v>32</v>
      </c>
      <c r="X1020" s="6" t="s">
        <v>8892</v>
      </c>
      <c r="Y1020" s="6" t="n">
        <v>24</v>
      </c>
      <c r="Z1020" s="6" t="s">
        <v>8893</v>
      </c>
      <c r="AA1020" s="6" t="n">
        <v>22</v>
      </c>
      <c r="AB1020" s="6" t="s">
        <v>8894</v>
      </c>
      <c r="AC1020" s="6" t="n">
        <v>9</v>
      </c>
      <c r="AD1020" s="6" t="s">
        <v>8895</v>
      </c>
      <c r="AE1020" s="6" t="n">
        <v>7</v>
      </c>
      <c r="AF1020" s="6" t="s">
        <v>8896</v>
      </c>
      <c r="AG1020" s="6" t="n">
        <v>6</v>
      </c>
      <c r="AH1020" s="6" t="s">
        <v>8897</v>
      </c>
      <c r="AI1020" s="6" t="n">
        <v>6</v>
      </c>
      <c r="AJ1020" s="6" t="s">
        <v>8898</v>
      </c>
      <c r="AK1020" s="6" t="n">
        <v>3</v>
      </c>
      <c r="AL1020" s="6" t="s">
        <v>8899</v>
      </c>
      <c r="AM1020" s="6" t="n">
        <v>2</v>
      </c>
      <c r="AN1020" s="6" t="s">
        <v>8900</v>
      </c>
      <c r="AO1020" s="6" t="n">
        <v>2</v>
      </c>
      <c r="AP1020" s="6" t="s">
        <v>8901</v>
      </c>
      <c r="AQ1020" s="6" t="n">
        <v>2</v>
      </c>
      <c r="AR1020" s="6" t="s">
        <v>8902</v>
      </c>
      <c r="AS1020" s="6" t="n">
        <v>2</v>
      </c>
      <c r="AT1020" s="6" t="s">
        <v>8903</v>
      </c>
      <c r="AU1020" s="6" t="n">
        <v>1</v>
      </c>
      <c r="AV1020" s="6" t="s">
        <v>8904</v>
      </c>
      <c r="AW1020" s="6" t="n">
        <v>1</v>
      </c>
      <c r="AX1020" s="6" t="s">
        <v>8905</v>
      </c>
      <c r="AY1020" s="6" t="n">
        <v>1</v>
      </c>
      <c r="AZ1020" s="6" t="s">
        <v>8906</v>
      </c>
      <c r="BA1020" s="6" t="n">
        <v>1</v>
      </c>
      <c r="BB1020" s="6" t="s">
        <v>8907</v>
      </c>
      <c r="BC1020" s="6" t="n">
        <v>1</v>
      </c>
      <c r="BD1020" s="6" t="s">
        <v>8908</v>
      </c>
      <c r="BE1020" s="6" t="n">
        <v>1</v>
      </c>
      <c r="BF1020" s="6" t="s">
        <v>8909</v>
      </c>
      <c r="BG1020" s="6" t="n">
        <v>1</v>
      </c>
      <c r="BH1020" s="6" t="s">
        <v>8910</v>
      </c>
      <c r="BI1020" s="6" t="n">
        <v>1</v>
      </c>
      <c r="BJ1020" s="6" t="s">
        <v>8911</v>
      </c>
      <c r="BK1020" s="6" t="n">
        <v>1</v>
      </c>
      <c r="BL1020" s="6" t="s">
        <v>8912</v>
      </c>
      <c r="BM1020" s="6" t="n">
        <v>1</v>
      </c>
      <c r="BN1020" s="6" t="s">
        <v>8913</v>
      </c>
      <c r="BO1020" s="6" t="n">
        <v>1</v>
      </c>
      <c r="BP1020" s="6" t="s">
        <v>8914</v>
      </c>
      <c r="BQ1020" s="6" t="n">
        <v>1</v>
      </c>
      <c r="BR1020" s="6" t="s">
        <v>8915</v>
      </c>
      <c r="BS1020" s="6" t="n">
        <v>1</v>
      </c>
      <c r="BT1020" s="6" t="s">
        <v>8916</v>
      </c>
      <c r="BU1020" s="6" t="n">
        <v>1</v>
      </c>
      <c r="BV1020" s="6" t="s">
        <v>8917</v>
      </c>
      <c r="BW1020" s="6" t="n">
        <v>1</v>
      </c>
      <c r="BX1020" s="6" t="s">
        <v>8918</v>
      </c>
      <c r="BY1020" s="6" t="n">
        <v>0</v>
      </c>
      <c r="BZ1020" s="6" t="s">
        <v>8919</v>
      </c>
      <c r="CA1020" s="6" t="n">
        <v>0</v>
      </c>
      <c r="CB1020" s="6" t="s">
        <v>8920</v>
      </c>
      <c r="CC1020" s="6" t="n">
        <v>0</v>
      </c>
      <c r="CD1020" s="6" t="s">
        <v>8921</v>
      </c>
      <c r="CE1020" s="6" t="n">
        <v>0</v>
      </c>
      <c r="CF1020" s="6" t="s">
        <v>8922</v>
      </c>
      <c r="CG1020" s="6" t="n">
        <v>0</v>
      </c>
      <c r="CH1020" s="6" t="s">
        <v>8923</v>
      </c>
      <c r="CI1020" s="6" t="n">
        <v>0</v>
      </c>
      <c r="CJ1020" s="6" t="s">
        <v>8924</v>
      </c>
      <c r="CK1020" s="6" t="n">
        <v>0</v>
      </c>
      <c r="CL1020" s="6" t="s">
        <v>8925</v>
      </c>
      <c r="CM1020" s="6" t="n">
        <v>0</v>
      </c>
      <c r="CN1020" s="6" t="s">
        <v>8926</v>
      </c>
      <c r="CO1020" s="6" t="n">
        <v>0</v>
      </c>
      <c r="CP1020" s="6" t="s">
        <v>8927</v>
      </c>
      <c r="CQ1020" s="6" t="n">
        <v>0</v>
      </c>
      <c r="CR1020" s="6" t="s">
        <v>8928</v>
      </c>
      <c r="CS1020" s="6" t="n">
        <v>0</v>
      </c>
      <c r="CT1020" s="6" t="s">
        <v>8929</v>
      </c>
      <c r="CU1020" s="6" t="n">
        <v>0</v>
      </c>
    </row>
    <row r="1021" customFormat="false" ht="12.8" hidden="false" customHeight="false" outlineLevel="0" collapsed="false">
      <c r="A1021" s="6" t="s">
        <v>8930</v>
      </c>
      <c r="B1021" s="6" t="n">
        <v>1003</v>
      </c>
      <c r="C1021" s="6" t="n">
        <v>197</v>
      </c>
      <c r="D1021" s="12" t="n">
        <f aca="false">C1021/(B1021+C1021)*100</f>
        <v>16.4166666666667</v>
      </c>
      <c r="E1021" s="6" t="n">
        <v>11</v>
      </c>
      <c r="F1021" s="6" t="s">
        <v>8931</v>
      </c>
      <c r="G1021" s="6" t="n">
        <v>92</v>
      </c>
      <c r="H1021" s="6" t="s">
        <v>8932</v>
      </c>
      <c r="I1021" s="6" t="n">
        <v>56</v>
      </c>
      <c r="J1021" s="6" t="s">
        <v>8933</v>
      </c>
      <c r="K1021" s="6" t="n">
        <v>28</v>
      </c>
      <c r="L1021" s="6" t="s">
        <v>8934</v>
      </c>
      <c r="M1021" s="6" t="n">
        <v>11</v>
      </c>
      <c r="N1021" s="6" t="s">
        <v>8935</v>
      </c>
      <c r="O1021" s="6" t="n">
        <v>5</v>
      </c>
      <c r="P1021" s="6" t="s">
        <v>8936</v>
      </c>
      <c r="Q1021" s="6" t="n">
        <v>1</v>
      </c>
      <c r="R1021" s="6" t="s">
        <v>8937</v>
      </c>
      <c r="S1021" s="6" t="n">
        <v>1</v>
      </c>
      <c r="T1021" s="6" t="s">
        <v>8938</v>
      </c>
      <c r="U1021" s="6" t="n">
        <v>1</v>
      </c>
      <c r="V1021" s="6" t="s">
        <v>8939</v>
      </c>
      <c r="W1021" s="6" t="n">
        <v>1</v>
      </c>
      <c r="X1021" s="6" t="s">
        <v>8940</v>
      </c>
      <c r="Y1021" s="6" t="n">
        <v>1</v>
      </c>
      <c r="Z1021" s="6" t="s">
        <v>8941</v>
      </c>
      <c r="AA1021" s="6" t="n">
        <v>0</v>
      </c>
    </row>
    <row r="1022" customFormat="false" ht="12.8" hidden="false" customHeight="false" outlineLevel="0" collapsed="false">
      <c r="A1022" s="6" t="s">
        <v>8942</v>
      </c>
      <c r="B1022" s="6" t="n">
        <v>1008</v>
      </c>
      <c r="C1022" s="6" t="n">
        <v>13</v>
      </c>
      <c r="D1022" s="12" t="n">
        <f aca="false">C1022/(B1022+C1022)*100</f>
        <v>1.27326150832517</v>
      </c>
      <c r="E1022" s="6" t="n">
        <v>5</v>
      </c>
      <c r="F1022" s="6" t="s">
        <v>8943</v>
      </c>
      <c r="G1022" s="6" t="n">
        <v>5</v>
      </c>
      <c r="H1022" s="6" t="s">
        <v>8944</v>
      </c>
      <c r="I1022" s="6" t="n">
        <v>4</v>
      </c>
      <c r="J1022" s="6" t="s">
        <v>8945</v>
      </c>
      <c r="K1022" s="6" t="n">
        <v>4</v>
      </c>
      <c r="L1022" s="6" t="s">
        <v>8946</v>
      </c>
      <c r="M1022" s="6" t="n">
        <v>0</v>
      </c>
      <c r="N1022" s="6" t="s">
        <v>8947</v>
      </c>
      <c r="O1022" s="6" t="n">
        <v>0</v>
      </c>
    </row>
    <row r="1023" customFormat="false" ht="12.8" hidden="false" customHeight="false" outlineLevel="0" collapsed="false">
      <c r="A1023" s="6" t="s">
        <v>8948</v>
      </c>
      <c r="B1023" s="6" t="n">
        <v>1016</v>
      </c>
      <c r="C1023" s="6" t="n">
        <v>87</v>
      </c>
      <c r="D1023" s="12" t="n">
        <f aca="false">C1023/(B1023+C1023)*100</f>
        <v>7.88757932910245</v>
      </c>
      <c r="E1023" s="6" t="n">
        <v>8</v>
      </c>
      <c r="F1023" s="6" t="s">
        <v>8949</v>
      </c>
      <c r="G1023" s="6" t="n">
        <v>40</v>
      </c>
      <c r="H1023" s="6" t="s">
        <v>8950</v>
      </c>
      <c r="I1023" s="6" t="n">
        <v>19</v>
      </c>
      <c r="J1023" s="6" t="s">
        <v>8951</v>
      </c>
      <c r="K1023" s="6" t="n">
        <v>8</v>
      </c>
      <c r="L1023" s="6" t="s">
        <v>8952</v>
      </c>
      <c r="M1023" s="6" t="n">
        <v>7</v>
      </c>
      <c r="N1023" s="6" t="s">
        <v>8953</v>
      </c>
      <c r="O1023" s="6" t="n">
        <v>4</v>
      </c>
      <c r="P1023" s="6" t="s">
        <v>8954</v>
      </c>
      <c r="Q1023" s="6" t="n">
        <v>4</v>
      </c>
      <c r="R1023" s="6" t="s">
        <v>8955</v>
      </c>
      <c r="S1023" s="6" t="n">
        <v>3</v>
      </c>
      <c r="T1023" s="6" t="s">
        <v>8956</v>
      </c>
      <c r="U1023" s="6" t="n">
        <v>2</v>
      </c>
    </row>
    <row r="1024" customFormat="false" ht="12.8" hidden="false" customHeight="false" outlineLevel="0" collapsed="false">
      <c r="A1024" s="6" t="s">
        <v>8957</v>
      </c>
      <c r="B1024" s="6" t="n">
        <v>1019</v>
      </c>
      <c r="C1024" s="6" t="n">
        <v>581</v>
      </c>
      <c r="D1024" s="12" t="n">
        <f aca="false">C1024/(B1024+C1024)*100</f>
        <v>36.3125</v>
      </c>
      <c r="E1024" s="6" t="n">
        <v>17</v>
      </c>
      <c r="F1024" s="6" t="s">
        <v>8958</v>
      </c>
      <c r="G1024" s="6" t="n">
        <v>437</v>
      </c>
      <c r="H1024" s="6" t="s">
        <v>8959</v>
      </c>
      <c r="I1024" s="6" t="n">
        <v>56</v>
      </c>
      <c r="J1024" s="6" t="s">
        <v>8960</v>
      </c>
      <c r="K1024" s="6" t="n">
        <v>44</v>
      </c>
      <c r="L1024" s="6" t="s">
        <v>8961</v>
      </c>
      <c r="M1024" s="6" t="n">
        <v>16</v>
      </c>
      <c r="N1024" s="6" t="s">
        <v>8962</v>
      </c>
      <c r="O1024" s="6" t="n">
        <v>10</v>
      </c>
      <c r="P1024" s="6" t="s">
        <v>8963</v>
      </c>
      <c r="Q1024" s="6" t="n">
        <v>5</v>
      </c>
      <c r="R1024" s="6" t="s">
        <v>8964</v>
      </c>
      <c r="S1024" s="6" t="n">
        <v>3</v>
      </c>
      <c r="T1024" s="6" t="s">
        <v>8965</v>
      </c>
      <c r="U1024" s="6" t="n">
        <v>3</v>
      </c>
      <c r="V1024" s="6" t="s">
        <v>8966</v>
      </c>
      <c r="W1024" s="6" t="n">
        <v>3</v>
      </c>
      <c r="X1024" s="6" t="s">
        <v>8967</v>
      </c>
      <c r="Y1024" s="6" t="n">
        <v>1</v>
      </c>
      <c r="Z1024" s="6" t="s">
        <v>8968</v>
      </c>
      <c r="AA1024" s="6" t="n">
        <v>1</v>
      </c>
      <c r="AB1024" s="6" t="s">
        <v>8969</v>
      </c>
      <c r="AC1024" s="6" t="n">
        <v>1</v>
      </c>
      <c r="AD1024" s="6" t="s">
        <v>8970</v>
      </c>
      <c r="AE1024" s="6" t="n">
        <v>1</v>
      </c>
      <c r="AF1024" s="6" t="s">
        <v>8971</v>
      </c>
      <c r="AG1024" s="6" t="n">
        <v>0</v>
      </c>
      <c r="AH1024" s="6" t="s">
        <v>8972</v>
      </c>
      <c r="AI1024" s="6" t="n">
        <v>0</v>
      </c>
      <c r="AJ1024" s="6" t="s">
        <v>8973</v>
      </c>
      <c r="AK1024" s="6" t="n">
        <v>0</v>
      </c>
      <c r="AL1024" s="6" t="s">
        <v>8974</v>
      </c>
      <c r="AM1024" s="6" t="n">
        <v>0</v>
      </c>
    </row>
    <row r="1025" customFormat="false" ht="12.8" hidden="false" customHeight="false" outlineLevel="0" collapsed="false">
      <c r="A1025" s="6" t="s">
        <v>8975</v>
      </c>
      <c r="B1025" s="6" t="n">
        <v>1026</v>
      </c>
      <c r="C1025" s="6" t="n">
        <v>3</v>
      </c>
      <c r="D1025" s="12" t="n">
        <f aca="false">C1025/(B1025+C1025)*100</f>
        <v>0.291545189504373</v>
      </c>
      <c r="E1025" s="6" t="n">
        <v>2</v>
      </c>
      <c r="F1025" s="6" t="s">
        <v>8976</v>
      </c>
      <c r="G1025" s="6" t="n">
        <v>2</v>
      </c>
      <c r="H1025" s="6" t="s">
        <v>8977</v>
      </c>
      <c r="I1025" s="6" t="n">
        <v>1</v>
      </c>
    </row>
    <row r="1026" customFormat="false" ht="14.4" hidden="false" customHeight="false" outlineLevel="0" collapsed="false">
      <c r="A1026" s="6" t="s">
        <v>8978</v>
      </c>
      <c r="B1026" s="6" t="n">
        <v>1043</v>
      </c>
      <c r="C1026" s="6" t="n">
        <v>618</v>
      </c>
      <c r="D1026" s="12" t="n">
        <f aca="false">C1026/(B1026+C1026)*100</f>
        <v>37.2065021071644</v>
      </c>
      <c r="E1026" s="6" t="n">
        <v>19</v>
      </c>
      <c r="F1026" s="6" t="s">
        <v>8979</v>
      </c>
      <c r="G1026" s="6" t="n">
        <v>304</v>
      </c>
      <c r="H1026" s="6" t="s">
        <v>8980</v>
      </c>
      <c r="I1026" s="6" t="n">
        <v>173</v>
      </c>
      <c r="J1026" s="6" t="s">
        <v>8981</v>
      </c>
      <c r="K1026" s="6" t="n">
        <v>83</v>
      </c>
      <c r="L1026" s="6" t="s">
        <v>8982</v>
      </c>
      <c r="M1026" s="6" t="n">
        <v>21</v>
      </c>
      <c r="N1026" s="6" t="s">
        <v>8983</v>
      </c>
      <c r="O1026" s="6" t="n">
        <v>11</v>
      </c>
      <c r="P1026" s="6" t="s">
        <v>8984</v>
      </c>
      <c r="Q1026" s="6" t="n">
        <v>6</v>
      </c>
      <c r="R1026" s="6" t="s">
        <v>8985</v>
      </c>
      <c r="S1026" s="6" t="n">
        <v>5</v>
      </c>
      <c r="T1026" s="6" t="s">
        <v>8985</v>
      </c>
      <c r="U1026" s="6" t="n">
        <v>5</v>
      </c>
      <c r="V1026" s="6" t="s">
        <v>8986</v>
      </c>
      <c r="W1026" s="6" t="n">
        <v>4</v>
      </c>
      <c r="X1026" s="6" t="s">
        <v>8987</v>
      </c>
      <c r="Y1026" s="6" t="n">
        <v>2</v>
      </c>
      <c r="Z1026" s="6" t="s">
        <v>8988</v>
      </c>
      <c r="AA1026" s="6" t="n">
        <v>2</v>
      </c>
      <c r="AB1026" s="6" t="s">
        <v>8989</v>
      </c>
      <c r="AC1026" s="6" t="n">
        <v>1</v>
      </c>
      <c r="AD1026" s="6" t="s">
        <v>8990</v>
      </c>
      <c r="AE1026" s="6" t="n">
        <v>1</v>
      </c>
      <c r="AF1026" s="6" t="s">
        <v>8991</v>
      </c>
      <c r="AG1026" s="6" t="n">
        <v>0</v>
      </c>
      <c r="AH1026" s="6" t="s">
        <v>8992</v>
      </c>
      <c r="AI1026" s="6" t="n">
        <v>0</v>
      </c>
      <c r="AJ1026" s="6" t="s">
        <v>8993</v>
      </c>
      <c r="AK1026" s="6" t="n">
        <v>0</v>
      </c>
      <c r="AL1026" s="6" t="s">
        <v>8994</v>
      </c>
      <c r="AM1026" s="6" t="n">
        <v>0</v>
      </c>
      <c r="AN1026" s="6" t="s">
        <v>8995</v>
      </c>
      <c r="AO1026" s="6" t="n">
        <v>0</v>
      </c>
      <c r="AP1026" s="6" t="s">
        <v>8996</v>
      </c>
      <c r="AQ1026" s="6" t="n">
        <v>0</v>
      </c>
    </row>
    <row r="1027" customFormat="false" ht="12.8" hidden="false" customHeight="false" outlineLevel="0" collapsed="false">
      <c r="A1027" s="6" t="s">
        <v>8997</v>
      </c>
      <c r="B1027" s="6" t="n">
        <v>1049</v>
      </c>
      <c r="C1027" s="6" t="n">
        <v>254</v>
      </c>
      <c r="D1027" s="12" t="n">
        <f aca="false">C1027/(B1027+C1027)*100</f>
        <v>19.4934765924789</v>
      </c>
      <c r="E1027" s="6" t="n">
        <v>12</v>
      </c>
      <c r="F1027" s="6" t="s">
        <v>8998</v>
      </c>
      <c r="G1027" s="6" t="n">
        <v>183</v>
      </c>
      <c r="H1027" s="6" t="s">
        <v>8999</v>
      </c>
      <c r="I1027" s="6" t="n">
        <v>20</v>
      </c>
      <c r="J1027" s="6" t="s">
        <v>9000</v>
      </c>
      <c r="K1027" s="6" t="n">
        <v>20</v>
      </c>
      <c r="L1027" s="6" t="s">
        <v>9001</v>
      </c>
      <c r="M1027" s="6" t="n">
        <v>15</v>
      </c>
      <c r="N1027" s="6" t="s">
        <v>9002</v>
      </c>
      <c r="O1027" s="6" t="n">
        <v>9</v>
      </c>
      <c r="P1027" s="6" t="s">
        <v>9003</v>
      </c>
      <c r="Q1027" s="6" t="n">
        <v>4</v>
      </c>
      <c r="R1027" s="6" t="s">
        <v>9004</v>
      </c>
      <c r="S1027" s="6" t="n">
        <v>1</v>
      </c>
      <c r="T1027" s="6" t="s">
        <v>9005</v>
      </c>
      <c r="U1027" s="6" t="n">
        <v>1</v>
      </c>
      <c r="V1027" s="6" t="s">
        <v>9006</v>
      </c>
      <c r="W1027" s="6" t="n">
        <v>1</v>
      </c>
      <c r="X1027" s="6" t="s">
        <v>9007</v>
      </c>
      <c r="Y1027" s="6" t="n">
        <v>0</v>
      </c>
      <c r="Z1027" s="6" t="s">
        <v>9008</v>
      </c>
      <c r="AA1027" s="6" t="n">
        <v>0</v>
      </c>
      <c r="AB1027" s="6" t="s">
        <v>9009</v>
      </c>
      <c r="AC1027" s="6" t="n">
        <v>0</v>
      </c>
    </row>
    <row r="1028" customFormat="false" ht="12.8" hidden="false" customHeight="false" outlineLevel="0" collapsed="false">
      <c r="A1028" s="6" t="s">
        <v>9010</v>
      </c>
      <c r="B1028" s="6" t="n">
        <v>1051</v>
      </c>
      <c r="C1028" s="6" t="n">
        <v>771</v>
      </c>
      <c r="D1028" s="12" t="n">
        <f aca="false">C1028/(B1028+C1028)*100</f>
        <v>42.3161361141603</v>
      </c>
      <c r="E1028" s="6" t="n">
        <v>15</v>
      </c>
      <c r="F1028" s="6" t="s">
        <v>9011</v>
      </c>
      <c r="G1028" s="6" t="n">
        <v>445</v>
      </c>
      <c r="H1028" s="6" t="s">
        <v>9012</v>
      </c>
      <c r="I1028" s="6" t="n">
        <v>223</v>
      </c>
      <c r="J1028" s="6" t="s">
        <v>9013</v>
      </c>
      <c r="K1028" s="6" t="n">
        <v>80</v>
      </c>
      <c r="L1028" s="6" t="s">
        <v>9014</v>
      </c>
      <c r="M1028" s="6" t="n">
        <v>10</v>
      </c>
      <c r="N1028" s="6" t="s">
        <v>9015</v>
      </c>
      <c r="O1028" s="6" t="n">
        <v>4</v>
      </c>
      <c r="P1028" s="6" t="s">
        <v>9016</v>
      </c>
      <c r="Q1028" s="6" t="n">
        <v>2</v>
      </c>
      <c r="R1028" s="6" t="s">
        <v>9017</v>
      </c>
      <c r="S1028" s="6" t="n">
        <v>2</v>
      </c>
      <c r="T1028" s="6" t="s">
        <v>9018</v>
      </c>
      <c r="U1028" s="6" t="n">
        <v>1</v>
      </c>
      <c r="V1028" s="6" t="s">
        <v>9019</v>
      </c>
      <c r="W1028" s="6" t="n">
        <v>1</v>
      </c>
      <c r="X1028" s="6" t="s">
        <v>9020</v>
      </c>
      <c r="Y1028" s="6" t="n">
        <v>1</v>
      </c>
      <c r="Z1028" s="6" t="s">
        <v>9021</v>
      </c>
      <c r="AA1028" s="6" t="n">
        <v>1</v>
      </c>
      <c r="AB1028" s="6" t="s">
        <v>9022</v>
      </c>
      <c r="AC1028" s="6" t="n">
        <v>1</v>
      </c>
      <c r="AD1028" s="6" t="s">
        <v>9023</v>
      </c>
      <c r="AE1028" s="6" t="n">
        <v>0</v>
      </c>
      <c r="AF1028" s="6" t="s">
        <v>9024</v>
      </c>
      <c r="AG1028" s="6" t="n">
        <v>0</v>
      </c>
      <c r="AH1028" s="6" t="s">
        <v>9025</v>
      </c>
      <c r="AI1028" s="6" t="n">
        <v>0</v>
      </c>
    </row>
    <row r="1029" customFormat="false" ht="12.8" hidden="false" customHeight="false" outlineLevel="0" collapsed="false">
      <c r="A1029" s="6" t="s">
        <v>9026</v>
      </c>
      <c r="B1029" s="6" t="n">
        <v>1080</v>
      </c>
      <c r="C1029" s="6" t="n">
        <v>413</v>
      </c>
      <c r="D1029" s="12" t="n">
        <f aca="false">C1029/(B1029+C1029)*100</f>
        <v>27.662424648359</v>
      </c>
      <c r="E1029" s="6" t="n">
        <v>27</v>
      </c>
      <c r="F1029" s="6" t="s">
        <v>9027</v>
      </c>
      <c r="G1029" s="6" t="n">
        <v>202</v>
      </c>
      <c r="H1029" s="6" t="s">
        <v>9028</v>
      </c>
      <c r="I1029" s="6" t="n">
        <v>71</v>
      </c>
      <c r="J1029" s="6" t="s">
        <v>9029</v>
      </c>
      <c r="K1029" s="6" t="n">
        <v>68</v>
      </c>
      <c r="L1029" s="6" t="s">
        <v>9030</v>
      </c>
      <c r="M1029" s="6" t="n">
        <v>23</v>
      </c>
      <c r="N1029" s="6" t="s">
        <v>9031</v>
      </c>
      <c r="O1029" s="6" t="n">
        <v>8</v>
      </c>
      <c r="P1029" s="6" t="s">
        <v>9032</v>
      </c>
      <c r="Q1029" s="6" t="n">
        <v>8</v>
      </c>
      <c r="R1029" s="6" t="s">
        <v>9033</v>
      </c>
      <c r="S1029" s="6" t="n">
        <v>5</v>
      </c>
      <c r="T1029" s="6" t="s">
        <v>9034</v>
      </c>
      <c r="U1029" s="6" t="n">
        <v>5</v>
      </c>
      <c r="V1029" s="6" t="s">
        <v>9035</v>
      </c>
      <c r="W1029" s="6" t="n">
        <v>5</v>
      </c>
      <c r="X1029" s="6" t="s">
        <v>9036</v>
      </c>
      <c r="Y1029" s="6" t="n">
        <v>3</v>
      </c>
      <c r="Z1029" s="6" t="s">
        <v>9037</v>
      </c>
      <c r="AA1029" s="6" t="n">
        <v>3</v>
      </c>
      <c r="AB1029" s="6" t="s">
        <v>9038</v>
      </c>
      <c r="AC1029" s="6" t="n">
        <v>3</v>
      </c>
      <c r="AD1029" s="6" t="s">
        <v>9039</v>
      </c>
      <c r="AE1029" s="6" t="n">
        <v>2</v>
      </c>
      <c r="AF1029" s="6" t="s">
        <v>9040</v>
      </c>
      <c r="AG1029" s="6" t="n">
        <v>2</v>
      </c>
      <c r="AH1029" s="6" t="s">
        <v>9041</v>
      </c>
      <c r="AI1029" s="6" t="n">
        <v>2</v>
      </c>
      <c r="AJ1029" s="6" t="s">
        <v>9042</v>
      </c>
      <c r="AK1029" s="6" t="n">
        <v>1</v>
      </c>
      <c r="AL1029" s="6" t="s">
        <v>9043</v>
      </c>
      <c r="AM1029" s="6" t="n">
        <v>1</v>
      </c>
      <c r="AN1029" s="6" t="s">
        <v>9044</v>
      </c>
      <c r="AO1029" s="6" t="n">
        <v>1</v>
      </c>
      <c r="AP1029" s="6" t="s">
        <v>9045</v>
      </c>
      <c r="AQ1029" s="6" t="n">
        <v>0</v>
      </c>
      <c r="AR1029" s="6" t="s">
        <v>9046</v>
      </c>
      <c r="AS1029" s="6" t="n">
        <v>0</v>
      </c>
      <c r="AT1029" s="6" t="s">
        <v>9047</v>
      </c>
      <c r="AU1029" s="6" t="n">
        <v>0</v>
      </c>
      <c r="AV1029" s="6" t="s">
        <v>9048</v>
      </c>
      <c r="AW1029" s="6" t="n">
        <v>0</v>
      </c>
      <c r="AX1029" s="6" t="s">
        <v>9049</v>
      </c>
      <c r="AY1029" s="6" t="n">
        <v>0</v>
      </c>
      <c r="AZ1029" s="6" t="s">
        <v>9050</v>
      </c>
      <c r="BA1029" s="6" t="n">
        <v>0</v>
      </c>
      <c r="BB1029" s="6" t="s">
        <v>9051</v>
      </c>
      <c r="BC1029" s="6" t="n">
        <v>0</v>
      </c>
      <c r="BD1029" s="6" t="s">
        <v>9052</v>
      </c>
      <c r="BE1029" s="6" t="n">
        <v>0</v>
      </c>
      <c r="BF1029" s="6" t="s">
        <v>9053</v>
      </c>
      <c r="BG1029" s="6" t="n">
        <v>0</v>
      </c>
    </row>
    <row r="1030" customFormat="false" ht="12.8" hidden="false" customHeight="false" outlineLevel="0" collapsed="false">
      <c r="A1030" s="6" t="s">
        <v>9054</v>
      </c>
      <c r="B1030" s="6" t="n">
        <v>1100</v>
      </c>
      <c r="C1030" s="6" t="n">
        <v>1073</v>
      </c>
      <c r="D1030" s="12" t="n">
        <f aca="false">C1030/(B1030+C1030)*100</f>
        <v>49.3787390704096</v>
      </c>
      <c r="E1030" s="6" t="n">
        <v>33</v>
      </c>
      <c r="F1030" s="6" t="s">
        <v>9055</v>
      </c>
      <c r="G1030" s="6" t="n">
        <v>313</v>
      </c>
      <c r="H1030" s="6" t="s">
        <v>9056</v>
      </c>
      <c r="I1030" s="6" t="n">
        <v>215</v>
      </c>
      <c r="J1030" s="6" t="s">
        <v>9057</v>
      </c>
      <c r="K1030" s="6" t="n">
        <v>171</v>
      </c>
      <c r="L1030" s="6" t="s">
        <v>9058</v>
      </c>
      <c r="M1030" s="6" t="n">
        <v>98</v>
      </c>
      <c r="N1030" s="6" t="s">
        <v>9059</v>
      </c>
      <c r="O1030" s="6" t="n">
        <v>72</v>
      </c>
      <c r="P1030" s="6" t="s">
        <v>9060</v>
      </c>
      <c r="Q1030" s="6" t="n">
        <v>52</v>
      </c>
      <c r="R1030" s="6" t="s">
        <v>9061</v>
      </c>
      <c r="S1030" s="6" t="n">
        <v>41</v>
      </c>
      <c r="T1030" s="6" t="s">
        <v>9062</v>
      </c>
      <c r="U1030" s="6" t="n">
        <v>34</v>
      </c>
      <c r="V1030" s="6" t="s">
        <v>9063</v>
      </c>
      <c r="W1030" s="6" t="n">
        <v>31</v>
      </c>
      <c r="X1030" s="6" t="s">
        <v>9064</v>
      </c>
      <c r="Y1030" s="6" t="n">
        <v>7</v>
      </c>
      <c r="Z1030" s="6" t="s">
        <v>9065</v>
      </c>
      <c r="AA1030" s="6" t="n">
        <v>6</v>
      </c>
      <c r="AB1030" s="6" t="s">
        <v>9066</v>
      </c>
      <c r="AC1030" s="6" t="n">
        <v>6</v>
      </c>
      <c r="AD1030" s="6" t="s">
        <v>9067</v>
      </c>
      <c r="AE1030" s="6" t="n">
        <v>5</v>
      </c>
      <c r="AF1030" s="6" t="s">
        <v>9068</v>
      </c>
      <c r="AG1030" s="6" t="n">
        <v>3</v>
      </c>
      <c r="AH1030" s="6" t="s">
        <v>9069</v>
      </c>
      <c r="AI1030" s="6" t="n">
        <v>3</v>
      </c>
      <c r="AJ1030" s="6" t="s">
        <v>9070</v>
      </c>
      <c r="AK1030" s="6" t="n">
        <v>3</v>
      </c>
      <c r="AL1030" s="6" t="s">
        <v>9071</v>
      </c>
      <c r="AM1030" s="6" t="n">
        <v>2</v>
      </c>
      <c r="AN1030" s="6" t="s">
        <v>9072</v>
      </c>
      <c r="AO1030" s="6" t="n">
        <v>2</v>
      </c>
      <c r="AP1030" s="6" t="s">
        <v>9073</v>
      </c>
      <c r="AQ1030" s="6" t="n">
        <v>2</v>
      </c>
      <c r="AR1030" s="6" t="s">
        <v>9074</v>
      </c>
      <c r="AS1030" s="6" t="n">
        <v>1</v>
      </c>
      <c r="AT1030" s="6" t="s">
        <v>9075</v>
      </c>
      <c r="AU1030" s="6" t="n">
        <v>1</v>
      </c>
      <c r="AV1030" s="6" t="s">
        <v>9076</v>
      </c>
      <c r="AW1030" s="6" t="n">
        <v>1</v>
      </c>
      <c r="AX1030" s="6" t="s">
        <v>9077</v>
      </c>
      <c r="AY1030" s="6" t="n">
        <v>1</v>
      </c>
      <c r="AZ1030" s="6" t="s">
        <v>9078</v>
      </c>
      <c r="BA1030" s="6" t="n">
        <v>1</v>
      </c>
      <c r="BB1030" s="6" t="s">
        <v>9079</v>
      </c>
      <c r="BC1030" s="6" t="n">
        <v>1</v>
      </c>
      <c r="BD1030" s="6" t="s">
        <v>9080</v>
      </c>
      <c r="BE1030" s="6" t="n">
        <v>1</v>
      </c>
      <c r="BF1030" s="6" t="s">
        <v>9081</v>
      </c>
      <c r="BG1030" s="6" t="n">
        <v>0</v>
      </c>
      <c r="BH1030" s="6" t="s">
        <v>9082</v>
      </c>
      <c r="BI1030" s="6" t="n">
        <v>0</v>
      </c>
      <c r="BJ1030" s="6" t="s">
        <v>9083</v>
      </c>
      <c r="BK1030" s="6" t="n">
        <v>0</v>
      </c>
      <c r="BL1030" s="6" t="s">
        <v>9084</v>
      </c>
      <c r="BM1030" s="6" t="n">
        <v>0</v>
      </c>
      <c r="BN1030" s="6" t="s">
        <v>9085</v>
      </c>
      <c r="BO1030" s="6" t="n">
        <v>0</v>
      </c>
      <c r="BP1030" s="6" t="s">
        <v>9086</v>
      </c>
      <c r="BQ1030" s="6" t="n">
        <v>0</v>
      </c>
      <c r="BR1030" s="6" t="s">
        <v>9087</v>
      </c>
      <c r="BS1030" s="6" t="n">
        <v>0</v>
      </c>
    </row>
    <row r="1031" customFormat="false" ht="12.8" hidden="false" customHeight="false" outlineLevel="0" collapsed="false">
      <c r="A1031" s="6" t="s">
        <v>9088</v>
      </c>
      <c r="B1031" s="6" t="n">
        <v>1143</v>
      </c>
      <c r="C1031" s="6" t="n">
        <v>129</v>
      </c>
      <c r="D1031" s="12" t="n">
        <f aca="false">C1031/(B1031+C1031)*100</f>
        <v>10.1415094339623</v>
      </c>
      <c r="E1031" s="6" t="n">
        <v>9</v>
      </c>
      <c r="F1031" s="6" t="s">
        <v>9089</v>
      </c>
      <c r="G1031" s="6" t="n">
        <v>62</v>
      </c>
      <c r="H1031" s="6" t="s">
        <v>9090</v>
      </c>
      <c r="I1031" s="6" t="n">
        <v>41</v>
      </c>
      <c r="J1031" s="6" t="s">
        <v>9091</v>
      </c>
      <c r="K1031" s="6" t="n">
        <v>23</v>
      </c>
      <c r="L1031" s="6" t="s">
        <v>9092</v>
      </c>
      <c r="M1031" s="6" t="n">
        <v>2</v>
      </c>
      <c r="N1031" s="6" t="s">
        <v>9093</v>
      </c>
      <c r="O1031" s="6" t="n">
        <v>1</v>
      </c>
      <c r="P1031" s="6" t="s">
        <v>9094</v>
      </c>
      <c r="Q1031" s="6" t="n">
        <v>0</v>
      </c>
      <c r="R1031" s="6" t="s">
        <v>9095</v>
      </c>
      <c r="S1031" s="6" t="n">
        <v>0</v>
      </c>
      <c r="T1031" s="6" t="s">
        <v>9096</v>
      </c>
      <c r="U1031" s="6" t="n">
        <v>0</v>
      </c>
      <c r="V1031" s="6" t="s">
        <v>9097</v>
      </c>
      <c r="W1031" s="6" t="n">
        <v>0</v>
      </c>
    </row>
    <row r="1032" customFormat="false" ht="12.8" hidden="false" customHeight="false" outlineLevel="0" collapsed="false">
      <c r="A1032" s="6" t="s">
        <v>9098</v>
      </c>
      <c r="B1032" s="6" t="n">
        <v>1148</v>
      </c>
      <c r="C1032" s="6" t="n">
        <v>288</v>
      </c>
      <c r="D1032" s="12" t="n">
        <f aca="false">C1032/(B1032+C1032)*100</f>
        <v>20.0557103064067</v>
      </c>
      <c r="E1032" s="6" t="n">
        <v>20</v>
      </c>
      <c r="F1032" s="6" t="s">
        <v>9099</v>
      </c>
      <c r="G1032" s="6" t="n">
        <v>145</v>
      </c>
      <c r="H1032" s="6" t="s">
        <v>9100</v>
      </c>
      <c r="I1032" s="6" t="n">
        <v>57</v>
      </c>
      <c r="J1032" s="6" t="s">
        <v>9101</v>
      </c>
      <c r="K1032" s="6" t="n">
        <v>49</v>
      </c>
      <c r="L1032" s="6" t="s">
        <v>9102</v>
      </c>
      <c r="M1032" s="6" t="n">
        <v>9</v>
      </c>
      <c r="N1032" s="6" t="s">
        <v>9103</v>
      </c>
      <c r="O1032" s="6" t="n">
        <v>7</v>
      </c>
      <c r="P1032" s="6" t="s">
        <v>9104</v>
      </c>
      <c r="Q1032" s="6" t="n">
        <v>5</v>
      </c>
      <c r="R1032" s="6" t="s">
        <v>9105</v>
      </c>
      <c r="S1032" s="6" t="n">
        <v>4</v>
      </c>
      <c r="T1032" s="6" t="s">
        <v>9106</v>
      </c>
      <c r="U1032" s="6" t="n">
        <v>3</v>
      </c>
      <c r="V1032" s="6" t="s">
        <v>9107</v>
      </c>
      <c r="W1032" s="6" t="n">
        <v>2</v>
      </c>
      <c r="X1032" s="6" t="s">
        <v>9108</v>
      </c>
      <c r="Y1032" s="6" t="n">
        <v>2</v>
      </c>
      <c r="Z1032" s="6" t="s">
        <v>9109</v>
      </c>
      <c r="AA1032" s="6" t="n">
        <v>2</v>
      </c>
      <c r="AB1032" s="6" t="s">
        <v>9110</v>
      </c>
      <c r="AC1032" s="6" t="n">
        <v>1</v>
      </c>
      <c r="AD1032" s="6" t="s">
        <v>9111</v>
      </c>
      <c r="AE1032" s="6" t="n">
        <v>1</v>
      </c>
      <c r="AF1032" s="6" t="s">
        <v>9112</v>
      </c>
      <c r="AG1032" s="6" t="n">
        <v>1</v>
      </c>
      <c r="AH1032" s="6" t="s">
        <v>9113</v>
      </c>
      <c r="AI1032" s="6" t="n">
        <v>0</v>
      </c>
      <c r="AJ1032" s="6" t="s">
        <v>9114</v>
      </c>
      <c r="AK1032" s="6" t="n">
        <v>0</v>
      </c>
      <c r="AL1032" s="6" t="s">
        <v>9115</v>
      </c>
      <c r="AM1032" s="6" t="n">
        <v>0</v>
      </c>
      <c r="AN1032" s="6" t="s">
        <v>9116</v>
      </c>
      <c r="AO1032" s="6" t="n">
        <v>0</v>
      </c>
      <c r="AP1032" s="6" t="s">
        <v>9117</v>
      </c>
      <c r="AQ1032" s="6" t="n">
        <v>0</v>
      </c>
      <c r="AR1032" s="6" t="s">
        <v>9118</v>
      </c>
      <c r="AS1032" s="6" t="n">
        <v>0</v>
      </c>
    </row>
    <row r="1033" customFormat="false" ht="12.8" hidden="false" customHeight="false" outlineLevel="0" collapsed="false">
      <c r="A1033" s="6" t="s">
        <v>9119</v>
      </c>
      <c r="B1033" s="6" t="n">
        <v>1159</v>
      </c>
      <c r="C1033" s="6" t="n">
        <v>537</v>
      </c>
      <c r="D1033" s="12" t="n">
        <f aca="false">C1033/(B1033+C1033)*100</f>
        <v>31.6627358490566</v>
      </c>
      <c r="E1033" s="6" t="n">
        <v>16</v>
      </c>
      <c r="F1033" s="6" t="s">
        <v>9120</v>
      </c>
      <c r="G1033" s="6" t="n">
        <v>147</v>
      </c>
      <c r="H1033" s="6" t="s">
        <v>9121</v>
      </c>
      <c r="I1033" s="6" t="n">
        <v>107</v>
      </c>
      <c r="J1033" s="6" t="s">
        <v>9122</v>
      </c>
      <c r="K1033" s="6" t="n">
        <v>93</v>
      </c>
      <c r="L1033" s="6" t="s">
        <v>9123</v>
      </c>
      <c r="M1033" s="6" t="n">
        <v>93</v>
      </c>
      <c r="N1033" s="6" t="s">
        <v>9124</v>
      </c>
      <c r="O1033" s="6" t="n">
        <v>42</v>
      </c>
      <c r="P1033" s="6" t="s">
        <v>9125</v>
      </c>
      <c r="Q1033" s="6" t="n">
        <v>22</v>
      </c>
      <c r="R1033" s="6" t="s">
        <v>9126</v>
      </c>
      <c r="S1033" s="6" t="n">
        <v>18</v>
      </c>
      <c r="T1033" s="6" t="s">
        <v>9127</v>
      </c>
      <c r="U1033" s="6" t="n">
        <v>8</v>
      </c>
      <c r="V1033" s="6" t="s">
        <v>9128</v>
      </c>
      <c r="W1033" s="6" t="n">
        <v>3</v>
      </c>
      <c r="X1033" s="6" t="s">
        <v>9129</v>
      </c>
      <c r="Y1033" s="6" t="n">
        <v>2</v>
      </c>
      <c r="Z1033" s="6" t="s">
        <v>9130</v>
      </c>
      <c r="AA1033" s="6" t="n">
        <v>1</v>
      </c>
      <c r="AB1033" s="6" t="s">
        <v>9131</v>
      </c>
      <c r="AC1033" s="6" t="n">
        <v>1</v>
      </c>
      <c r="AD1033" s="6" t="s">
        <v>9132</v>
      </c>
      <c r="AE1033" s="6" t="n">
        <v>0</v>
      </c>
      <c r="AF1033" s="6" t="s">
        <v>9133</v>
      </c>
      <c r="AG1033" s="6" t="n">
        <v>0</v>
      </c>
      <c r="AH1033" s="6" t="s">
        <v>9134</v>
      </c>
      <c r="AI1033" s="6" t="n">
        <v>0</v>
      </c>
      <c r="AJ1033" s="6" t="s">
        <v>9135</v>
      </c>
      <c r="AK1033" s="6" t="n">
        <v>0</v>
      </c>
    </row>
    <row r="1034" customFormat="false" ht="12.8" hidden="false" customHeight="false" outlineLevel="0" collapsed="false">
      <c r="A1034" s="6" t="s">
        <v>9136</v>
      </c>
      <c r="B1034" s="6" t="n">
        <v>1161</v>
      </c>
      <c r="C1034" s="6" t="n">
        <v>1694</v>
      </c>
      <c r="D1034" s="12" t="n">
        <f aca="false">C1034/(B1034+C1034)*100</f>
        <v>59.3345008756567</v>
      </c>
      <c r="E1034" s="6" t="n">
        <v>18</v>
      </c>
      <c r="F1034" s="6" t="s">
        <v>9137</v>
      </c>
      <c r="G1034" s="6" t="n">
        <v>546</v>
      </c>
      <c r="H1034" s="6" t="s">
        <v>9137</v>
      </c>
      <c r="I1034" s="6" t="n">
        <v>546</v>
      </c>
      <c r="J1034" s="6" t="s">
        <v>9138</v>
      </c>
      <c r="K1034" s="6" t="n">
        <v>285</v>
      </c>
      <c r="L1034" s="6" t="s">
        <v>9138</v>
      </c>
      <c r="M1034" s="6" t="n">
        <v>285</v>
      </c>
      <c r="N1034" s="6" t="s">
        <v>9139</v>
      </c>
      <c r="O1034" s="6" t="n">
        <v>18</v>
      </c>
      <c r="P1034" s="6" t="s">
        <v>9140</v>
      </c>
      <c r="Q1034" s="6" t="n">
        <v>4</v>
      </c>
      <c r="R1034" s="6" t="s">
        <v>9141</v>
      </c>
      <c r="S1034" s="6" t="n">
        <v>4</v>
      </c>
      <c r="T1034" s="6" t="s">
        <v>9142</v>
      </c>
      <c r="U1034" s="6" t="n">
        <v>2</v>
      </c>
      <c r="V1034" s="6" t="s">
        <v>9143</v>
      </c>
      <c r="W1034" s="6" t="n">
        <v>2</v>
      </c>
      <c r="X1034" s="6" t="s">
        <v>9144</v>
      </c>
      <c r="Y1034" s="6" t="n">
        <v>1</v>
      </c>
      <c r="Z1034" s="6" t="s">
        <v>9145</v>
      </c>
      <c r="AA1034" s="6" t="n">
        <v>1</v>
      </c>
      <c r="AB1034" s="6" t="s">
        <v>9146</v>
      </c>
      <c r="AC1034" s="6" t="n">
        <v>0</v>
      </c>
      <c r="AD1034" s="6" t="s">
        <v>9147</v>
      </c>
      <c r="AE1034" s="6" t="n">
        <v>0</v>
      </c>
      <c r="AF1034" s="6" t="s">
        <v>9146</v>
      </c>
      <c r="AG1034" s="6" t="n">
        <v>0</v>
      </c>
      <c r="AH1034" s="6" t="s">
        <v>9148</v>
      </c>
      <c r="AI1034" s="6" t="n">
        <v>0</v>
      </c>
      <c r="AJ1034" s="6" t="s">
        <v>9149</v>
      </c>
      <c r="AK1034" s="6" t="n">
        <v>0</v>
      </c>
      <c r="AL1034" s="6" t="s">
        <v>9150</v>
      </c>
      <c r="AM1034" s="6" t="n">
        <v>0</v>
      </c>
      <c r="AN1034" s="6" t="s">
        <v>9151</v>
      </c>
      <c r="AO1034" s="6" t="n">
        <v>0</v>
      </c>
    </row>
    <row r="1035" customFormat="false" ht="12.8" hidden="false" customHeight="false" outlineLevel="0" collapsed="false">
      <c r="A1035" s="6" t="s">
        <v>9152</v>
      </c>
      <c r="B1035" s="6" t="n">
        <v>1183</v>
      </c>
      <c r="C1035" s="6" t="n">
        <v>133</v>
      </c>
      <c r="D1035" s="12" t="n">
        <f aca="false">C1035/(B1035+C1035)*100</f>
        <v>10.1063829787234</v>
      </c>
      <c r="E1035" s="6" t="n">
        <v>11</v>
      </c>
      <c r="F1035" s="6" t="s">
        <v>9153</v>
      </c>
      <c r="G1035" s="6" t="n">
        <v>69</v>
      </c>
      <c r="H1035" s="6" t="s">
        <v>9154</v>
      </c>
      <c r="I1035" s="6" t="n">
        <v>27</v>
      </c>
      <c r="J1035" s="6" t="s">
        <v>9155</v>
      </c>
      <c r="K1035" s="6" t="n">
        <v>13</v>
      </c>
      <c r="L1035" s="6" t="s">
        <v>9156</v>
      </c>
      <c r="M1035" s="6" t="n">
        <v>11</v>
      </c>
      <c r="N1035" s="6" t="s">
        <v>9157</v>
      </c>
      <c r="O1035" s="6" t="n">
        <v>5</v>
      </c>
      <c r="P1035" s="6" t="s">
        <v>9158</v>
      </c>
      <c r="Q1035" s="6" t="n">
        <v>3</v>
      </c>
      <c r="R1035" s="6" t="s">
        <v>9159</v>
      </c>
      <c r="S1035" s="6" t="n">
        <v>2</v>
      </c>
      <c r="T1035" s="6" t="s">
        <v>9160</v>
      </c>
      <c r="U1035" s="6" t="n">
        <v>2</v>
      </c>
      <c r="V1035" s="6" t="s">
        <v>9161</v>
      </c>
      <c r="W1035" s="6" t="n">
        <v>1</v>
      </c>
      <c r="X1035" s="6" t="s">
        <v>9162</v>
      </c>
      <c r="Y1035" s="6" t="n">
        <v>0</v>
      </c>
      <c r="Z1035" s="6" t="s">
        <v>9163</v>
      </c>
      <c r="AA1035" s="6" t="n">
        <v>0</v>
      </c>
    </row>
    <row r="1036" customFormat="false" ht="12.8" hidden="false" customHeight="false" outlineLevel="0" collapsed="false">
      <c r="A1036" s="6" t="s">
        <v>9164</v>
      </c>
      <c r="B1036" s="6" t="n">
        <v>1249</v>
      </c>
      <c r="C1036" s="6" t="n">
        <v>652</v>
      </c>
      <c r="D1036" s="12" t="n">
        <f aca="false">C1036/(B1036+C1036)*100</f>
        <v>34.2977380326144</v>
      </c>
      <c r="E1036" s="6" t="n">
        <v>19</v>
      </c>
      <c r="F1036" s="6" t="s">
        <v>9165</v>
      </c>
      <c r="G1036" s="6" t="n">
        <v>268</v>
      </c>
      <c r="H1036" s="6" t="s">
        <v>9166</v>
      </c>
      <c r="I1036" s="6" t="n">
        <v>218</v>
      </c>
      <c r="J1036" s="6" t="s">
        <v>9167</v>
      </c>
      <c r="K1036" s="6" t="n">
        <v>59</v>
      </c>
      <c r="L1036" s="6" t="s">
        <v>9168</v>
      </c>
      <c r="M1036" s="6" t="n">
        <v>57</v>
      </c>
      <c r="N1036" s="6" t="s">
        <v>9169</v>
      </c>
      <c r="O1036" s="6" t="n">
        <v>19</v>
      </c>
      <c r="P1036" s="6" t="s">
        <v>9170</v>
      </c>
      <c r="Q1036" s="6" t="n">
        <v>10</v>
      </c>
      <c r="R1036" s="6" t="s">
        <v>9171</v>
      </c>
      <c r="S1036" s="6" t="n">
        <v>6</v>
      </c>
      <c r="T1036" s="6" t="s">
        <v>9172</v>
      </c>
      <c r="U1036" s="6" t="n">
        <v>5</v>
      </c>
      <c r="V1036" s="6" t="s">
        <v>9173</v>
      </c>
      <c r="W1036" s="6" t="n">
        <v>2</v>
      </c>
      <c r="X1036" s="6" t="s">
        <v>9174</v>
      </c>
      <c r="Y1036" s="6" t="n">
        <v>2</v>
      </c>
      <c r="Z1036" s="6" t="s">
        <v>9175</v>
      </c>
      <c r="AA1036" s="6" t="n">
        <v>2</v>
      </c>
      <c r="AB1036" s="6" t="s">
        <v>9176</v>
      </c>
      <c r="AC1036" s="6" t="n">
        <v>1</v>
      </c>
      <c r="AD1036" s="6" t="s">
        <v>9177</v>
      </c>
      <c r="AE1036" s="6" t="n">
        <v>1</v>
      </c>
      <c r="AF1036" s="6" t="s">
        <v>9178</v>
      </c>
      <c r="AG1036" s="6" t="n">
        <v>1</v>
      </c>
      <c r="AH1036" s="6" t="s">
        <v>9179</v>
      </c>
      <c r="AI1036" s="6" t="n">
        <v>1</v>
      </c>
      <c r="AJ1036" s="6" t="s">
        <v>9180</v>
      </c>
      <c r="AK1036" s="6" t="n">
        <v>0</v>
      </c>
      <c r="AL1036" s="6" t="s">
        <v>9181</v>
      </c>
      <c r="AM1036" s="6" t="n">
        <v>0</v>
      </c>
      <c r="AN1036" s="6" t="s">
        <v>9182</v>
      </c>
      <c r="AO1036" s="6" t="n">
        <v>0</v>
      </c>
      <c r="AP1036" s="6" t="s">
        <v>9183</v>
      </c>
      <c r="AQ1036" s="6" t="n">
        <v>0</v>
      </c>
    </row>
    <row r="1037" customFormat="false" ht="12.8" hidden="false" customHeight="false" outlineLevel="0" collapsed="false">
      <c r="A1037" s="6" t="s">
        <v>9184</v>
      </c>
      <c r="B1037" s="6" t="n">
        <v>1254</v>
      </c>
      <c r="C1037" s="6" t="n">
        <v>102</v>
      </c>
      <c r="D1037" s="12" t="n">
        <f aca="false">C1037/(B1037+C1037)*100</f>
        <v>7.52212389380531</v>
      </c>
      <c r="E1037" s="6" t="n">
        <v>9</v>
      </c>
      <c r="F1037" s="6" t="s">
        <v>9185</v>
      </c>
      <c r="G1037" s="6" t="n">
        <v>44</v>
      </c>
      <c r="H1037" s="6" t="s">
        <v>9186</v>
      </c>
      <c r="I1037" s="6" t="n">
        <v>33</v>
      </c>
      <c r="J1037" s="6" t="s">
        <v>9187</v>
      </c>
      <c r="K1037" s="6" t="n">
        <v>10</v>
      </c>
      <c r="L1037" s="6" t="s">
        <v>9188</v>
      </c>
      <c r="M1037" s="6" t="n">
        <v>5</v>
      </c>
      <c r="N1037" s="6" t="s">
        <v>9189</v>
      </c>
      <c r="O1037" s="6" t="n">
        <v>3</v>
      </c>
      <c r="P1037" s="6" t="s">
        <v>9190</v>
      </c>
      <c r="Q1037" s="6" t="n">
        <v>3</v>
      </c>
      <c r="R1037" s="6" t="s">
        <v>9191</v>
      </c>
      <c r="S1037" s="6" t="n">
        <v>2</v>
      </c>
      <c r="T1037" s="6" t="s">
        <v>9192</v>
      </c>
      <c r="U1037" s="6" t="n">
        <v>1</v>
      </c>
      <c r="V1037" s="6" t="s">
        <v>9193</v>
      </c>
      <c r="W1037" s="6" t="n">
        <v>1</v>
      </c>
    </row>
    <row r="1038" customFormat="false" ht="12.8" hidden="false" customHeight="false" outlineLevel="0" collapsed="false">
      <c r="A1038" s="6" t="s">
        <v>9194</v>
      </c>
      <c r="B1038" s="6" t="n">
        <v>1262</v>
      </c>
      <c r="C1038" s="6" t="n">
        <v>35</v>
      </c>
      <c r="D1038" s="12" t="n">
        <f aca="false">C1038/(B1038+C1038)*100</f>
        <v>2.69853508095605</v>
      </c>
      <c r="E1038" s="6" t="n">
        <v>5</v>
      </c>
      <c r="F1038" s="6" t="s">
        <v>9195</v>
      </c>
      <c r="G1038" s="6" t="n">
        <v>16</v>
      </c>
      <c r="H1038" s="6" t="s">
        <v>9196</v>
      </c>
      <c r="I1038" s="6" t="n">
        <v>10</v>
      </c>
      <c r="J1038" s="6" t="s">
        <v>9197</v>
      </c>
      <c r="K1038" s="6" t="n">
        <v>6</v>
      </c>
      <c r="L1038" s="6" t="s">
        <v>9198</v>
      </c>
      <c r="M1038" s="6" t="n">
        <v>3</v>
      </c>
      <c r="N1038" s="6" t="s">
        <v>9199</v>
      </c>
      <c r="O1038" s="6" t="n">
        <v>0</v>
      </c>
    </row>
    <row r="1039" customFormat="false" ht="12.8" hidden="false" customHeight="false" outlineLevel="0" collapsed="false">
      <c r="A1039" s="6" t="s">
        <v>9200</v>
      </c>
      <c r="B1039" s="6" t="n">
        <v>1271</v>
      </c>
      <c r="C1039" s="6" t="n">
        <v>636</v>
      </c>
      <c r="D1039" s="12" t="n">
        <f aca="false">C1039/(B1039+C1039)*100</f>
        <v>33.3508127949659</v>
      </c>
      <c r="E1039" s="6" t="n">
        <v>19</v>
      </c>
      <c r="F1039" s="6" t="s">
        <v>9201</v>
      </c>
      <c r="G1039" s="6" t="n">
        <v>380</v>
      </c>
      <c r="H1039" s="6" t="s">
        <v>9202</v>
      </c>
      <c r="I1039" s="6" t="n">
        <v>97</v>
      </c>
      <c r="J1039" s="6" t="s">
        <v>9203</v>
      </c>
      <c r="K1039" s="6" t="n">
        <v>73</v>
      </c>
      <c r="L1039" s="6" t="s">
        <v>9204</v>
      </c>
      <c r="M1039" s="6" t="n">
        <v>40</v>
      </c>
      <c r="N1039" s="6" t="s">
        <v>9205</v>
      </c>
      <c r="O1039" s="6" t="n">
        <v>17</v>
      </c>
      <c r="P1039" s="6" t="s">
        <v>9206</v>
      </c>
      <c r="Q1039" s="6" t="n">
        <v>5</v>
      </c>
      <c r="R1039" s="6" t="s">
        <v>9207</v>
      </c>
      <c r="S1039" s="6" t="n">
        <v>5</v>
      </c>
      <c r="T1039" s="6" t="s">
        <v>9208</v>
      </c>
      <c r="U1039" s="6" t="n">
        <v>3</v>
      </c>
      <c r="V1039" s="6" t="s">
        <v>9209</v>
      </c>
      <c r="W1039" s="6" t="n">
        <v>3</v>
      </c>
      <c r="X1039" s="6" t="s">
        <v>9210</v>
      </c>
      <c r="Y1039" s="6" t="n">
        <v>3</v>
      </c>
      <c r="Z1039" s="6" t="s">
        <v>9211</v>
      </c>
      <c r="AA1039" s="6" t="n">
        <v>2</v>
      </c>
      <c r="AB1039" s="6" t="s">
        <v>9212</v>
      </c>
      <c r="AC1039" s="6" t="n">
        <v>2</v>
      </c>
      <c r="AD1039" s="6" t="s">
        <v>9213</v>
      </c>
      <c r="AE1039" s="6" t="n">
        <v>2</v>
      </c>
      <c r="AF1039" s="6" t="s">
        <v>9214</v>
      </c>
      <c r="AG1039" s="6" t="n">
        <v>1</v>
      </c>
      <c r="AH1039" s="6" t="s">
        <v>9215</v>
      </c>
      <c r="AI1039" s="6" t="n">
        <v>1</v>
      </c>
      <c r="AJ1039" s="6" t="s">
        <v>9216</v>
      </c>
      <c r="AK1039" s="6" t="n">
        <v>1</v>
      </c>
      <c r="AL1039" s="6" t="s">
        <v>9217</v>
      </c>
      <c r="AM1039" s="6" t="n">
        <v>1</v>
      </c>
      <c r="AN1039" s="6" t="s">
        <v>9218</v>
      </c>
      <c r="AO1039" s="6" t="n">
        <v>0</v>
      </c>
      <c r="AP1039" s="6" t="s">
        <v>9219</v>
      </c>
      <c r="AQ1039" s="6" t="n">
        <v>0</v>
      </c>
    </row>
    <row r="1040" customFormat="false" ht="14.4" hidden="false" customHeight="false" outlineLevel="0" collapsed="false">
      <c r="A1040" s="6" t="s">
        <v>9220</v>
      </c>
      <c r="B1040" s="6" t="n">
        <v>1295</v>
      </c>
      <c r="C1040" s="6" t="n">
        <v>33</v>
      </c>
      <c r="D1040" s="12" t="n">
        <f aca="false">C1040/(B1040+C1040)*100</f>
        <v>2.48493975903614</v>
      </c>
      <c r="E1040" s="6" t="n">
        <v>6</v>
      </c>
      <c r="F1040" s="6" t="s">
        <v>9221</v>
      </c>
      <c r="G1040" s="6" t="n">
        <v>12</v>
      </c>
      <c r="H1040" s="6" t="s">
        <v>9222</v>
      </c>
      <c r="I1040" s="6" t="n">
        <v>11</v>
      </c>
      <c r="J1040" s="6" t="s">
        <v>9223</v>
      </c>
      <c r="K1040" s="6" t="n">
        <v>4</v>
      </c>
      <c r="L1040" s="6" t="s">
        <v>9224</v>
      </c>
      <c r="M1040" s="6" t="n">
        <v>4</v>
      </c>
      <c r="N1040" s="6" t="s">
        <v>9225</v>
      </c>
      <c r="O1040" s="6" t="n">
        <v>1</v>
      </c>
      <c r="P1040" s="6" t="s">
        <v>9226</v>
      </c>
      <c r="Q1040" s="6" t="n">
        <v>1</v>
      </c>
    </row>
    <row r="1041" customFormat="false" ht="12.8" hidden="false" customHeight="false" outlineLevel="0" collapsed="false">
      <c r="A1041" s="6" t="s">
        <v>9227</v>
      </c>
      <c r="B1041" s="6" t="n">
        <v>1308</v>
      </c>
      <c r="C1041" s="6" t="n">
        <v>371</v>
      </c>
      <c r="D1041" s="12" t="n">
        <f aca="false">C1041/(B1041+C1041)*100</f>
        <v>22.0964860035736</v>
      </c>
      <c r="E1041" s="6" t="n">
        <v>23</v>
      </c>
      <c r="F1041" s="6" t="s">
        <v>9228</v>
      </c>
      <c r="G1041" s="6" t="n">
        <v>241</v>
      </c>
      <c r="H1041" s="6" t="s">
        <v>9229</v>
      </c>
      <c r="I1041" s="6" t="n">
        <v>63</v>
      </c>
      <c r="J1041" s="6" t="s">
        <v>9230</v>
      </c>
      <c r="K1041" s="6" t="n">
        <v>16</v>
      </c>
      <c r="L1041" s="6" t="s">
        <v>9231</v>
      </c>
      <c r="M1041" s="6" t="n">
        <v>9</v>
      </c>
      <c r="N1041" s="6" t="s">
        <v>9232</v>
      </c>
      <c r="O1041" s="6" t="n">
        <v>9</v>
      </c>
      <c r="P1041" s="6" t="s">
        <v>9233</v>
      </c>
      <c r="Q1041" s="6" t="n">
        <v>7</v>
      </c>
      <c r="R1041" s="6" t="s">
        <v>9234</v>
      </c>
      <c r="S1041" s="6" t="n">
        <v>6</v>
      </c>
      <c r="T1041" s="6" t="s">
        <v>9235</v>
      </c>
      <c r="U1041" s="6" t="n">
        <v>4</v>
      </c>
      <c r="V1041" s="6" t="s">
        <v>9236</v>
      </c>
      <c r="W1041" s="6" t="n">
        <v>4</v>
      </c>
      <c r="X1041" s="6" t="s">
        <v>9237</v>
      </c>
      <c r="Y1041" s="6" t="n">
        <v>3</v>
      </c>
      <c r="Z1041" s="6" t="s">
        <v>9238</v>
      </c>
      <c r="AA1041" s="6" t="n">
        <v>3</v>
      </c>
      <c r="AB1041" s="6" t="s">
        <v>9239</v>
      </c>
      <c r="AC1041" s="6" t="n">
        <v>2</v>
      </c>
      <c r="AD1041" s="6" t="s">
        <v>9240</v>
      </c>
      <c r="AE1041" s="6" t="n">
        <v>1</v>
      </c>
      <c r="AF1041" s="6" t="s">
        <v>9241</v>
      </c>
      <c r="AG1041" s="6" t="n">
        <v>1</v>
      </c>
      <c r="AH1041" s="6" t="s">
        <v>9242</v>
      </c>
      <c r="AI1041" s="6" t="n">
        <v>1</v>
      </c>
      <c r="AJ1041" s="6" t="s">
        <v>9243</v>
      </c>
      <c r="AK1041" s="6" t="n">
        <v>1</v>
      </c>
      <c r="AL1041" s="6" t="s">
        <v>9244</v>
      </c>
      <c r="AM1041" s="6" t="n">
        <v>0</v>
      </c>
      <c r="AN1041" s="6" t="s">
        <v>9245</v>
      </c>
      <c r="AO1041" s="6" t="n">
        <v>0</v>
      </c>
      <c r="AP1041" s="6" t="s">
        <v>9246</v>
      </c>
      <c r="AQ1041" s="6" t="n">
        <v>0</v>
      </c>
      <c r="AR1041" s="6" t="s">
        <v>9247</v>
      </c>
      <c r="AS1041" s="6" t="n">
        <v>0</v>
      </c>
      <c r="AT1041" s="6" t="s">
        <v>9248</v>
      </c>
      <c r="AU1041" s="6" t="n">
        <v>0</v>
      </c>
      <c r="AV1041" s="6" t="s">
        <v>9249</v>
      </c>
      <c r="AW1041" s="6" t="n">
        <v>0</v>
      </c>
      <c r="AX1041" s="6" t="s">
        <v>9250</v>
      </c>
      <c r="AY1041" s="6" t="n">
        <v>0</v>
      </c>
    </row>
    <row r="1042" customFormat="false" ht="12.8" hidden="false" customHeight="false" outlineLevel="0" collapsed="false">
      <c r="A1042" s="6" t="s">
        <v>9251</v>
      </c>
      <c r="B1042" s="6" t="n">
        <v>1320</v>
      </c>
      <c r="C1042" s="6" t="n">
        <v>65</v>
      </c>
      <c r="D1042" s="12" t="n">
        <f aca="false">C1042/(B1042+C1042)*100</f>
        <v>4.69314079422383</v>
      </c>
      <c r="E1042" s="6" t="n">
        <v>16</v>
      </c>
      <c r="F1042" s="6" t="s">
        <v>9252</v>
      </c>
      <c r="G1042" s="6" t="n">
        <v>33</v>
      </c>
      <c r="H1042" s="6" t="s">
        <v>9253</v>
      </c>
      <c r="I1042" s="6" t="n">
        <v>13</v>
      </c>
      <c r="J1042" s="6" t="s">
        <v>9254</v>
      </c>
      <c r="K1042" s="6" t="n">
        <v>5</v>
      </c>
      <c r="L1042" s="6" t="s">
        <v>9255</v>
      </c>
      <c r="M1042" s="6" t="n">
        <v>4</v>
      </c>
      <c r="N1042" s="6" t="s">
        <v>9256</v>
      </c>
      <c r="O1042" s="6" t="n">
        <v>2</v>
      </c>
      <c r="P1042" s="6" t="s">
        <v>9257</v>
      </c>
      <c r="Q1042" s="6" t="n">
        <v>2</v>
      </c>
      <c r="R1042" s="6" t="s">
        <v>9258</v>
      </c>
      <c r="S1042" s="6" t="n">
        <v>2</v>
      </c>
      <c r="T1042" s="6" t="s">
        <v>9259</v>
      </c>
      <c r="U1042" s="6" t="n">
        <v>1</v>
      </c>
      <c r="V1042" s="6" t="s">
        <v>9260</v>
      </c>
      <c r="W1042" s="6" t="n">
        <v>1</v>
      </c>
      <c r="X1042" s="6" t="s">
        <v>9261</v>
      </c>
      <c r="Y1042" s="6" t="n">
        <v>1</v>
      </c>
      <c r="Z1042" s="6" t="s">
        <v>9262</v>
      </c>
      <c r="AA1042" s="6" t="n">
        <v>1</v>
      </c>
      <c r="AB1042" s="6" t="s">
        <v>9263</v>
      </c>
      <c r="AC1042" s="6" t="n">
        <v>0</v>
      </c>
      <c r="AD1042" s="6" t="s">
        <v>9264</v>
      </c>
      <c r="AE1042" s="6" t="n">
        <v>0</v>
      </c>
      <c r="AF1042" s="6" t="s">
        <v>9265</v>
      </c>
      <c r="AG1042" s="6" t="n">
        <v>0</v>
      </c>
      <c r="AH1042" s="6" t="s">
        <v>9266</v>
      </c>
      <c r="AI1042" s="6" t="n">
        <v>0</v>
      </c>
      <c r="AJ1042" s="6" t="s">
        <v>9267</v>
      </c>
      <c r="AK1042" s="6" t="n">
        <v>0</v>
      </c>
    </row>
    <row r="1043" customFormat="false" ht="12.8" hidden="false" customHeight="false" outlineLevel="0" collapsed="false">
      <c r="A1043" s="6" t="s">
        <v>9268</v>
      </c>
      <c r="B1043" s="6" t="n">
        <v>1325</v>
      </c>
      <c r="C1043" s="6" t="n">
        <v>846</v>
      </c>
      <c r="D1043" s="12" t="n">
        <f aca="false">C1043/(B1043+C1043)*100</f>
        <v>38.9682174113312</v>
      </c>
      <c r="E1043" s="6" t="n">
        <v>20</v>
      </c>
      <c r="F1043" s="6" t="s">
        <v>9269</v>
      </c>
      <c r="G1043" s="6" t="n">
        <v>264</v>
      </c>
      <c r="H1043" s="6" t="s">
        <v>9270</v>
      </c>
      <c r="I1043" s="6" t="n">
        <v>172</v>
      </c>
      <c r="J1043" s="6" t="s">
        <v>9271</v>
      </c>
      <c r="K1043" s="6" t="n">
        <v>108</v>
      </c>
      <c r="L1043" s="6" t="s">
        <v>9272</v>
      </c>
      <c r="M1043" s="6" t="n">
        <v>99</v>
      </c>
      <c r="N1043" s="6" t="s">
        <v>9273</v>
      </c>
      <c r="O1043" s="6" t="n">
        <v>75</v>
      </c>
      <c r="P1043" s="6" t="s">
        <v>9274</v>
      </c>
      <c r="Q1043" s="6" t="n">
        <v>41</v>
      </c>
      <c r="R1043" s="6" t="s">
        <v>9275</v>
      </c>
      <c r="S1043" s="6" t="n">
        <v>21</v>
      </c>
      <c r="T1043" s="6" t="s">
        <v>9276</v>
      </c>
      <c r="U1043" s="6" t="n">
        <v>18</v>
      </c>
      <c r="V1043" s="6" t="s">
        <v>9277</v>
      </c>
      <c r="W1043" s="6" t="n">
        <v>15</v>
      </c>
      <c r="X1043" s="6" t="s">
        <v>9278</v>
      </c>
      <c r="Y1043" s="6" t="n">
        <v>7</v>
      </c>
      <c r="Z1043" s="6" t="s">
        <v>9279</v>
      </c>
      <c r="AA1043" s="6" t="n">
        <v>6</v>
      </c>
      <c r="AB1043" s="6" t="s">
        <v>9280</v>
      </c>
      <c r="AC1043" s="6" t="n">
        <v>5</v>
      </c>
      <c r="AD1043" s="6" t="s">
        <v>9281</v>
      </c>
      <c r="AE1043" s="6" t="n">
        <v>5</v>
      </c>
      <c r="AF1043" s="6" t="s">
        <v>9282</v>
      </c>
      <c r="AG1043" s="6" t="n">
        <v>3</v>
      </c>
      <c r="AH1043" s="6" t="s">
        <v>9283</v>
      </c>
      <c r="AI1043" s="6" t="n">
        <v>2</v>
      </c>
      <c r="AJ1043" s="6" t="s">
        <v>9284</v>
      </c>
      <c r="AK1043" s="6" t="n">
        <v>2</v>
      </c>
      <c r="AL1043" s="6" t="s">
        <v>9285</v>
      </c>
      <c r="AM1043" s="6" t="n">
        <v>1</v>
      </c>
      <c r="AN1043" s="6" t="s">
        <v>9286</v>
      </c>
      <c r="AO1043" s="6" t="n">
        <v>1</v>
      </c>
      <c r="AP1043" s="6" t="s">
        <v>9287</v>
      </c>
      <c r="AQ1043" s="6" t="n">
        <v>1</v>
      </c>
      <c r="AR1043" s="6" t="s">
        <v>9288</v>
      </c>
      <c r="AS1043" s="6" t="n">
        <v>0</v>
      </c>
    </row>
    <row r="1044" customFormat="false" ht="12.8" hidden="false" customHeight="false" outlineLevel="0" collapsed="false">
      <c r="A1044" s="6" t="s">
        <v>9289</v>
      </c>
      <c r="B1044" s="6" t="n">
        <v>1341</v>
      </c>
      <c r="C1044" s="6" t="n">
        <v>676</v>
      </c>
      <c r="D1044" s="12" t="n">
        <f aca="false">C1044/(B1044+C1044)*100</f>
        <v>33.515121467526</v>
      </c>
      <c r="E1044" s="6" t="n">
        <v>37</v>
      </c>
      <c r="F1044" s="6" t="s">
        <v>9290</v>
      </c>
      <c r="G1044" s="6" t="n">
        <v>156</v>
      </c>
      <c r="H1044" s="6" t="s">
        <v>9291</v>
      </c>
      <c r="I1044" s="6" t="n">
        <v>143</v>
      </c>
      <c r="J1044" s="6" t="s">
        <v>9292</v>
      </c>
      <c r="K1044" s="6" t="n">
        <v>84</v>
      </c>
      <c r="L1044" s="6" t="s">
        <v>9293</v>
      </c>
      <c r="M1044" s="6" t="n">
        <v>49</v>
      </c>
      <c r="N1044" s="6" t="s">
        <v>9294</v>
      </c>
      <c r="O1044" s="6" t="n">
        <v>32</v>
      </c>
      <c r="P1044" s="6" t="s">
        <v>9295</v>
      </c>
      <c r="Q1044" s="6" t="n">
        <v>25</v>
      </c>
      <c r="R1044" s="6" t="s">
        <v>9296</v>
      </c>
      <c r="S1044" s="6" t="n">
        <v>22</v>
      </c>
      <c r="T1044" s="6" t="s">
        <v>9297</v>
      </c>
      <c r="U1044" s="6" t="n">
        <v>22</v>
      </c>
      <c r="V1044" s="6" t="s">
        <v>9298</v>
      </c>
      <c r="W1044" s="6" t="n">
        <v>21</v>
      </c>
      <c r="X1044" s="6" t="s">
        <v>9299</v>
      </c>
      <c r="Y1044" s="6" t="n">
        <v>21</v>
      </c>
      <c r="Z1044" s="6" t="s">
        <v>9300</v>
      </c>
      <c r="AA1044" s="6" t="n">
        <v>16</v>
      </c>
      <c r="AB1044" s="6" t="s">
        <v>9301</v>
      </c>
      <c r="AC1044" s="6" t="n">
        <v>15</v>
      </c>
      <c r="AD1044" s="6" t="s">
        <v>9302</v>
      </c>
      <c r="AE1044" s="6" t="n">
        <v>13</v>
      </c>
      <c r="AF1044" s="6" t="s">
        <v>9303</v>
      </c>
      <c r="AG1044" s="6" t="n">
        <v>8</v>
      </c>
      <c r="AH1044" s="6" t="s">
        <v>9304</v>
      </c>
      <c r="AI1044" s="6" t="n">
        <v>8</v>
      </c>
      <c r="AJ1044" s="6" t="s">
        <v>9305</v>
      </c>
      <c r="AK1044" s="6" t="n">
        <v>7</v>
      </c>
      <c r="AL1044" s="6" t="s">
        <v>9306</v>
      </c>
      <c r="AM1044" s="6" t="n">
        <v>7</v>
      </c>
      <c r="AN1044" s="6" t="s">
        <v>9307</v>
      </c>
      <c r="AO1044" s="6" t="n">
        <v>5</v>
      </c>
      <c r="AP1044" s="6" t="s">
        <v>9308</v>
      </c>
      <c r="AQ1044" s="6" t="n">
        <v>4</v>
      </c>
      <c r="AR1044" s="6" t="s">
        <v>9309</v>
      </c>
      <c r="AS1044" s="6" t="n">
        <v>4</v>
      </c>
      <c r="AT1044" s="6" t="s">
        <v>9310</v>
      </c>
      <c r="AU1044" s="6" t="n">
        <v>3</v>
      </c>
      <c r="AV1044" s="6" t="s">
        <v>9311</v>
      </c>
      <c r="AW1044" s="6" t="n">
        <v>3</v>
      </c>
      <c r="AX1044" s="6" t="s">
        <v>9312</v>
      </c>
      <c r="AY1044" s="6" t="n">
        <v>2</v>
      </c>
      <c r="AZ1044" s="6" t="s">
        <v>9313</v>
      </c>
      <c r="BA1044" s="6" t="n">
        <v>1</v>
      </c>
      <c r="BB1044" s="6" t="s">
        <v>9314</v>
      </c>
      <c r="BC1044" s="6" t="n">
        <v>1</v>
      </c>
      <c r="BD1044" s="6" t="s">
        <v>9315</v>
      </c>
      <c r="BE1044" s="6" t="n">
        <v>1</v>
      </c>
      <c r="BF1044" s="6" t="s">
        <v>9316</v>
      </c>
      <c r="BG1044" s="6" t="n">
        <v>1</v>
      </c>
      <c r="BH1044" s="6" t="s">
        <v>9317</v>
      </c>
      <c r="BI1044" s="6" t="n">
        <v>1</v>
      </c>
      <c r="BJ1044" s="6" t="s">
        <v>9318</v>
      </c>
      <c r="BK1044" s="6" t="n">
        <v>1</v>
      </c>
      <c r="BL1044" s="6" t="s">
        <v>9319</v>
      </c>
      <c r="BM1044" s="6" t="n">
        <v>0</v>
      </c>
      <c r="BN1044" s="6" t="s">
        <v>9320</v>
      </c>
      <c r="BO1044" s="6" t="n">
        <v>0</v>
      </c>
      <c r="BP1044" s="6" t="s">
        <v>9321</v>
      </c>
      <c r="BQ1044" s="6" t="n">
        <v>0</v>
      </c>
      <c r="BR1044" s="6" t="s">
        <v>9322</v>
      </c>
      <c r="BS1044" s="6" t="n">
        <v>0</v>
      </c>
      <c r="BT1044" s="6" t="s">
        <v>9323</v>
      </c>
      <c r="BU1044" s="6" t="n">
        <v>0</v>
      </c>
      <c r="BV1044" s="6" t="s">
        <v>9324</v>
      </c>
      <c r="BW1044" s="6" t="n">
        <v>0</v>
      </c>
      <c r="BX1044" s="6" t="s">
        <v>9325</v>
      </c>
      <c r="BY1044" s="6" t="n">
        <v>0</v>
      </c>
      <c r="BZ1044" s="6" t="s">
        <v>9326</v>
      </c>
      <c r="CA1044" s="6" t="n">
        <v>0</v>
      </c>
    </row>
    <row r="1045" customFormat="false" ht="12.8" hidden="false" customHeight="false" outlineLevel="0" collapsed="false">
      <c r="A1045" s="6" t="s">
        <v>6287</v>
      </c>
      <c r="B1045" s="6" t="n">
        <v>1348</v>
      </c>
      <c r="C1045" s="6" t="n">
        <v>1299</v>
      </c>
      <c r="D1045" s="12" t="n">
        <f aca="false">C1045/(B1045+C1045)*100</f>
        <v>49.0744238760861</v>
      </c>
      <c r="E1045" s="6" t="n">
        <v>12</v>
      </c>
      <c r="F1045" s="6" t="s">
        <v>6288</v>
      </c>
      <c r="G1045" s="6" t="n">
        <v>873</v>
      </c>
      <c r="H1045" s="6" t="s">
        <v>9327</v>
      </c>
      <c r="I1045" s="6" t="n">
        <v>130</v>
      </c>
      <c r="J1045" s="6" t="s">
        <v>9328</v>
      </c>
      <c r="K1045" s="6" t="n">
        <v>107</v>
      </c>
      <c r="L1045" s="6" t="s">
        <v>9329</v>
      </c>
      <c r="M1045" s="6" t="n">
        <v>102</v>
      </c>
      <c r="N1045" s="6" t="s">
        <v>9330</v>
      </c>
      <c r="O1045" s="6" t="n">
        <v>34</v>
      </c>
      <c r="P1045" s="6" t="s">
        <v>9331</v>
      </c>
      <c r="Q1045" s="6" t="n">
        <v>21</v>
      </c>
      <c r="R1045" s="6" t="s">
        <v>9332</v>
      </c>
      <c r="S1045" s="6" t="n">
        <v>20</v>
      </c>
      <c r="T1045" s="6" t="s">
        <v>9333</v>
      </c>
      <c r="U1045" s="6" t="n">
        <v>6</v>
      </c>
      <c r="V1045" s="6" t="s">
        <v>9334</v>
      </c>
      <c r="W1045" s="6" t="n">
        <v>3</v>
      </c>
      <c r="X1045" s="6" t="s">
        <v>9335</v>
      </c>
      <c r="Y1045" s="6" t="n">
        <v>2</v>
      </c>
      <c r="Z1045" s="6" t="s">
        <v>9336</v>
      </c>
      <c r="AA1045" s="6" t="n">
        <v>1</v>
      </c>
      <c r="AB1045" s="6" t="s">
        <v>9337</v>
      </c>
      <c r="AC1045" s="6" t="n">
        <v>0</v>
      </c>
    </row>
    <row r="1046" customFormat="false" ht="12.8" hidden="false" customHeight="false" outlineLevel="0" collapsed="false">
      <c r="A1046" s="6" t="s">
        <v>9338</v>
      </c>
      <c r="B1046" s="6" t="n">
        <v>1349</v>
      </c>
      <c r="C1046" s="6" t="n">
        <v>989</v>
      </c>
      <c r="D1046" s="12" t="n">
        <f aca="false">C1046/(B1046+C1046)*100</f>
        <v>42.3011120615911</v>
      </c>
      <c r="E1046" s="6" t="n">
        <v>14</v>
      </c>
      <c r="F1046" s="6" t="s">
        <v>9339</v>
      </c>
      <c r="G1046" s="6" t="n">
        <v>695</v>
      </c>
      <c r="H1046" s="6" t="s">
        <v>9340</v>
      </c>
      <c r="I1046" s="6" t="n">
        <v>199</v>
      </c>
      <c r="J1046" s="6" t="s">
        <v>9341</v>
      </c>
      <c r="K1046" s="6" t="n">
        <v>60</v>
      </c>
      <c r="L1046" s="6" t="s">
        <v>9342</v>
      </c>
      <c r="M1046" s="6" t="n">
        <v>21</v>
      </c>
      <c r="N1046" s="6" t="s">
        <v>9343</v>
      </c>
      <c r="O1046" s="6" t="n">
        <v>4</v>
      </c>
      <c r="P1046" s="6" t="s">
        <v>9344</v>
      </c>
      <c r="Q1046" s="6" t="n">
        <v>2</v>
      </c>
      <c r="R1046" s="6" t="s">
        <v>9345</v>
      </c>
      <c r="S1046" s="6" t="n">
        <v>2</v>
      </c>
      <c r="T1046" s="6" t="s">
        <v>9346</v>
      </c>
      <c r="U1046" s="6" t="n">
        <v>2</v>
      </c>
      <c r="V1046" s="6" t="s">
        <v>9347</v>
      </c>
      <c r="W1046" s="6" t="n">
        <v>1</v>
      </c>
      <c r="X1046" s="6" t="s">
        <v>9348</v>
      </c>
      <c r="Y1046" s="6" t="n">
        <v>1</v>
      </c>
      <c r="Z1046" s="6" t="s">
        <v>9349</v>
      </c>
      <c r="AA1046" s="6" t="n">
        <v>1</v>
      </c>
      <c r="AB1046" s="6" t="s">
        <v>9350</v>
      </c>
      <c r="AC1046" s="6" t="n">
        <v>1</v>
      </c>
      <c r="AD1046" s="6" t="s">
        <v>9351</v>
      </c>
      <c r="AE1046" s="6" t="n">
        <v>0</v>
      </c>
      <c r="AF1046" s="6" t="s">
        <v>9352</v>
      </c>
      <c r="AG1046" s="6" t="n">
        <v>0</v>
      </c>
    </row>
    <row r="1047" customFormat="false" ht="12.8" hidden="false" customHeight="false" outlineLevel="0" collapsed="false">
      <c r="A1047" s="6" t="s">
        <v>9353</v>
      </c>
      <c r="B1047" s="6" t="n">
        <v>1374</v>
      </c>
      <c r="C1047" s="6" t="n">
        <v>688</v>
      </c>
      <c r="D1047" s="12" t="n">
        <f aca="false">C1047/(B1047+C1047)*100</f>
        <v>33.3656644034918</v>
      </c>
      <c r="E1047" s="6" t="n">
        <v>19</v>
      </c>
      <c r="F1047" s="6" t="s">
        <v>9354</v>
      </c>
      <c r="G1047" s="6" t="n">
        <v>286</v>
      </c>
      <c r="H1047" s="6" t="s">
        <v>9355</v>
      </c>
      <c r="I1047" s="6" t="n">
        <v>243</v>
      </c>
      <c r="J1047" s="6" t="s">
        <v>9356</v>
      </c>
      <c r="K1047" s="6" t="n">
        <v>75</v>
      </c>
      <c r="L1047" s="6" t="s">
        <v>9357</v>
      </c>
      <c r="M1047" s="6" t="n">
        <v>30</v>
      </c>
      <c r="N1047" s="6" t="s">
        <v>9358</v>
      </c>
      <c r="O1047" s="6" t="n">
        <v>15</v>
      </c>
      <c r="P1047" s="6" t="s">
        <v>9359</v>
      </c>
      <c r="Q1047" s="6" t="n">
        <v>11</v>
      </c>
      <c r="R1047" s="6" t="s">
        <v>9360</v>
      </c>
      <c r="S1047" s="6" t="n">
        <v>6</v>
      </c>
      <c r="T1047" s="6" t="s">
        <v>9361</v>
      </c>
      <c r="U1047" s="6" t="n">
        <v>5</v>
      </c>
      <c r="V1047" s="6" t="s">
        <v>9362</v>
      </c>
      <c r="W1047" s="6" t="n">
        <v>5</v>
      </c>
      <c r="X1047" s="6" t="s">
        <v>9363</v>
      </c>
      <c r="Y1047" s="6" t="n">
        <v>4</v>
      </c>
      <c r="Z1047" s="6" t="s">
        <v>9364</v>
      </c>
      <c r="AA1047" s="6" t="n">
        <v>2</v>
      </c>
      <c r="AB1047" s="6" t="s">
        <v>9365</v>
      </c>
      <c r="AC1047" s="6" t="n">
        <v>1</v>
      </c>
      <c r="AD1047" s="6" t="s">
        <v>9366</v>
      </c>
      <c r="AE1047" s="6" t="n">
        <v>1</v>
      </c>
      <c r="AF1047" s="6" t="s">
        <v>9367</v>
      </c>
      <c r="AG1047" s="6" t="n">
        <v>1</v>
      </c>
      <c r="AH1047" s="6" t="s">
        <v>9368</v>
      </c>
      <c r="AI1047" s="6" t="n">
        <v>1</v>
      </c>
      <c r="AJ1047" s="6" t="s">
        <v>9369</v>
      </c>
      <c r="AK1047" s="6" t="n">
        <v>1</v>
      </c>
      <c r="AL1047" s="6" t="s">
        <v>9370</v>
      </c>
      <c r="AM1047" s="6" t="n">
        <v>1</v>
      </c>
      <c r="AN1047" s="6" t="s">
        <v>9371</v>
      </c>
      <c r="AO1047" s="6" t="n">
        <v>0</v>
      </c>
      <c r="AP1047" s="6" t="s">
        <v>9372</v>
      </c>
      <c r="AQ1047" s="6" t="n">
        <v>0</v>
      </c>
    </row>
    <row r="1048" customFormat="false" ht="12.8" hidden="false" customHeight="false" outlineLevel="0" collapsed="false">
      <c r="A1048" s="6" t="s">
        <v>9373</v>
      </c>
      <c r="B1048" s="6" t="n">
        <v>1374</v>
      </c>
      <c r="C1048" s="6" t="n">
        <v>666</v>
      </c>
      <c r="D1048" s="12" t="n">
        <f aca="false">C1048/(B1048+C1048)*100</f>
        <v>32.6470588235294</v>
      </c>
      <c r="E1048" s="6" t="n">
        <v>18</v>
      </c>
      <c r="F1048" s="6" t="s">
        <v>9374</v>
      </c>
      <c r="G1048" s="6" t="n">
        <v>241</v>
      </c>
      <c r="H1048" s="6" t="s">
        <v>9375</v>
      </c>
      <c r="I1048" s="6" t="n">
        <v>174</v>
      </c>
      <c r="J1048" s="6" t="s">
        <v>9376</v>
      </c>
      <c r="K1048" s="6" t="n">
        <v>118</v>
      </c>
      <c r="L1048" s="6" t="s">
        <v>9377</v>
      </c>
      <c r="M1048" s="6" t="n">
        <v>93</v>
      </c>
      <c r="N1048" s="6" t="s">
        <v>9378</v>
      </c>
      <c r="O1048" s="6" t="n">
        <v>15</v>
      </c>
      <c r="P1048" s="6" t="s">
        <v>9379</v>
      </c>
      <c r="Q1048" s="6" t="n">
        <v>10</v>
      </c>
      <c r="R1048" s="6" t="s">
        <v>9380</v>
      </c>
      <c r="S1048" s="6" t="n">
        <v>4</v>
      </c>
      <c r="T1048" s="6" t="s">
        <v>9381</v>
      </c>
      <c r="U1048" s="6" t="n">
        <v>3</v>
      </c>
      <c r="V1048" s="6" t="s">
        <v>9382</v>
      </c>
      <c r="W1048" s="6" t="n">
        <v>2</v>
      </c>
      <c r="X1048" s="6" t="s">
        <v>9383</v>
      </c>
      <c r="Y1048" s="6" t="n">
        <v>2</v>
      </c>
      <c r="Z1048" s="6" t="s">
        <v>9384</v>
      </c>
      <c r="AA1048" s="6" t="n">
        <v>1</v>
      </c>
      <c r="AB1048" s="6" t="s">
        <v>9385</v>
      </c>
      <c r="AC1048" s="6" t="n">
        <v>1</v>
      </c>
      <c r="AD1048" s="6" t="s">
        <v>9386</v>
      </c>
      <c r="AE1048" s="6" t="n">
        <v>1</v>
      </c>
      <c r="AF1048" s="6" t="s">
        <v>9387</v>
      </c>
      <c r="AG1048" s="6" t="n">
        <v>1</v>
      </c>
      <c r="AH1048" s="6" t="s">
        <v>9388</v>
      </c>
      <c r="AI1048" s="6" t="n">
        <v>0</v>
      </c>
      <c r="AJ1048" s="6" t="s">
        <v>9389</v>
      </c>
      <c r="AK1048" s="6" t="n">
        <v>0</v>
      </c>
      <c r="AL1048" s="6" t="s">
        <v>9390</v>
      </c>
      <c r="AM1048" s="6" t="n">
        <v>0</v>
      </c>
      <c r="AN1048" s="6" t="s">
        <v>9391</v>
      </c>
      <c r="AO1048" s="6" t="n">
        <v>0</v>
      </c>
    </row>
    <row r="1049" customFormat="false" ht="12.8" hidden="false" customHeight="false" outlineLevel="0" collapsed="false">
      <c r="A1049" s="6" t="s">
        <v>9392</v>
      </c>
      <c r="B1049" s="6" t="n">
        <v>1393</v>
      </c>
      <c r="C1049" s="6" t="n">
        <v>1362</v>
      </c>
      <c r="D1049" s="12" t="n">
        <f aca="false">C1049/(B1049+C1049)*100</f>
        <v>49.437386569873</v>
      </c>
      <c r="E1049" s="6" t="n">
        <v>23</v>
      </c>
      <c r="F1049" s="6" t="s">
        <v>9393</v>
      </c>
      <c r="G1049" s="6" t="n">
        <v>973</v>
      </c>
      <c r="H1049" s="6" t="s">
        <v>9394</v>
      </c>
      <c r="I1049" s="6" t="n">
        <v>178</v>
      </c>
      <c r="J1049" s="6" t="s">
        <v>9395</v>
      </c>
      <c r="K1049" s="6" t="n">
        <v>60</v>
      </c>
      <c r="L1049" s="6" t="s">
        <v>9396</v>
      </c>
      <c r="M1049" s="6" t="n">
        <v>38</v>
      </c>
      <c r="N1049" s="6" t="s">
        <v>9397</v>
      </c>
      <c r="O1049" s="6" t="n">
        <v>32</v>
      </c>
      <c r="P1049" s="6" t="s">
        <v>9398</v>
      </c>
      <c r="Q1049" s="6" t="n">
        <v>31</v>
      </c>
      <c r="R1049" s="6" t="s">
        <v>9399</v>
      </c>
      <c r="S1049" s="6" t="n">
        <v>28</v>
      </c>
      <c r="T1049" s="6" t="s">
        <v>9400</v>
      </c>
      <c r="U1049" s="6" t="n">
        <v>10</v>
      </c>
      <c r="V1049" s="6" t="s">
        <v>9401</v>
      </c>
      <c r="W1049" s="6" t="n">
        <v>4</v>
      </c>
      <c r="X1049" s="6" t="s">
        <v>9402</v>
      </c>
      <c r="Y1049" s="6" t="n">
        <v>2</v>
      </c>
      <c r="Z1049" s="6" t="s">
        <v>9403</v>
      </c>
      <c r="AA1049" s="6" t="n">
        <v>1</v>
      </c>
      <c r="AB1049" s="6" t="s">
        <v>9404</v>
      </c>
      <c r="AC1049" s="6" t="n">
        <v>1</v>
      </c>
      <c r="AD1049" s="6" t="s">
        <v>9405</v>
      </c>
      <c r="AE1049" s="6" t="n">
        <v>1</v>
      </c>
      <c r="AF1049" s="6" t="s">
        <v>9406</v>
      </c>
      <c r="AG1049" s="6" t="n">
        <v>1</v>
      </c>
      <c r="AH1049" s="6" t="s">
        <v>9407</v>
      </c>
      <c r="AI1049" s="6" t="n">
        <v>1</v>
      </c>
      <c r="AJ1049" s="6" t="s">
        <v>9408</v>
      </c>
      <c r="AK1049" s="6" t="n">
        <v>1</v>
      </c>
      <c r="AL1049" s="6" t="s">
        <v>9409</v>
      </c>
      <c r="AM1049" s="6" t="n">
        <v>0</v>
      </c>
      <c r="AN1049" s="6" t="s">
        <v>9410</v>
      </c>
      <c r="AO1049" s="6" t="n">
        <v>0</v>
      </c>
      <c r="AP1049" s="6" t="s">
        <v>9411</v>
      </c>
      <c r="AQ1049" s="6" t="n">
        <v>0</v>
      </c>
      <c r="AR1049" s="6" t="s">
        <v>9412</v>
      </c>
      <c r="AS1049" s="6" t="n">
        <v>0</v>
      </c>
      <c r="AT1049" s="6" t="s">
        <v>9413</v>
      </c>
      <c r="AU1049" s="6" t="n">
        <v>0</v>
      </c>
      <c r="AV1049" s="6" t="s">
        <v>9414</v>
      </c>
      <c r="AW1049" s="6" t="n">
        <v>0</v>
      </c>
      <c r="AX1049" s="6" t="s">
        <v>9415</v>
      </c>
      <c r="AY1049" s="6" t="n">
        <v>0</v>
      </c>
    </row>
    <row r="1050" customFormat="false" ht="12.8" hidden="false" customHeight="false" outlineLevel="0" collapsed="false">
      <c r="A1050" s="6" t="s">
        <v>9416</v>
      </c>
      <c r="B1050" s="6" t="n">
        <v>1416</v>
      </c>
      <c r="C1050" s="6" t="n">
        <v>554</v>
      </c>
      <c r="D1050" s="12" t="n">
        <f aca="false">C1050/(B1050+C1050)*100</f>
        <v>28.1218274111675</v>
      </c>
      <c r="E1050" s="6" t="n">
        <v>12</v>
      </c>
      <c r="F1050" s="6" t="s">
        <v>9417</v>
      </c>
      <c r="G1050" s="6" t="n">
        <v>310</v>
      </c>
      <c r="H1050" s="6" t="s">
        <v>9418</v>
      </c>
      <c r="I1050" s="6" t="n">
        <v>175</v>
      </c>
      <c r="J1050" s="6" t="s">
        <v>9419</v>
      </c>
      <c r="K1050" s="6" t="n">
        <v>26</v>
      </c>
      <c r="L1050" s="6" t="s">
        <v>9420</v>
      </c>
      <c r="M1050" s="6" t="n">
        <v>26</v>
      </c>
      <c r="N1050" s="6" t="s">
        <v>9421</v>
      </c>
      <c r="O1050" s="6" t="n">
        <v>6</v>
      </c>
      <c r="P1050" s="6" t="s">
        <v>9422</v>
      </c>
      <c r="Q1050" s="6" t="n">
        <v>4</v>
      </c>
      <c r="R1050" s="6" t="s">
        <v>9423</v>
      </c>
      <c r="S1050" s="6" t="n">
        <v>2</v>
      </c>
      <c r="T1050" s="6" t="s">
        <v>9424</v>
      </c>
      <c r="U1050" s="6" t="n">
        <v>1</v>
      </c>
      <c r="V1050" s="6" t="s">
        <v>9425</v>
      </c>
      <c r="W1050" s="6" t="n">
        <v>1</v>
      </c>
      <c r="X1050" s="6" t="s">
        <v>9426</v>
      </c>
      <c r="Y1050" s="6" t="n">
        <v>1</v>
      </c>
      <c r="Z1050" s="6" t="s">
        <v>9427</v>
      </c>
      <c r="AA1050" s="6" t="n">
        <v>1</v>
      </c>
      <c r="AB1050" s="6" t="s">
        <v>9428</v>
      </c>
      <c r="AC1050" s="6" t="n">
        <v>1</v>
      </c>
    </row>
    <row r="1051" customFormat="false" ht="12.8" hidden="false" customHeight="false" outlineLevel="0" collapsed="false">
      <c r="A1051" s="6" t="s">
        <v>9429</v>
      </c>
      <c r="B1051" s="6" t="n">
        <v>1439</v>
      </c>
      <c r="C1051" s="6" t="n">
        <v>518</v>
      </c>
      <c r="D1051" s="12" t="n">
        <f aca="false">C1051/(B1051+C1051)*100</f>
        <v>26.469085334696</v>
      </c>
      <c r="E1051" s="6" t="n">
        <v>23</v>
      </c>
      <c r="F1051" s="6" t="s">
        <v>9430</v>
      </c>
      <c r="G1051" s="6" t="n">
        <v>181</v>
      </c>
      <c r="H1051" s="6" t="s">
        <v>9431</v>
      </c>
      <c r="I1051" s="6" t="n">
        <v>172</v>
      </c>
      <c r="J1051" s="6" t="s">
        <v>9432</v>
      </c>
      <c r="K1051" s="6" t="n">
        <v>53</v>
      </c>
      <c r="L1051" s="6" t="s">
        <v>9433</v>
      </c>
      <c r="M1051" s="6" t="n">
        <v>42</v>
      </c>
      <c r="N1051" s="6" t="s">
        <v>9434</v>
      </c>
      <c r="O1051" s="6" t="n">
        <v>23</v>
      </c>
      <c r="P1051" s="6" t="s">
        <v>9435</v>
      </c>
      <c r="Q1051" s="6" t="n">
        <v>12</v>
      </c>
      <c r="R1051" s="6" t="s">
        <v>9436</v>
      </c>
      <c r="S1051" s="6" t="n">
        <v>7</v>
      </c>
      <c r="T1051" s="6" t="s">
        <v>9437</v>
      </c>
      <c r="U1051" s="6" t="n">
        <v>5</v>
      </c>
      <c r="V1051" s="6" t="s">
        <v>9438</v>
      </c>
      <c r="W1051" s="6" t="n">
        <v>4</v>
      </c>
      <c r="X1051" s="6" t="s">
        <v>9439</v>
      </c>
      <c r="Y1051" s="6" t="n">
        <v>3</v>
      </c>
      <c r="Z1051" s="6" t="s">
        <v>9440</v>
      </c>
      <c r="AA1051" s="6" t="n">
        <v>3</v>
      </c>
      <c r="AB1051" s="6" t="s">
        <v>9441</v>
      </c>
      <c r="AC1051" s="6" t="n">
        <v>2</v>
      </c>
      <c r="AD1051" s="6" t="s">
        <v>9442</v>
      </c>
      <c r="AE1051" s="6" t="n">
        <v>2</v>
      </c>
      <c r="AF1051" s="6" t="s">
        <v>9443</v>
      </c>
      <c r="AG1051" s="6" t="n">
        <v>1</v>
      </c>
      <c r="AH1051" s="6" t="s">
        <v>9444</v>
      </c>
      <c r="AI1051" s="6" t="n">
        <v>1</v>
      </c>
      <c r="AJ1051" s="6" t="s">
        <v>9445</v>
      </c>
      <c r="AK1051" s="6" t="n">
        <v>1</v>
      </c>
      <c r="AL1051" s="6" t="s">
        <v>9446</v>
      </c>
      <c r="AM1051" s="6" t="n">
        <v>1</v>
      </c>
      <c r="AN1051" s="6" t="s">
        <v>9447</v>
      </c>
      <c r="AO1051" s="6" t="n">
        <v>1</v>
      </c>
      <c r="AP1051" s="6" t="s">
        <v>9448</v>
      </c>
      <c r="AQ1051" s="6" t="n">
        <v>1</v>
      </c>
      <c r="AR1051" s="6" t="s">
        <v>9449</v>
      </c>
      <c r="AS1051" s="6" t="n">
        <v>1</v>
      </c>
      <c r="AT1051" s="6" t="s">
        <v>9450</v>
      </c>
      <c r="AU1051" s="6" t="n">
        <v>1</v>
      </c>
      <c r="AV1051" s="6" t="s">
        <v>9451</v>
      </c>
      <c r="AW1051" s="6" t="n">
        <v>1</v>
      </c>
      <c r="AX1051" s="6" t="s">
        <v>9452</v>
      </c>
      <c r="AY1051" s="6" t="n">
        <v>0</v>
      </c>
    </row>
    <row r="1052" customFormat="false" ht="12.8" hidden="false" customHeight="false" outlineLevel="0" collapsed="false">
      <c r="A1052" s="6" t="s">
        <v>9453</v>
      </c>
      <c r="B1052" s="6" t="n">
        <v>1448</v>
      </c>
      <c r="C1052" s="6" t="n">
        <v>15</v>
      </c>
      <c r="D1052" s="12" t="n">
        <f aca="false">C1052/(B1052+C1052)*100</f>
        <v>1.02529049897471</v>
      </c>
      <c r="E1052" s="6" t="n">
        <v>5</v>
      </c>
      <c r="F1052" s="6" t="s">
        <v>9454</v>
      </c>
      <c r="G1052" s="6" t="n">
        <v>7</v>
      </c>
      <c r="H1052" s="6" t="s">
        <v>9455</v>
      </c>
      <c r="I1052" s="6" t="n">
        <v>5</v>
      </c>
      <c r="J1052" s="6" t="s">
        <v>9456</v>
      </c>
      <c r="K1052" s="6" t="n">
        <v>1</v>
      </c>
      <c r="L1052" s="6" t="s">
        <v>9457</v>
      </c>
      <c r="M1052" s="6" t="n">
        <v>1</v>
      </c>
      <c r="N1052" s="6" t="s">
        <v>9458</v>
      </c>
      <c r="O1052" s="6" t="n">
        <v>1</v>
      </c>
    </row>
    <row r="1053" customFormat="false" ht="12.8" hidden="false" customHeight="false" outlineLevel="0" collapsed="false">
      <c r="A1053" s="6" t="s">
        <v>9459</v>
      </c>
      <c r="B1053" s="6" t="n">
        <v>1450</v>
      </c>
      <c r="C1053" s="6" t="n">
        <v>324</v>
      </c>
      <c r="D1053" s="12" t="n">
        <f aca="false">C1053/(B1053+C1053)*100</f>
        <v>18.2638105975197</v>
      </c>
      <c r="E1053" s="6" t="n">
        <v>20</v>
      </c>
      <c r="F1053" s="6" t="s">
        <v>9460</v>
      </c>
      <c r="G1053" s="6" t="n">
        <v>101</v>
      </c>
      <c r="H1053" s="6" t="s">
        <v>9461</v>
      </c>
      <c r="I1053" s="6" t="n">
        <v>69</v>
      </c>
      <c r="J1053" s="6" t="s">
        <v>9462</v>
      </c>
      <c r="K1053" s="6" t="n">
        <v>45</v>
      </c>
      <c r="L1053" s="6" t="s">
        <v>9463</v>
      </c>
      <c r="M1053" s="6" t="n">
        <v>45</v>
      </c>
      <c r="N1053" s="6" t="s">
        <v>9464</v>
      </c>
      <c r="O1053" s="6" t="n">
        <v>23</v>
      </c>
      <c r="P1053" s="6" t="s">
        <v>9465</v>
      </c>
      <c r="Q1053" s="6" t="n">
        <v>14</v>
      </c>
      <c r="R1053" s="6" t="s">
        <v>9466</v>
      </c>
      <c r="S1053" s="6" t="n">
        <v>9</v>
      </c>
      <c r="T1053" s="6" t="s">
        <v>9467</v>
      </c>
      <c r="U1053" s="6" t="n">
        <v>5</v>
      </c>
      <c r="V1053" s="6" t="s">
        <v>9468</v>
      </c>
      <c r="W1053" s="6" t="n">
        <v>4</v>
      </c>
      <c r="X1053" s="6" t="s">
        <v>9469</v>
      </c>
      <c r="Y1053" s="6" t="n">
        <v>3</v>
      </c>
      <c r="Z1053" s="6" t="s">
        <v>9470</v>
      </c>
      <c r="AA1053" s="6" t="n">
        <v>2</v>
      </c>
      <c r="AB1053" s="6" t="s">
        <v>9471</v>
      </c>
      <c r="AC1053" s="6" t="n">
        <v>1</v>
      </c>
      <c r="AD1053" s="6" t="s">
        <v>9472</v>
      </c>
      <c r="AE1053" s="6" t="n">
        <v>1</v>
      </c>
      <c r="AF1053" s="6" t="s">
        <v>9473</v>
      </c>
      <c r="AG1053" s="6" t="n">
        <v>1</v>
      </c>
      <c r="AH1053" s="6" t="s">
        <v>9474</v>
      </c>
      <c r="AI1053" s="6" t="n">
        <v>1</v>
      </c>
      <c r="AJ1053" s="6" t="s">
        <v>9475</v>
      </c>
      <c r="AK1053" s="6" t="n">
        <v>0</v>
      </c>
      <c r="AL1053" s="6" t="s">
        <v>9476</v>
      </c>
      <c r="AM1053" s="6" t="n">
        <v>0</v>
      </c>
      <c r="AN1053" s="6" t="s">
        <v>9477</v>
      </c>
      <c r="AO1053" s="6" t="n">
        <v>0</v>
      </c>
      <c r="AP1053" s="6" t="s">
        <v>9478</v>
      </c>
      <c r="AQ1053" s="6" t="n">
        <v>0</v>
      </c>
      <c r="AR1053" s="6" t="s">
        <v>9479</v>
      </c>
      <c r="AS1053" s="6" t="n">
        <v>0</v>
      </c>
    </row>
    <row r="1054" customFormat="false" ht="12.8" hidden="false" customHeight="false" outlineLevel="0" collapsed="false">
      <c r="A1054" s="6" t="s">
        <v>9480</v>
      </c>
      <c r="B1054" s="6" t="n">
        <v>1513</v>
      </c>
      <c r="C1054" s="6" t="n">
        <v>349</v>
      </c>
      <c r="D1054" s="12" t="n">
        <f aca="false">C1054/(B1054+C1054)*100</f>
        <v>18.7432867883996</v>
      </c>
      <c r="E1054" s="6" t="n">
        <v>14</v>
      </c>
      <c r="F1054" s="6" t="s">
        <v>9481</v>
      </c>
      <c r="G1054" s="6" t="n">
        <v>138</v>
      </c>
      <c r="H1054" s="6" t="s">
        <v>9482</v>
      </c>
      <c r="I1054" s="6" t="n">
        <v>100</v>
      </c>
      <c r="J1054" s="6" t="s">
        <v>9483</v>
      </c>
      <c r="K1054" s="6" t="n">
        <v>83</v>
      </c>
      <c r="L1054" s="6" t="s">
        <v>9484</v>
      </c>
      <c r="M1054" s="6" t="n">
        <v>13</v>
      </c>
      <c r="N1054" s="6" t="s">
        <v>9485</v>
      </c>
      <c r="O1054" s="6" t="n">
        <v>5</v>
      </c>
      <c r="P1054" s="6" t="s">
        <v>9486</v>
      </c>
      <c r="Q1054" s="6" t="n">
        <v>3</v>
      </c>
      <c r="R1054" s="6" t="s">
        <v>9487</v>
      </c>
      <c r="S1054" s="6" t="n">
        <v>2</v>
      </c>
      <c r="T1054" s="6" t="s">
        <v>9488</v>
      </c>
      <c r="U1054" s="6" t="n">
        <v>2</v>
      </c>
      <c r="V1054" s="6" t="s">
        <v>9489</v>
      </c>
      <c r="W1054" s="6" t="n">
        <v>1</v>
      </c>
      <c r="X1054" s="6" t="s">
        <v>9490</v>
      </c>
      <c r="Y1054" s="6" t="n">
        <v>1</v>
      </c>
      <c r="Z1054" s="6" t="s">
        <v>9491</v>
      </c>
      <c r="AA1054" s="6" t="n">
        <v>1</v>
      </c>
      <c r="AB1054" s="6" t="s">
        <v>9492</v>
      </c>
      <c r="AC1054" s="6" t="n">
        <v>0</v>
      </c>
      <c r="AD1054" s="6" t="s">
        <v>9493</v>
      </c>
      <c r="AE1054" s="6" t="n">
        <v>0</v>
      </c>
      <c r="AF1054" s="6" t="s">
        <v>9494</v>
      </c>
      <c r="AG1054" s="6" t="n">
        <v>0</v>
      </c>
    </row>
    <row r="1055" customFormat="false" ht="12.8" hidden="false" customHeight="false" outlineLevel="0" collapsed="false">
      <c r="A1055" s="6" t="s">
        <v>9495</v>
      </c>
      <c r="B1055" s="6" t="n">
        <v>1521</v>
      </c>
      <c r="C1055" s="6" t="n">
        <v>67</v>
      </c>
      <c r="D1055" s="12" t="n">
        <f aca="false">C1055/(B1055+C1055)*100</f>
        <v>4.2191435768262</v>
      </c>
      <c r="E1055" s="6" t="n">
        <v>13</v>
      </c>
      <c r="F1055" s="6" t="s">
        <v>9496</v>
      </c>
      <c r="G1055" s="6" t="n">
        <v>27</v>
      </c>
      <c r="H1055" s="6" t="s">
        <v>9497</v>
      </c>
      <c r="I1055" s="6" t="n">
        <v>13</v>
      </c>
      <c r="J1055" s="6" t="s">
        <v>9498</v>
      </c>
      <c r="K1055" s="6" t="n">
        <v>10</v>
      </c>
      <c r="L1055" s="6" t="s">
        <v>9499</v>
      </c>
      <c r="M1055" s="6" t="n">
        <v>6</v>
      </c>
      <c r="N1055" s="6" t="s">
        <v>9500</v>
      </c>
      <c r="O1055" s="6" t="n">
        <v>4</v>
      </c>
      <c r="P1055" s="6" t="s">
        <v>9501</v>
      </c>
      <c r="Q1055" s="6" t="n">
        <v>1</v>
      </c>
      <c r="R1055" s="6" t="s">
        <v>9502</v>
      </c>
      <c r="S1055" s="6" t="n">
        <v>1</v>
      </c>
      <c r="T1055" s="6" t="s">
        <v>9503</v>
      </c>
      <c r="U1055" s="6" t="n">
        <v>1</v>
      </c>
      <c r="V1055" s="6" t="s">
        <v>9504</v>
      </c>
      <c r="W1055" s="6" t="n">
        <v>1</v>
      </c>
      <c r="X1055" s="6" t="s">
        <v>9505</v>
      </c>
      <c r="Y1055" s="6" t="n">
        <v>1</v>
      </c>
      <c r="Z1055" s="6" t="s">
        <v>9506</v>
      </c>
      <c r="AA1055" s="6" t="n">
        <v>1</v>
      </c>
      <c r="AB1055" s="6" t="s">
        <v>9507</v>
      </c>
      <c r="AC1055" s="6" t="n">
        <v>1</v>
      </c>
      <c r="AD1055" s="6" t="s">
        <v>9508</v>
      </c>
      <c r="AE1055" s="6" t="n">
        <v>0</v>
      </c>
    </row>
    <row r="1056" customFormat="false" ht="12.8" hidden="false" customHeight="false" outlineLevel="0" collapsed="false">
      <c r="A1056" s="6" t="s">
        <v>9509</v>
      </c>
      <c r="B1056" s="6" t="n">
        <v>1525</v>
      </c>
      <c r="C1056" s="6" t="n">
        <v>570</v>
      </c>
      <c r="D1056" s="12" t="n">
        <f aca="false">C1056/(B1056+C1056)*100</f>
        <v>27.2076372315036</v>
      </c>
      <c r="E1056" s="6" t="n">
        <v>24</v>
      </c>
      <c r="F1056" s="6" t="s">
        <v>9510</v>
      </c>
      <c r="G1056" s="6" t="n">
        <v>119</v>
      </c>
      <c r="H1056" s="6" t="s">
        <v>9511</v>
      </c>
      <c r="I1056" s="6" t="n">
        <v>92</v>
      </c>
      <c r="J1056" s="6" t="s">
        <v>9512</v>
      </c>
      <c r="K1056" s="6" t="n">
        <v>83</v>
      </c>
      <c r="L1056" s="6" t="s">
        <v>9513</v>
      </c>
      <c r="M1056" s="6" t="n">
        <v>74</v>
      </c>
      <c r="N1056" s="6" t="s">
        <v>9514</v>
      </c>
      <c r="O1056" s="6" t="n">
        <v>40</v>
      </c>
      <c r="P1056" s="6" t="s">
        <v>9515</v>
      </c>
      <c r="Q1056" s="6" t="n">
        <v>36</v>
      </c>
      <c r="R1056" s="6" t="s">
        <v>9516</v>
      </c>
      <c r="S1056" s="6" t="n">
        <v>24</v>
      </c>
      <c r="T1056" s="6" t="s">
        <v>9517</v>
      </c>
      <c r="U1056" s="6" t="n">
        <v>21</v>
      </c>
      <c r="V1056" s="6" t="s">
        <v>9518</v>
      </c>
      <c r="W1056" s="6" t="n">
        <v>15</v>
      </c>
      <c r="X1056" s="6" t="s">
        <v>9519</v>
      </c>
      <c r="Y1056" s="6" t="n">
        <v>15</v>
      </c>
      <c r="Z1056" s="6" t="s">
        <v>9520</v>
      </c>
      <c r="AA1056" s="6" t="n">
        <v>12</v>
      </c>
      <c r="AB1056" s="6" t="s">
        <v>9521</v>
      </c>
      <c r="AC1056" s="6" t="n">
        <v>11</v>
      </c>
      <c r="AD1056" s="6" t="s">
        <v>9522</v>
      </c>
      <c r="AE1056" s="6" t="n">
        <v>7</v>
      </c>
      <c r="AF1056" s="6" t="s">
        <v>9523</v>
      </c>
      <c r="AG1056" s="6" t="n">
        <v>6</v>
      </c>
      <c r="AH1056" s="6" t="s">
        <v>9524</v>
      </c>
      <c r="AI1056" s="6" t="n">
        <v>5</v>
      </c>
      <c r="AJ1056" s="6" t="s">
        <v>9525</v>
      </c>
      <c r="AK1056" s="6" t="n">
        <v>4</v>
      </c>
      <c r="AL1056" s="6" t="s">
        <v>9526</v>
      </c>
      <c r="AM1056" s="6" t="n">
        <v>2</v>
      </c>
      <c r="AN1056" s="6" t="s">
        <v>9527</v>
      </c>
      <c r="AO1056" s="6" t="n">
        <v>1</v>
      </c>
      <c r="AP1056" s="6" t="s">
        <v>9528</v>
      </c>
      <c r="AQ1056" s="6" t="n">
        <v>1</v>
      </c>
      <c r="AR1056" s="6" t="s">
        <v>9529</v>
      </c>
      <c r="AS1056" s="6" t="n">
        <v>1</v>
      </c>
      <c r="AT1056" s="6" t="s">
        <v>9530</v>
      </c>
      <c r="AU1056" s="6" t="n">
        <v>1</v>
      </c>
      <c r="AV1056" s="6" t="s">
        <v>9531</v>
      </c>
      <c r="AW1056" s="6" t="n">
        <v>0</v>
      </c>
      <c r="AX1056" s="6" t="s">
        <v>9532</v>
      </c>
      <c r="AY1056" s="6" t="n">
        <v>0</v>
      </c>
      <c r="AZ1056" s="6" t="s">
        <v>9533</v>
      </c>
      <c r="BA1056" s="6" t="n">
        <v>0</v>
      </c>
    </row>
    <row r="1057" customFormat="false" ht="12.8" hidden="false" customHeight="false" outlineLevel="0" collapsed="false">
      <c r="A1057" s="6" t="s">
        <v>9534</v>
      </c>
      <c r="B1057" s="6" t="n">
        <v>1531</v>
      </c>
      <c r="C1057" s="6" t="n">
        <v>587</v>
      </c>
      <c r="D1057" s="12" t="n">
        <f aca="false">C1057/(B1057+C1057)*100</f>
        <v>27.7148253068933</v>
      </c>
      <c r="E1057" s="6" t="n">
        <v>8</v>
      </c>
      <c r="F1057" s="6" t="s">
        <v>9535</v>
      </c>
      <c r="G1057" s="6" t="n">
        <v>532</v>
      </c>
      <c r="H1057" s="6" t="s">
        <v>9536</v>
      </c>
      <c r="I1057" s="6" t="n">
        <v>32</v>
      </c>
      <c r="J1057" s="6" t="s">
        <v>9537</v>
      </c>
      <c r="K1057" s="6" t="n">
        <v>14</v>
      </c>
      <c r="L1057" s="6" t="s">
        <v>9538</v>
      </c>
      <c r="M1057" s="6" t="n">
        <v>3</v>
      </c>
      <c r="N1057" s="6" t="s">
        <v>9539</v>
      </c>
      <c r="O1057" s="6" t="n">
        <v>2</v>
      </c>
      <c r="P1057" s="6" t="s">
        <v>9540</v>
      </c>
      <c r="Q1057" s="6" t="n">
        <v>2</v>
      </c>
      <c r="R1057" s="6" t="s">
        <v>9541</v>
      </c>
      <c r="S1057" s="6" t="n">
        <v>2</v>
      </c>
      <c r="T1057" s="6" t="s">
        <v>9542</v>
      </c>
      <c r="U1057" s="6" t="n">
        <v>0</v>
      </c>
    </row>
    <row r="1058" customFormat="false" ht="12.8" hidden="false" customHeight="false" outlineLevel="0" collapsed="false">
      <c r="A1058" s="6" t="s">
        <v>9543</v>
      </c>
      <c r="B1058" s="6" t="n">
        <v>1544</v>
      </c>
      <c r="C1058" s="6" t="n">
        <v>5</v>
      </c>
      <c r="D1058" s="12" t="n">
        <f aca="false">C1058/(B1058+C1058)*100</f>
        <v>0.322788896061975</v>
      </c>
      <c r="E1058" s="6" t="n">
        <v>9</v>
      </c>
      <c r="F1058" s="6" t="s">
        <v>9544</v>
      </c>
      <c r="G1058" s="6" t="n">
        <v>2</v>
      </c>
      <c r="H1058" s="6" t="s">
        <v>9545</v>
      </c>
      <c r="I1058" s="6" t="n">
        <v>1</v>
      </c>
      <c r="J1058" s="6" t="s">
        <v>9546</v>
      </c>
      <c r="K1058" s="6" t="n">
        <v>1</v>
      </c>
      <c r="L1058" s="6" t="s">
        <v>9547</v>
      </c>
      <c r="M1058" s="6" t="n">
        <v>1</v>
      </c>
      <c r="N1058" s="6" t="s">
        <v>9548</v>
      </c>
      <c r="O1058" s="6" t="n">
        <v>0</v>
      </c>
      <c r="P1058" s="6" t="s">
        <v>9549</v>
      </c>
      <c r="Q1058" s="6" t="n">
        <v>0</v>
      </c>
      <c r="R1058" s="6" t="s">
        <v>9550</v>
      </c>
      <c r="S1058" s="6" t="n">
        <v>0</v>
      </c>
      <c r="T1058" s="6" t="s">
        <v>9551</v>
      </c>
      <c r="U1058" s="6" t="n">
        <v>0</v>
      </c>
      <c r="V1058" s="6" t="s">
        <v>9552</v>
      </c>
      <c r="W1058" s="6" t="n">
        <v>0</v>
      </c>
    </row>
    <row r="1059" customFormat="false" ht="12.8" hidden="false" customHeight="false" outlineLevel="0" collapsed="false">
      <c r="A1059" s="6" t="s">
        <v>9553</v>
      </c>
      <c r="B1059" s="6" t="n">
        <v>1568</v>
      </c>
      <c r="C1059" s="6" t="n">
        <v>9038</v>
      </c>
      <c r="D1059" s="12" t="n">
        <f aca="false">C1059/(B1059+C1059)*100</f>
        <v>85.2159155195173</v>
      </c>
      <c r="E1059" s="6" t="n">
        <v>30</v>
      </c>
      <c r="F1059" s="6" t="s">
        <v>9554</v>
      </c>
      <c r="G1059" s="6" t="n">
        <v>5288</v>
      </c>
      <c r="H1059" s="6" t="s">
        <v>9555</v>
      </c>
      <c r="I1059" s="6" t="n">
        <v>1466</v>
      </c>
      <c r="J1059" s="6" t="s">
        <v>9556</v>
      </c>
      <c r="K1059" s="6" t="n">
        <v>761</v>
      </c>
      <c r="L1059" s="6" t="s">
        <v>9557</v>
      </c>
      <c r="M1059" s="6" t="n">
        <v>381</v>
      </c>
      <c r="N1059" s="6" t="s">
        <v>9558</v>
      </c>
      <c r="O1059" s="6" t="n">
        <v>353</v>
      </c>
      <c r="P1059" s="6" t="s">
        <v>9559</v>
      </c>
      <c r="Q1059" s="6" t="n">
        <v>246</v>
      </c>
      <c r="R1059" s="6" t="s">
        <v>9560</v>
      </c>
      <c r="S1059" s="6" t="n">
        <v>158</v>
      </c>
      <c r="T1059" s="6" t="s">
        <v>9561</v>
      </c>
      <c r="U1059" s="6" t="n">
        <v>129</v>
      </c>
      <c r="V1059" s="6" t="s">
        <v>9562</v>
      </c>
      <c r="W1059" s="6" t="n">
        <v>87</v>
      </c>
      <c r="X1059" s="6" t="s">
        <v>9563</v>
      </c>
      <c r="Y1059" s="6" t="n">
        <v>73</v>
      </c>
      <c r="Z1059" s="6" t="s">
        <v>9564</v>
      </c>
      <c r="AA1059" s="6" t="n">
        <v>23</v>
      </c>
      <c r="AB1059" s="6" t="s">
        <v>9565</v>
      </c>
      <c r="AC1059" s="6" t="n">
        <v>18</v>
      </c>
      <c r="AD1059" s="6" t="s">
        <v>9566</v>
      </c>
      <c r="AE1059" s="6" t="n">
        <v>17</v>
      </c>
      <c r="AF1059" s="6" t="s">
        <v>9567</v>
      </c>
      <c r="AG1059" s="6" t="n">
        <v>10</v>
      </c>
      <c r="AH1059" s="6" t="s">
        <v>9568</v>
      </c>
      <c r="AI1059" s="6" t="n">
        <v>7</v>
      </c>
      <c r="AJ1059" s="6" t="s">
        <v>9569</v>
      </c>
      <c r="AK1059" s="6" t="n">
        <v>5</v>
      </c>
      <c r="AL1059" s="6" t="s">
        <v>9570</v>
      </c>
      <c r="AM1059" s="6" t="n">
        <v>3</v>
      </c>
      <c r="AN1059" s="6" t="s">
        <v>9571</v>
      </c>
      <c r="AO1059" s="6" t="n">
        <v>2</v>
      </c>
      <c r="AP1059" s="6" t="s">
        <v>9572</v>
      </c>
      <c r="AQ1059" s="6" t="n">
        <v>2</v>
      </c>
      <c r="AR1059" s="6" t="s">
        <v>9573</v>
      </c>
      <c r="AS1059" s="6" t="n">
        <v>2</v>
      </c>
      <c r="AT1059" s="6" t="s">
        <v>9574</v>
      </c>
      <c r="AU1059" s="6" t="n">
        <v>2</v>
      </c>
      <c r="AV1059" s="6" t="s">
        <v>9575</v>
      </c>
      <c r="AW1059" s="6" t="n">
        <v>1</v>
      </c>
      <c r="AX1059" s="6" t="s">
        <v>9576</v>
      </c>
      <c r="AY1059" s="6" t="n">
        <v>1</v>
      </c>
      <c r="AZ1059" s="6" t="s">
        <v>9577</v>
      </c>
      <c r="BA1059" s="6" t="n">
        <v>1</v>
      </c>
      <c r="BB1059" s="6" t="s">
        <v>9578</v>
      </c>
      <c r="BC1059" s="6" t="n">
        <v>1</v>
      </c>
      <c r="BD1059" s="6" t="s">
        <v>9579</v>
      </c>
      <c r="BE1059" s="6" t="n">
        <v>1</v>
      </c>
      <c r="BF1059" s="6" t="s">
        <v>9580</v>
      </c>
      <c r="BG1059" s="6" t="n">
        <v>0</v>
      </c>
      <c r="BH1059" s="6" t="s">
        <v>9581</v>
      </c>
      <c r="BI1059" s="6" t="n">
        <v>0</v>
      </c>
      <c r="BJ1059" s="6" t="s">
        <v>9582</v>
      </c>
      <c r="BK1059" s="6" t="n">
        <v>0</v>
      </c>
      <c r="BL1059" s="6" t="s">
        <v>9583</v>
      </c>
      <c r="BM1059" s="6" t="n">
        <v>0</v>
      </c>
    </row>
    <row r="1060" customFormat="false" ht="12.8" hidden="false" customHeight="false" outlineLevel="0" collapsed="false">
      <c r="A1060" s="6" t="s">
        <v>9584</v>
      </c>
      <c r="B1060" s="6" t="n">
        <v>1617</v>
      </c>
      <c r="C1060" s="6" t="n">
        <v>943</v>
      </c>
      <c r="D1060" s="12" t="n">
        <f aca="false">C1060/(B1060+C1060)*100</f>
        <v>36.8359375</v>
      </c>
      <c r="E1060" s="6" t="n">
        <v>24</v>
      </c>
      <c r="F1060" s="6" t="s">
        <v>9585</v>
      </c>
      <c r="G1060" s="6" t="n">
        <v>348</v>
      </c>
      <c r="H1060" s="6" t="s">
        <v>9586</v>
      </c>
      <c r="I1060" s="6" t="n">
        <v>137</v>
      </c>
      <c r="J1060" s="6" t="s">
        <v>9587</v>
      </c>
      <c r="K1060" s="6" t="n">
        <v>118</v>
      </c>
      <c r="L1060" s="6" t="s">
        <v>9588</v>
      </c>
      <c r="M1060" s="6" t="n">
        <v>82</v>
      </c>
      <c r="N1060" s="6" t="s">
        <v>9589</v>
      </c>
      <c r="O1060" s="6" t="n">
        <v>72</v>
      </c>
      <c r="P1060" s="6" t="s">
        <v>9590</v>
      </c>
      <c r="Q1060" s="6" t="n">
        <v>53</v>
      </c>
      <c r="R1060" s="6" t="s">
        <v>9591</v>
      </c>
      <c r="S1060" s="6" t="n">
        <v>38</v>
      </c>
      <c r="T1060" s="6" t="s">
        <v>9592</v>
      </c>
      <c r="U1060" s="6" t="n">
        <v>29</v>
      </c>
      <c r="V1060" s="6" t="s">
        <v>9593</v>
      </c>
      <c r="W1060" s="6" t="n">
        <v>28</v>
      </c>
      <c r="X1060" s="6" t="s">
        <v>9594</v>
      </c>
      <c r="Y1060" s="6" t="n">
        <v>13</v>
      </c>
      <c r="Z1060" s="6" t="s">
        <v>9595</v>
      </c>
      <c r="AA1060" s="6" t="n">
        <v>4</v>
      </c>
      <c r="AB1060" s="6" t="s">
        <v>9596</v>
      </c>
      <c r="AC1060" s="6" t="n">
        <v>3</v>
      </c>
      <c r="AD1060" s="6" t="s">
        <v>9597</v>
      </c>
      <c r="AE1060" s="6" t="n">
        <v>3</v>
      </c>
      <c r="AF1060" s="6" t="s">
        <v>9598</v>
      </c>
      <c r="AG1060" s="6" t="n">
        <v>3</v>
      </c>
      <c r="AH1060" s="6" t="s">
        <v>9599</v>
      </c>
      <c r="AI1060" s="6" t="n">
        <v>3</v>
      </c>
      <c r="AJ1060" s="6" t="s">
        <v>9600</v>
      </c>
      <c r="AK1060" s="6" t="n">
        <v>2</v>
      </c>
      <c r="AL1060" s="6" t="s">
        <v>9601</v>
      </c>
      <c r="AM1060" s="6" t="n">
        <v>2</v>
      </c>
      <c r="AN1060" s="6" t="s">
        <v>9602</v>
      </c>
      <c r="AO1060" s="6" t="n">
        <v>1</v>
      </c>
      <c r="AP1060" s="6" t="s">
        <v>9603</v>
      </c>
      <c r="AQ1060" s="6" t="n">
        <v>1</v>
      </c>
      <c r="AR1060" s="6" t="s">
        <v>9604</v>
      </c>
      <c r="AS1060" s="6" t="n">
        <v>1</v>
      </c>
      <c r="AT1060" s="6" t="s">
        <v>9605</v>
      </c>
      <c r="AU1060" s="6" t="n">
        <v>1</v>
      </c>
      <c r="AV1060" s="6" t="s">
        <v>9606</v>
      </c>
      <c r="AW1060" s="6" t="n">
        <v>1</v>
      </c>
      <c r="AX1060" s="6" t="s">
        <v>9607</v>
      </c>
      <c r="AY1060" s="6" t="n">
        <v>0</v>
      </c>
      <c r="AZ1060" s="6" t="s">
        <v>9608</v>
      </c>
      <c r="BA1060" s="6" t="n">
        <v>0</v>
      </c>
    </row>
    <row r="1061" customFormat="false" ht="12.8" hidden="false" customHeight="false" outlineLevel="0" collapsed="false">
      <c r="A1061" s="6" t="s">
        <v>9609</v>
      </c>
      <c r="B1061" s="6" t="n">
        <v>1627</v>
      </c>
      <c r="C1061" s="6" t="n">
        <v>376</v>
      </c>
      <c r="D1061" s="12" t="n">
        <f aca="false">C1061/(B1061+C1061)*100</f>
        <v>18.771842236645</v>
      </c>
      <c r="E1061" s="6" t="n">
        <v>10</v>
      </c>
      <c r="F1061" s="6" t="s">
        <v>9610</v>
      </c>
      <c r="G1061" s="6" t="n">
        <v>143</v>
      </c>
      <c r="H1061" s="6" t="s">
        <v>9611</v>
      </c>
      <c r="I1061" s="6" t="n">
        <v>139</v>
      </c>
      <c r="J1061" s="6" t="s">
        <v>9612</v>
      </c>
      <c r="K1061" s="6" t="n">
        <v>80</v>
      </c>
      <c r="L1061" s="6" t="s">
        <v>9613</v>
      </c>
      <c r="M1061" s="6" t="n">
        <v>6</v>
      </c>
      <c r="N1061" s="6" t="s">
        <v>9614</v>
      </c>
      <c r="O1061" s="6" t="n">
        <v>3</v>
      </c>
      <c r="P1061" s="6" t="s">
        <v>9615</v>
      </c>
      <c r="Q1061" s="6" t="n">
        <v>2</v>
      </c>
      <c r="R1061" s="6" t="s">
        <v>9616</v>
      </c>
      <c r="S1061" s="6" t="n">
        <v>1</v>
      </c>
      <c r="T1061" s="6" t="s">
        <v>9617</v>
      </c>
      <c r="U1061" s="6" t="n">
        <v>1</v>
      </c>
      <c r="V1061" s="6" t="s">
        <v>9618</v>
      </c>
      <c r="W1061" s="6" t="n">
        <v>1</v>
      </c>
      <c r="X1061" s="6" t="s">
        <v>9619</v>
      </c>
      <c r="Y1061" s="6" t="n">
        <v>0</v>
      </c>
    </row>
    <row r="1062" customFormat="false" ht="12.8" hidden="false" customHeight="false" outlineLevel="0" collapsed="false">
      <c r="A1062" s="6" t="s">
        <v>9620</v>
      </c>
      <c r="B1062" s="6" t="n">
        <v>1646</v>
      </c>
      <c r="C1062" s="6" t="n">
        <v>173</v>
      </c>
      <c r="D1062" s="12" t="n">
        <f aca="false">C1062/(B1062+C1062)*100</f>
        <v>9.51072017592083</v>
      </c>
      <c r="E1062" s="6" t="n">
        <v>10</v>
      </c>
      <c r="F1062" s="6" t="s">
        <v>9621</v>
      </c>
      <c r="G1062" s="6" t="n">
        <v>119</v>
      </c>
      <c r="H1062" s="6" t="s">
        <v>9622</v>
      </c>
      <c r="I1062" s="6" t="n">
        <v>26</v>
      </c>
      <c r="J1062" s="6" t="s">
        <v>9623</v>
      </c>
      <c r="K1062" s="6" t="n">
        <v>14</v>
      </c>
      <c r="L1062" s="6" t="s">
        <v>9624</v>
      </c>
      <c r="M1062" s="6" t="n">
        <v>10</v>
      </c>
      <c r="N1062" s="6" t="s">
        <v>9625</v>
      </c>
      <c r="O1062" s="6" t="n">
        <v>2</v>
      </c>
      <c r="P1062" s="6" t="s">
        <v>9626</v>
      </c>
      <c r="Q1062" s="6" t="n">
        <v>1</v>
      </c>
      <c r="R1062" s="6" t="s">
        <v>9627</v>
      </c>
      <c r="S1062" s="6" t="n">
        <v>1</v>
      </c>
      <c r="T1062" s="6" t="s">
        <v>9628</v>
      </c>
      <c r="U1062" s="6" t="n">
        <v>0</v>
      </c>
      <c r="V1062" s="6" t="s">
        <v>9629</v>
      </c>
      <c r="W1062" s="6" t="n">
        <v>0</v>
      </c>
      <c r="X1062" s="6" t="s">
        <v>9630</v>
      </c>
      <c r="Y1062" s="6" t="n">
        <v>0</v>
      </c>
    </row>
    <row r="1063" customFormat="false" ht="12.8" hidden="false" customHeight="false" outlineLevel="0" collapsed="false">
      <c r="A1063" s="6" t="s">
        <v>9631</v>
      </c>
      <c r="B1063" s="6" t="n">
        <v>1777</v>
      </c>
      <c r="C1063" s="6" t="n">
        <v>1126</v>
      </c>
      <c r="D1063" s="12" t="n">
        <f aca="false">C1063/(B1063+C1063)*100</f>
        <v>38.7874612469859</v>
      </c>
      <c r="E1063" s="6" t="n">
        <v>19</v>
      </c>
      <c r="F1063" s="6" t="s">
        <v>9632</v>
      </c>
      <c r="G1063" s="6" t="n">
        <v>363</v>
      </c>
      <c r="H1063" s="6" t="s">
        <v>9632</v>
      </c>
      <c r="I1063" s="6" t="n">
        <v>363</v>
      </c>
      <c r="J1063" s="6" t="s">
        <v>9633</v>
      </c>
      <c r="K1063" s="6" t="n">
        <v>134</v>
      </c>
      <c r="L1063" s="6" t="s">
        <v>9634</v>
      </c>
      <c r="M1063" s="6" t="n">
        <v>126</v>
      </c>
      <c r="N1063" s="6" t="s">
        <v>9635</v>
      </c>
      <c r="O1063" s="6" t="n">
        <v>106</v>
      </c>
      <c r="P1063" s="6" t="s">
        <v>9636</v>
      </c>
      <c r="Q1063" s="6" t="n">
        <v>8</v>
      </c>
      <c r="R1063" s="6" t="s">
        <v>9637</v>
      </c>
      <c r="S1063" s="6" t="n">
        <v>7</v>
      </c>
      <c r="T1063" s="6" t="s">
        <v>9638</v>
      </c>
      <c r="U1063" s="6" t="n">
        <v>4</v>
      </c>
      <c r="V1063" s="6" t="s">
        <v>9639</v>
      </c>
      <c r="W1063" s="6" t="n">
        <v>4</v>
      </c>
      <c r="X1063" s="6" t="s">
        <v>9640</v>
      </c>
      <c r="Y1063" s="6" t="n">
        <v>2</v>
      </c>
      <c r="Z1063" s="6" t="s">
        <v>9641</v>
      </c>
      <c r="AA1063" s="6" t="n">
        <v>2</v>
      </c>
      <c r="AB1063" s="6" t="s">
        <v>9642</v>
      </c>
      <c r="AC1063" s="6" t="n">
        <v>2</v>
      </c>
      <c r="AD1063" s="6" t="s">
        <v>9643</v>
      </c>
      <c r="AE1063" s="6" t="n">
        <v>1</v>
      </c>
      <c r="AF1063" s="6" t="s">
        <v>9644</v>
      </c>
      <c r="AG1063" s="6" t="n">
        <v>1</v>
      </c>
      <c r="AH1063" s="6" t="s">
        <v>9645</v>
      </c>
      <c r="AI1063" s="6" t="n">
        <v>1</v>
      </c>
      <c r="AJ1063" s="6" t="s">
        <v>9646</v>
      </c>
      <c r="AK1063" s="6" t="n">
        <v>1</v>
      </c>
      <c r="AL1063" s="6" t="s">
        <v>9644</v>
      </c>
      <c r="AM1063" s="6" t="n">
        <v>1</v>
      </c>
      <c r="AN1063" s="6" t="s">
        <v>9647</v>
      </c>
      <c r="AO1063" s="6" t="n">
        <v>0</v>
      </c>
      <c r="AP1063" s="6" t="s">
        <v>9648</v>
      </c>
      <c r="AQ1063" s="6" t="n">
        <v>0</v>
      </c>
    </row>
    <row r="1064" customFormat="false" ht="12.8" hidden="false" customHeight="false" outlineLevel="0" collapsed="false">
      <c r="A1064" s="6" t="s">
        <v>9649</v>
      </c>
      <c r="B1064" s="6" t="n">
        <v>1791</v>
      </c>
      <c r="C1064" s="6" t="n">
        <v>2779</v>
      </c>
      <c r="D1064" s="12" t="n">
        <f aca="false">C1064/(B1064+C1064)*100</f>
        <v>60.8096280087527</v>
      </c>
      <c r="E1064" s="6" t="n">
        <v>75</v>
      </c>
      <c r="F1064" s="6" t="s">
        <v>9650</v>
      </c>
      <c r="G1064" s="6" t="n">
        <v>836</v>
      </c>
      <c r="H1064" s="6" t="s">
        <v>9651</v>
      </c>
      <c r="I1064" s="6" t="n">
        <v>342</v>
      </c>
      <c r="J1064" s="6" t="s">
        <v>9652</v>
      </c>
      <c r="K1064" s="6" t="n">
        <v>280</v>
      </c>
      <c r="L1064" s="6" t="s">
        <v>9653</v>
      </c>
      <c r="M1064" s="6" t="n">
        <v>210</v>
      </c>
      <c r="N1064" s="6" t="s">
        <v>9654</v>
      </c>
      <c r="O1064" s="6" t="n">
        <v>206</v>
      </c>
      <c r="P1064" s="6" t="s">
        <v>9655</v>
      </c>
      <c r="Q1064" s="6" t="n">
        <v>171</v>
      </c>
      <c r="R1064" s="6" t="s">
        <v>9656</v>
      </c>
      <c r="S1064" s="6" t="n">
        <v>106</v>
      </c>
      <c r="T1064" s="6" t="s">
        <v>9657</v>
      </c>
      <c r="U1064" s="6" t="n">
        <v>101</v>
      </c>
      <c r="V1064" s="6" t="s">
        <v>9658</v>
      </c>
      <c r="W1064" s="6" t="n">
        <v>68</v>
      </c>
      <c r="X1064" s="6" t="s">
        <v>9659</v>
      </c>
      <c r="Y1064" s="6" t="n">
        <v>66</v>
      </c>
      <c r="Z1064" s="6" t="s">
        <v>9660</v>
      </c>
      <c r="AA1064" s="6" t="n">
        <v>56</v>
      </c>
      <c r="AB1064" s="6" t="s">
        <v>9661</v>
      </c>
      <c r="AC1064" s="6" t="n">
        <v>49</v>
      </c>
      <c r="AD1064" s="6" t="s">
        <v>9662</v>
      </c>
      <c r="AE1064" s="6" t="n">
        <v>38</v>
      </c>
      <c r="AF1064" s="6" t="s">
        <v>9663</v>
      </c>
      <c r="AG1064" s="6" t="n">
        <v>33</v>
      </c>
      <c r="AH1064" s="6" t="s">
        <v>9664</v>
      </c>
      <c r="AI1064" s="6" t="n">
        <v>31</v>
      </c>
      <c r="AJ1064" s="6" t="s">
        <v>9665</v>
      </c>
      <c r="AK1064" s="6" t="n">
        <v>27</v>
      </c>
      <c r="AL1064" s="6" t="s">
        <v>9666</v>
      </c>
      <c r="AM1064" s="6" t="n">
        <v>20</v>
      </c>
      <c r="AN1064" s="6" t="s">
        <v>9667</v>
      </c>
      <c r="AO1064" s="6" t="n">
        <v>17</v>
      </c>
      <c r="AP1064" s="6" t="s">
        <v>9668</v>
      </c>
      <c r="AQ1064" s="6" t="n">
        <v>14</v>
      </c>
      <c r="AR1064" s="6" t="s">
        <v>9669</v>
      </c>
      <c r="AS1064" s="6" t="n">
        <v>14</v>
      </c>
      <c r="AT1064" s="6" t="s">
        <v>9670</v>
      </c>
      <c r="AU1064" s="6" t="n">
        <v>13</v>
      </c>
      <c r="AV1064" s="6" t="s">
        <v>9671</v>
      </c>
      <c r="AW1064" s="6" t="n">
        <v>9</v>
      </c>
      <c r="AX1064" s="6" t="s">
        <v>9672</v>
      </c>
      <c r="AY1064" s="6" t="n">
        <v>8</v>
      </c>
      <c r="AZ1064" s="6" t="s">
        <v>9673</v>
      </c>
      <c r="BA1064" s="6" t="n">
        <v>8</v>
      </c>
      <c r="BB1064" s="6" t="s">
        <v>9674</v>
      </c>
      <c r="BC1064" s="6" t="n">
        <v>7</v>
      </c>
      <c r="BD1064" s="6" t="s">
        <v>9675</v>
      </c>
      <c r="BE1064" s="6" t="n">
        <v>5</v>
      </c>
      <c r="BF1064" s="6" t="s">
        <v>9676</v>
      </c>
      <c r="BG1064" s="6" t="n">
        <v>4</v>
      </c>
      <c r="BH1064" s="6" t="s">
        <v>9677</v>
      </c>
      <c r="BI1064" s="6" t="n">
        <v>4</v>
      </c>
      <c r="BJ1064" s="6" t="s">
        <v>9678</v>
      </c>
      <c r="BK1064" s="6" t="n">
        <v>4</v>
      </c>
      <c r="BL1064" s="6" t="s">
        <v>9679</v>
      </c>
      <c r="BM1064" s="6" t="n">
        <v>3</v>
      </c>
      <c r="BN1064" s="6" t="s">
        <v>9680</v>
      </c>
      <c r="BO1064" s="6" t="n">
        <v>2</v>
      </c>
      <c r="BP1064" s="6" t="s">
        <v>9681</v>
      </c>
      <c r="BQ1064" s="6" t="n">
        <v>2</v>
      </c>
      <c r="BR1064" s="6" t="s">
        <v>9682</v>
      </c>
      <c r="BS1064" s="6" t="n">
        <v>2</v>
      </c>
      <c r="BT1064" s="6" t="s">
        <v>9683</v>
      </c>
      <c r="BU1064" s="6" t="n">
        <v>2</v>
      </c>
      <c r="BV1064" s="6" t="s">
        <v>9684</v>
      </c>
      <c r="BW1064" s="6" t="n">
        <v>2</v>
      </c>
      <c r="BX1064" s="6" t="s">
        <v>9685</v>
      </c>
      <c r="BY1064" s="6" t="n">
        <v>2</v>
      </c>
      <c r="BZ1064" s="6" t="s">
        <v>9686</v>
      </c>
      <c r="CA1064" s="6" t="n">
        <v>2</v>
      </c>
      <c r="CB1064" s="6" t="s">
        <v>9687</v>
      </c>
      <c r="CC1064" s="6" t="n">
        <v>1</v>
      </c>
      <c r="CD1064" s="6" t="s">
        <v>9688</v>
      </c>
      <c r="CE1064" s="6" t="n">
        <v>1</v>
      </c>
      <c r="CF1064" s="6" t="s">
        <v>9689</v>
      </c>
      <c r="CG1064" s="6" t="n">
        <v>1</v>
      </c>
      <c r="CH1064" s="6" t="s">
        <v>9690</v>
      </c>
      <c r="CI1064" s="6" t="n">
        <v>1</v>
      </c>
      <c r="CJ1064" s="6" t="s">
        <v>9691</v>
      </c>
      <c r="CK1064" s="6" t="n">
        <v>1</v>
      </c>
      <c r="CL1064" s="6" t="s">
        <v>9692</v>
      </c>
      <c r="CM1064" s="6" t="n">
        <v>1</v>
      </c>
      <c r="CN1064" s="6" t="s">
        <v>9693</v>
      </c>
      <c r="CO1064" s="6" t="n">
        <v>1</v>
      </c>
      <c r="CP1064" s="6" t="s">
        <v>9694</v>
      </c>
      <c r="CQ1064" s="6" t="n">
        <v>1</v>
      </c>
      <c r="CR1064" s="6" t="s">
        <v>9695</v>
      </c>
      <c r="CS1064" s="6" t="n">
        <v>1</v>
      </c>
      <c r="CT1064" s="6" t="s">
        <v>9696</v>
      </c>
      <c r="CU1064" s="6" t="n">
        <v>1</v>
      </c>
      <c r="CV1064" s="6" t="s">
        <v>9697</v>
      </c>
      <c r="CW1064" s="6" t="n">
        <v>1</v>
      </c>
      <c r="CX1064" s="6" t="s">
        <v>9698</v>
      </c>
      <c r="CY1064" s="6" t="n">
        <v>1</v>
      </c>
      <c r="CZ1064" s="6" t="s">
        <v>9699</v>
      </c>
      <c r="DA1064" s="6" t="n">
        <v>1</v>
      </c>
      <c r="DB1064" s="6" t="s">
        <v>9700</v>
      </c>
      <c r="DC1064" s="6" t="n">
        <v>1</v>
      </c>
      <c r="DD1064" s="6" t="s">
        <v>9701</v>
      </c>
      <c r="DE1064" s="6" t="n">
        <v>1</v>
      </c>
      <c r="DF1064" s="6" t="s">
        <v>9702</v>
      </c>
      <c r="DG1064" s="6" t="n">
        <v>0</v>
      </c>
      <c r="DH1064" s="6" t="s">
        <v>9703</v>
      </c>
      <c r="DI1064" s="6" t="n">
        <v>0</v>
      </c>
      <c r="DJ1064" s="6" t="s">
        <v>9704</v>
      </c>
      <c r="DK1064" s="6" t="n">
        <v>0</v>
      </c>
      <c r="DL1064" s="6" t="s">
        <v>9705</v>
      </c>
      <c r="DM1064" s="6" t="n">
        <v>0</v>
      </c>
      <c r="DN1064" s="6" t="s">
        <v>9706</v>
      </c>
      <c r="DO1064" s="6" t="n">
        <v>0</v>
      </c>
      <c r="DP1064" s="6" t="s">
        <v>9707</v>
      </c>
      <c r="DQ1064" s="6" t="n">
        <v>0</v>
      </c>
      <c r="DR1064" s="6" t="s">
        <v>9708</v>
      </c>
      <c r="DS1064" s="6" t="n">
        <v>0</v>
      </c>
      <c r="DT1064" s="6" t="s">
        <v>9709</v>
      </c>
      <c r="DU1064" s="6" t="n">
        <v>0</v>
      </c>
      <c r="DV1064" s="6" t="s">
        <v>9710</v>
      </c>
      <c r="DW1064" s="6" t="n">
        <v>0</v>
      </c>
      <c r="DX1064" s="6" t="s">
        <v>9711</v>
      </c>
      <c r="DY1064" s="6" t="n">
        <v>0</v>
      </c>
      <c r="DZ1064" s="6" t="s">
        <v>9712</v>
      </c>
      <c r="EA1064" s="6" t="n">
        <v>0</v>
      </c>
      <c r="EB1064" s="6" t="s">
        <v>9713</v>
      </c>
      <c r="EC1064" s="6" t="n">
        <v>0</v>
      </c>
      <c r="ED1064" s="6" t="s">
        <v>9714</v>
      </c>
      <c r="EE1064" s="6" t="n">
        <v>0</v>
      </c>
      <c r="EF1064" s="6" t="s">
        <v>9715</v>
      </c>
      <c r="EG1064" s="6" t="n">
        <v>0</v>
      </c>
      <c r="EH1064" s="6" t="s">
        <v>9716</v>
      </c>
      <c r="EI1064" s="6" t="n">
        <v>0</v>
      </c>
      <c r="EJ1064" s="6" t="s">
        <v>9717</v>
      </c>
      <c r="EK1064" s="6" t="n">
        <v>0</v>
      </c>
      <c r="EL1064" s="6" t="s">
        <v>9718</v>
      </c>
      <c r="EM1064" s="6" t="n">
        <v>0</v>
      </c>
      <c r="EN1064" s="6" t="s">
        <v>9719</v>
      </c>
      <c r="EO1064" s="6" t="n">
        <v>0</v>
      </c>
      <c r="EP1064" s="6" t="s">
        <v>9720</v>
      </c>
      <c r="EQ1064" s="6" t="n">
        <v>0</v>
      </c>
      <c r="ER1064" s="6" t="s">
        <v>9721</v>
      </c>
      <c r="ES1064" s="6" t="n">
        <v>0</v>
      </c>
      <c r="ET1064" s="6" t="s">
        <v>9722</v>
      </c>
      <c r="EU1064" s="6" t="n">
        <v>0</v>
      </c>
      <c r="EV1064" s="6" t="s">
        <v>9723</v>
      </c>
      <c r="EW1064" s="6" t="n">
        <v>0</v>
      </c>
      <c r="EX1064" s="6" t="s">
        <v>9724</v>
      </c>
      <c r="EY1064" s="6" t="n">
        <v>0</v>
      </c>
    </row>
    <row r="1065" customFormat="false" ht="12.8" hidden="false" customHeight="false" outlineLevel="0" collapsed="false">
      <c r="A1065" s="6" t="s">
        <v>9725</v>
      </c>
      <c r="B1065" s="6" t="n">
        <v>1817</v>
      </c>
      <c r="C1065" s="6" t="n">
        <v>605</v>
      </c>
      <c r="D1065" s="12" t="n">
        <f aca="false">C1065/(B1065+C1065)*100</f>
        <v>24.9793559042114</v>
      </c>
      <c r="E1065" s="6" t="n">
        <v>22</v>
      </c>
      <c r="F1065" s="6" t="s">
        <v>9726</v>
      </c>
      <c r="G1065" s="6" t="n">
        <v>198</v>
      </c>
      <c r="H1065" s="6" t="s">
        <v>9727</v>
      </c>
      <c r="I1065" s="6" t="n">
        <v>129</v>
      </c>
      <c r="J1065" s="6" t="s">
        <v>9728</v>
      </c>
      <c r="K1065" s="6" t="n">
        <v>99</v>
      </c>
      <c r="L1065" s="6" t="s">
        <v>9729</v>
      </c>
      <c r="M1065" s="6" t="n">
        <v>53</v>
      </c>
      <c r="N1065" s="6" t="s">
        <v>9730</v>
      </c>
      <c r="O1065" s="6" t="n">
        <v>52</v>
      </c>
      <c r="P1065" s="6" t="s">
        <v>9731</v>
      </c>
      <c r="Q1065" s="6" t="n">
        <v>32</v>
      </c>
      <c r="R1065" s="6" t="s">
        <v>9732</v>
      </c>
      <c r="S1065" s="6" t="n">
        <v>11</v>
      </c>
      <c r="T1065" s="6" t="s">
        <v>9733</v>
      </c>
      <c r="U1065" s="6" t="n">
        <v>9</v>
      </c>
      <c r="V1065" s="6" t="s">
        <v>9734</v>
      </c>
      <c r="W1065" s="6" t="n">
        <v>5</v>
      </c>
      <c r="X1065" s="6" t="s">
        <v>9735</v>
      </c>
      <c r="Y1065" s="6" t="n">
        <v>4</v>
      </c>
      <c r="Z1065" s="6" t="s">
        <v>9736</v>
      </c>
      <c r="AA1065" s="6" t="n">
        <v>4</v>
      </c>
      <c r="AB1065" s="6" t="s">
        <v>9737</v>
      </c>
      <c r="AC1065" s="6" t="n">
        <v>3</v>
      </c>
      <c r="AD1065" s="6" t="s">
        <v>9738</v>
      </c>
      <c r="AE1065" s="6" t="n">
        <v>2</v>
      </c>
      <c r="AF1065" s="6" t="s">
        <v>9739</v>
      </c>
      <c r="AG1065" s="6" t="n">
        <v>2</v>
      </c>
      <c r="AH1065" s="6" t="s">
        <v>9740</v>
      </c>
      <c r="AI1065" s="6" t="n">
        <v>1</v>
      </c>
      <c r="AJ1065" s="6" t="s">
        <v>9741</v>
      </c>
      <c r="AK1065" s="6" t="n">
        <v>1</v>
      </c>
      <c r="AL1065" s="6" t="s">
        <v>9742</v>
      </c>
      <c r="AM1065" s="6" t="n">
        <v>0</v>
      </c>
      <c r="AN1065" s="6" t="s">
        <v>9743</v>
      </c>
      <c r="AO1065" s="6" t="n">
        <v>0</v>
      </c>
      <c r="AP1065" s="6" t="s">
        <v>9744</v>
      </c>
      <c r="AQ1065" s="6" t="n">
        <v>0</v>
      </c>
      <c r="AR1065" s="6" t="s">
        <v>9745</v>
      </c>
      <c r="AS1065" s="6" t="n">
        <v>0</v>
      </c>
      <c r="AT1065" s="6" t="s">
        <v>9746</v>
      </c>
      <c r="AU1065" s="6" t="n">
        <v>0</v>
      </c>
      <c r="AV1065" s="6" t="s">
        <v>9747</v>
      </c>
      <c r="AW1065" s="6" t="n">
        <v>0</v>
      </c>
    </row>
    <row r="1066" customFormat="false" ht="12.8" hidden="false" customHeight="false" outlineLevel="0" collapsed="false">
      <c r="A1066" s="6" t="s">
        <v>9748</v>
      </c>
      <c r="B1066" s="6" t="n">
        <v>1823</v>
      </c>
      <c r="C1066" s="6" t="n">
        <v>2418</v>
      </c>
      <c r="D1066" s="12" t="n">
        <f aca="false">C1066/(B1066+C1066)*100</f>
        <v>57.0148549870314</v>
      </c>
      <c r="E1066" s="6" t="n">
        <v>57</v>
      </c>
      <c r="F1066" s="6" t="s">
        <v>9749</v>
      </c>
      <c r="G1066" s="6" t="n">
        <v>851</v>
      </c>
      <c r="H1066" s="6" t="s">
        <v>9750</v>
      </c>
      <c r="I1066" s="6" t="n">
        <v>723</v>
      </c>
      <c r="J1066" s="6" t="s">
        <v>9751</v>
      </c>
      <c r="K1066" s="6" t="n">
        <v>283</v>
      </c>
      <c r="L1066" s="6" t="s">
        <v>9752</v>
      </c>
      <c r="M1066" s="6" t="n">
        <v>123</v>
      </c>
      <c r="N1066" s="6" t="s">
        <v>9753</v>
      </c>
      <c r="O1066" s="6" t="n">
        <v>106</v>
      </c>
      <c r="P1066" s="6" t="s">
        <v>9754</v>
      </c>
      <c r="Q1066" s="6" t="n">
        <v>91</v>
      </c>
      <c r="R1066" s="6" t="s">
        <v>9755</v>
      </c>
      <c r="S1066" s="6" t="n">
        <v>56</v>
      </c>
      <c r="T1066" s="6" t="s">
        <v>9756</v>
      </c>
      <c r="U1066" s="6" t="n">
        <v>26</v>
      </c>
      <c r="V1066" s="6" t="s">
        <v>9757</v>
      </c>
      <c r="W1066" s="6" t="n">
        <v>25</v>
      </c>
      <c r="X1066" s="6" t="s">
        <v>9758</v>
      </c>
      <c r="Y1066" s="6" t="n">
        <v>21</v>
      </c>
      <c r="Z1066" s="6" t="s">
        <v>9759</v>
      </c>
      <c r="AA1066" s="6" t="n">
        <v>13</v>
      </c>
      <c r="AB1066" s="6" t="s">
        <v>9760</v>
      </c>
      <c r="AC1066" s="6" t="n">
        <v>12</v>
      </c>
      <c r="AD1066" s="6" t="s">
        <v>9761</v>
      </c>
      <c r="AE1066" s="6" t="n">
        <v>9</v>
      </c>
      <c r="AF1066" s="6" t="s">
        <v>9762</v>
      </c>
      <c r="AG1066" s="6" t="n">
        <v>7</v>
      </c>
      <c r="AH1066" s="6" t="s">
        <v>9763</v>
      </c>
      <c r="AI1066" s="6" t="n">
        <v>7</v>
      </c>
      <c r="AJ1066" s="6" t="s">
        <v>9764</v>
      </c>
      <c r="AK1066" s="6" t="n">
        <v>6</v>
      </c>
      <c r="AL1066" s="6" t="s">
        <v>9765</v>
      </c>
      <c r="AM1066" s="6" t="n">
        <v>6</v>
      </c>
      <c r="AN1066" s="6" t="s">
        <v>9766</v>
      </c>
      <c r="AO1066" s="6" t="n">
        <v>5</v>
      </c>
      <c r="AP1066" s="6" t="s">
        <v>9767</v>
      </c>
      <c r="AQ1066" s="6" t="n">
        <v>5</v>
      </c>
      <c r="AR1066" s="6" t="s">
        <v>9768</v>
      </c>
      <c r="AS1066" s="6" t="n">
        <v>4</v>
      </c>
      <c r="AT1066" s="6" t="s">
        <v>9769</v>
      </c>
      <c r="AU1066" s="6" t="n">
        <v>4</v>
      </c>
      <c r="AV1066" s="6" t="s">
        <v>9770</v>
      </c>
      <c r="AW1066" s="6" t="n">
        <v>4</v>
      </c>
      <c r="AX1066" s="6" t="s">
        <v>9771</v>
      </c>
      <c r="AY1066" s="6" t="n">
        <v>4</v>
      </c>
      <c r="AZ1066" s="6" t="s">
        <v>9772</v>
      </c>
      <c r="BA1066" s="6" t="n">
        <v>3</v>
      </c>
      <c r="BB1066" s="6" t="s">
        <v>9773</v>
      </c>
      <c r="BC1066" s="6" t="n">
        <v>3</v>
      </c>
      <c r="BD1066" s="6" t="s">
        <v>9774</v>
      </c>
      <c r="BE1066" s="6" t="n">
        <v>1</v>
      </c>
      <c r="BF1066" s="6" t="s">
        <v>9775</v>
      </c>
      <c r="BG1066" s="6" t="n">
        <v>1</v>
      </c>
      <c r="BH1066" s="6" t="s">
        <v>9776</v>
      </c>
      <c r="BI1066" s="6" t="n">
        <v>1</v>
      </c>
      <c r="BJ1066" s="6" t="s">
        <v>9777</v>
      </c>
      <c r="BK1066" s="6" t="n">
        <v>1</v>
      </c>
      <c r="BL1066" s="6" t="s">
        <v>9778</v>
      </c>
      <c r="BM1066" s="6" t="n">
        <v>1</v>
      </c>
      <c r="BN1066" s="6" t="s">
        <v>9779</v>
      </c>
      <c r="BO1066" s="6" t="n">
        <v>1</v>
      </c>
      <c r="BP1066" s="6" t="s">
        <v>9780</v>
      </c>
      <c r="BQ1066" s="6" t="n">
        <v>1</v>
      </c>
      <c r="BR1066" s="6" t="s">
        <v>9781</v>
      </c>
      <c r="BS1066" s="6" t="n">
        <v>1</v>
      </c>
      <c r="BT1066" s="6" t="s">
        <v>9782</v>
      </c>
      <c r="BU1066" s="6" t="n">
        <v>1</v>
      </c>
      <c r="BV1066" s="6" t="s">
        <v>9783</v>
      </c>
      <c r="BW1066" s="6" t="n">
        <v>1</v>
      </c>
      <c r="BX1066" s="6" t="s">
        <v>9784</v>
      </c>
      <c r="BY1066" s="6" t="n">
        <v>1</v>
      </c>
      <c r="BZ1066" s="6" t="s">
        <v>9785</v>
      </c>
      <c r="CA1066" s="6" t="n">
        <v>1</v>
      </c>
      <c r="CB1066" s="6" t="s">
        <v>9786</v>
      </c>
      <c r="CC1066" s="6" t="n">
        <v>1</v>
      </c>
      <c r="CD1066" s="6" t="s">
        <v>9787</v>
      </c>
      <c r="CE1066" s="6" t="n">
        <v>1</v>
      </c>
      <c r="CF1066" s="6" t="s">
        <v>9788</v>
      </c>
      <c r="CG1066" s="6" t="n">
        <v>1</v>
      </c>
      <c r="CH1066" s="6" t="s">
        <v>9789</v>
      </c>
      <c r="CI1066" s="6" t="n">
        <v>1</v>
      </c>
      <c r="CJ1066" s="6" t="s">
        <v>9790</v>
      </c>
      <c r="CK1066" s="6" t="n">
        <v>1</v>
      </c>
      <c r="CL1066" s="6" t="s">
        <v>9791</v>
      </c>
      <c r="CM1066" s="6" t="n">
        <v>1</v>
      </c>
      <c r="CN1066" s="6" t="s">
        <v>9792</v>
      </c>
      <c r="CO1066" s="6" t="n">
        <v>1</v>
      </c>
      <c r="CP1066" s="6" t="s">
        <v>9793</v>
      </c>
      <c r="CQ1066" s="6" t="n">
        <v>1</v>
      </c>
      <c r="CR1066" s="6" t="s">
        <v>9794</v>
      </c>
      <c r="CS1066" s="6" t="n">
        <v>1</v>
      </c>
      <c r="CT1066" s="6" t="s">
        <v>9795</v>
      </c>
      <c r="CU1066" s="6" t="n">
        <v>0</v>
      </c>
      <c r="CV1066" s="6" t="s">
        <v>9796</v>
      </c>
      <c r="CW1066" s="6" t="n">
        <v>0</v>
      </c>
      <c r="CX1066" s="6" t="s">
        <v>9797</v>
      </c>
      <c r="CY1066" s="6" t="n">
        <v>0</v>
      </c>
      <c r="CZ1066" s="6" t="s">
        <v>9798</v>
      </c>
      <c r="DA1066" s="6" t="n">
        <v>0</v>
      </c>
      <c r="DB1066" s="6" t="s">
        <v>9799</v>
      </c>
      <c r="DC1066" s="6" t="n">
        <v>0</v>
      </c>
      <c r="DD1066" s="6" t="s">
        <v>9800</v>
      </c>
      <c r="DE1066" s="6" t="n">
        <v>0</v>
      </c>
      <c r="DF1066" s="6" t="s">
        <v>9801</v>
      </c>
      <c r="DG1066" s="6" t="n">
        <v>0</v>
      </c>
      <c r="DH1066" s="6" t="s">
        <v>9802</v>
      </c>
      <c r="DI1066" s="6" t="n">
        <v>0</v>
      </c>
      <c r="DJ1066" s="6" t="s">
        <v>9803</v>
      </c>
      <c r="DK1066" s="6" t="n">
        <v>0</v>
      </c>
      <c r="DL1066" s="6" t="s">
        <v>9804</v>
      </c>
      <c r="DM1066" s="6" t="n">
        <v>0</v>
      </c>
      <c r="DN1066" s="6" t="s">
        <v>9805</v>
      </c>
      <c r="DO1066" s="6" t="n">
        <v>0</v>
      </c>
    </row>
    <row r="1067" customFormat="false" ht="12.8" hidden="false" customHeight="false" outlineLevel="0" collapsed="false">
      <c r="A1067" s="6" t="s">
        <v>9806</v>
      </c>
      <c r="B1067" s="6" t="n">
        <v>1825</v>
      </c>
      <c r="C1067" s="6" t="n">
        <v>459</v>
      </c>
      <c r="D1067" s="12" t="n">
        <f aca="false">C1067/(B1067+C1067)*100</f>
        <v>20.0963222416813</v>
      </c>
      <c r="E1067" s="6" t="n">
        <v>22</v>
      </c>
      <c r="F1067" s="6" t="s">
        <v>9807</v>
      </c>
      <c r="G1067" s="6" t="n">
        <v>98</v>
      </c>
      <c r="H1067" s="6" t="s">
        <v>9808</v>
      </c>
      <c r="I1067" s="6" t="n">
        <v>73</v>
      </c>
      <c r="J1067" s="6" t="s">
        <v>9809</v>
      </c>
      <c r="K1067" s="6" t="n">
        <v>59</v>
      </c>
      <c r="L1067" s="6" t="s">
        <v>9810</v>
      </c>
      <c r="M1067" s="6" t="n">
        <v>49</v>
      </c>
      <c r="N1067" s="6" t="s">
        <v>9811</v>
      </c>
      <c r="O1067" s="6" t="n">
        <v>46</v>
      </c>
      <c r="P1067" s="6" t="s">
        <v>9812</v>
      </c>
      <c r="Q1067" s="6" t="n">
        <v>42</v>
      </c>
      <c r="R1067" s="6" t="s">
        <v>9813</v>
      </c>
      <c r="S1067" s="6" t="n">
        <v>34</v>
      </c>
      <c r="T1067" s="6" t="s">
        <v>9814</v>
      </c>
      <c r="U1067" s="6" t="n">
        <v>25</v>
      </c>
      <c r="V1067" s="6" t="s">
        <v>9815</v>
      </c>
      <c r="W1067" s="6" t="n">
        <v>13</v>
      </c>
      <c r="X1067" s="6" t="s">
        <v>9816</v>
      </c>
      <c r="Y1067" s="6" t="n">
        <v>5</v>
      </c>
      <c r="Z1067" s="6" t="s">
        <v>9817</v>
      </c>
      <c r="AA1067" s="6" t="n">
        <v>4</v>
      </c>
      <c r="AB1067" s="6" t="s">
        <v>9818</v>
      </c>
      <c r="AC1067" s="6" t="n">
        <v>3</v>
      </c>
      <c r="AD1067" s="6" t="s">
        <v>9819</v>
      </c>
      <c r="AE1067" s="6" t="n">
        <v>2</v>
      </c>
      <c r="AF1067" s="6" t="s">
        <v>9820</v>
      </c>
      <c r="AG1067" s="6" t="n">
        <v>2</v>
      </c>
      <c r="AH1067" s="6" t="s">
        <v>9821</v>
      </c>
      <c r="AI1067" s="6" t="n">
        <v>2</v>
      </c>
      <c r="AJ1067" s="6" t="s">
        <v>9822</v>
      </c>
      <c r="AK1067" s="6" t="n">
        <v>1</v>
      </c>
      <c r="AL1067" s="6" t="s">
        <v>9823</v>
      </c>
      <c r="AM1067" s="6" t="n">
        <v>1</v>
      </c>
      <c r="AN1067" s="6" t="s">
        <v>9824</v>
      </c>
      <c r="AO1067" s="6" t="n">
        <v>0</v>
      </c>
      <c r="AP1067" s="6" t="s">
        <v>9825</v>
      </c>
      <c r="AQ1067" s="6" t="n">
        <v>0</v>
      </c>
      <c r="AR1067" s="6" t="s">
        <v>9826</v>
      </c>
      <c r="AS1067" s="6" t="n">
        <v>0</v>
      </c>
      <c r="AT1067" s="6" t="s">
        <v>9827</v>
      </c>
      <c r="AU1067" s="6" t="n">
        <v>0</v>
      </c>
      <c r="AV1067" s="6" t="s">
        <v>9828</v>
      </c>
      <c r="AW1067" s="6" t="n">
        <v>0</v>
      </c>
    </row>
    <row r="1068" customFormat="false" ht="12.8" hidden="false" customHeight="false" outlineLevel="0" collapsed="false">
      <c r="A1068" s="6" t="s">
        <v>9829</v>
      </c>
      <c r="B1068" s="6" t="n">
        <v>1841</v>
      </c>
      <c r="C1068" s="6" t="n">
        <v>178</v>
      </c>
      <c r="D1068" s="12" t="n">
        <f aca="false">C1068/(B1068+C1068)*100</f>
        <v>8.81624566617137</v>
      </c>
      <c r="E1068" s="6" t="n">
        <v>9</v>
      </c>
      <c r="F1068" s="6" t="s">
        <v>9830</v>
      </c>
      <c r="G1068" s="6" t="n">
        <v>156</v>
      </c>
      <c r="H1068" s="6" t="s">
        <v>9831</v>
      </c>
      <c r="I1068" s="6" t="n">
        <v>10</v>
      </c>
      <c r="J1068" s="6" t="s">
        <v>9832</v>
      </c>
      <c r="K1068" s="6" t="n">
        <v>6</v>
      </c>
      <c r="L1068" s="6" t="s">
        <v>9833</v>
      </c>
      <c r="M1068" s="6" t="n">
        <v>3</v>
      </c>
      <c r="N1068" s="6" t="s">
        <v>9834</v>
      </c>
      <c r="O1068" s="6" t="n">
        <v>1</v>
      </c>
      <c r="P1068" s="6" t="s">
        <v>9835</v>
      </c>
      <c r="Q1068" s="6" t="n">
        <v>1</v>
      </c>
      <c r="R1068" s="6" t="s">
        <v>9836</v>
      </c>
      <c r="S1068" s="6" t="n">
        <v>1</v>
      </c>
      <c r="T1068" s="6" t="s">
        <v>9837</v>
      </c>
      <c r="U1068" s="6" t="n">
        <v>0</v>
      </c>
      <c r="V1068" s="6" t="s">
        <v>9838</v>
      </c>
      <c r="W1068" s="6" t="n">
        <v>0</v>
      </c>
    </row>
    <row r="1069" customFormat="false" ht="12.8" hidden="false" customHeight="false" outlineLevel="0" collapsed="false">
      <c r="A1069" s="6" t="s">
        <v>9839</v>
      </c>
      <c r="B1069" s="6" t="n">
        <v>1868</v>
      </c>
      <c r="C1069" s="6" t="n">
        <v>161</v>
      </c>
      <c r="D1069" s="12" t="n">
        <f aca="false">C1069/(B1069+C1069)*100</f>
        <v>7.93494332183342</v>
      </c>
      <c r="E1069" s="6" t="n">
        <v>10</v>
      </c>
      <c r="F1069" s="6" t="s">
        <v>9840</v>
      </c>
      <c r="G1069" s="6" t="n">
        <v>120</v>
      </c>
      <c r="H1069" s="6" t="s">
        <v>9841</v>
      </c>
      <c r="I1069" s="6" t="n">
        <v>12</v>
      </c>
      <c r="J1069" s="6" t="s">
        <v>9842</v>
      </c>
      <c r="K1069" s="6" t="n">
        <v>11</v>
      </c>
      <c r="L1069" s="6" t="s">
        <v>9843</v>
      </c>
      <c r="M1069" s="6" t="n">
        <v>5</v>
      </c>
      <c r="N1069" s="6" t="s">
        <v>9844</v>
      </c>
      <c r="O1069" s="6" t="n">
        <v>5</v>
      </c>
      <c r="P1069" s="6" t="s">
        <v>9845</v>
      </c>
      <c r="Q1069" s="6" t="n">
        <v>3</v>
      </c>
      <c r="R1069" s="6" t="s">
        <v>9846</v>
      </c>
      <c r="S1069" s="6" t="n">
        <v>2</v>
      </c>
      <c r="T1069" s="6" t="s">
        <v>9847</v>
      </c>
      <c r="U1069" s="6" t="n">
        <v>2</v>
      </c>
      <c r="V1069" s="6" t="s">
        <v>9848</v>
      </c>
      <c r="W1069" s="6" t="n">
        <v>1</v>
      </c>
      <c r="X1069" s="6" t="s">
        <v>9849</v>
      </c>
      <c r="Y1069" s="6" t="n">
        <v>0</v>
      </c>
    </row>
    <row r="1070" customFormat="false" ht="12.8" hidden="false" customHeight="false" outlineLevel="0" collapsed="false">
      <c r="A1070" s="6" t="s">
        <v>9850</v>
      </c>
      <c r="B1070" s="6" t="n">
        <v>1877</v>
      </c>
      <c r="C1070" s="6" t="n">
        <v>34</v>
      </c>
      <c r="D1070" s="12" t="n">
        <f aca="false">C1070/(B1070+C1070)*100</f>
        <v>1.77917320774464</v>
      </c>
      <c r="E1070" s="6" t="n">
        <v>13</v>
      </c>
      <c r="F1070" s="6" t="s">
        <v>9851</v>
      </c>
      <c r="G1070" s="6" t="n">
        <v>11</v>
      </c>
      <c r="H1070" s="6" t="s">
        <v>9852</v>
      </c>
      <c r="I1070" s="6" t="n">
        <v>8</v>
      </c>
      <c r="J1070" s="6" t="s">
        <v>9853</v>
      </c>
      <c r="K1070" s="6" t="n">
        <v>7</v>
      </c>
      <c r="L1070" s="6" t="s">
        <v>9854</v>
      </c>
      <c r="M1070" s="6" t="n">
        <v>4</v>
      </c>
      <c r="N1070" s="6" t="s">
        <v>9855</v>
      </c>
      <c r="O1070" s="6" t="n">
        <v>2</v>
      </c>
      <c r="P1070" s="6" t="s">
        <v>9856</v>
      </c>
      <c r="Q1070" s="6" t="n">
        <v>1</v>
      </c>
      <c r="R1070" s="6" t="s">
        <v>9857</v>
      </c>
      <c r="S1070" s="6" t="n">
        <v>1</v>
      </c>
      <c r="T1070" s="6" t="s">
        <v>9858</v>
      </c>
      <c r="U1070" s="6" t="n">
        <v>0</v>
      </c>
      <c r="V1070" s="6" t="s">
        <v>9859</v>
      </c>
      <c r="W1070" s="6" t="n">
        <v>0</v>
      </c>
      <c r="X1070" s="6" t="s">
        <v>9860</v>
      </c>
      <c r="Y1070" s="6" t="n">
        <v>0</v>
      </c>
      <c r="Z1070" s="6" t="s">
        <v>9861</v>
      </c>
      <c r="AA1070" s="6" t="n">
        <v>0</v>
      </c>
      <c r="AB1070" s="6" t="s">
        <v>9862</v>
      </c>
      <c r="AC1070" s="6" t="n">
        <v>0</v>
      </c>
      <c r="AD1070" s="6" t="s">
        <v>9863</v>
      </c>
      <c r="AE1070" s="6" t="n">
        <v>0</v>
      </c>
    </row>
    <row r="1071" customFormat="false" ht="12.8" hidden="false" customHeight="false" outlineLevel="0" collapsed="false">
      <c r="A1071" s="6" t="s">
        <v>9864</v>
      </c>
      <c r="B1071" s="6" t="n">
        <v>2012</v>
      </c>
      <c r="C1071" s="6" t="n">
        <v>529</v>
      </c>
      <c r="D1071" s="12" t="n">
        <f aca="false">C1071/(B1071+C1071)*100</f>
        <v>20.8185753640299</v>
      </c>
      <c r="E1071" s="6" t="n">
        <v>23</v>
      </c>
      <c r="F1071" s="6" t="s">
        <v>9865</v>
      </c>
      <c r="G1071" s="6" t="n">
        <v>234</v>
      </c>
      <c r="H1071" s="6" t="s">
        <v>9866</v>
      </c>
      <c r="I1071" s="6" t="n">
        <v>110</v>
      </c>
      <c r="J1071" s="6" t="s">
        <v>9867</v>
      </c>
      <c r="K1071" s="6" t="n">
        <v>103</v>
      </c>
      <c r="L1071" s="6" t="s">
        <v>9868</v>
      </c>
      <c r="M1071" s="6" t="n">
        <v>23</v>
      </c>
      <c r="N1071" s="6" t="s">
        <v>9869</v>
      </c>
      <c r="O1071" s="6" t="n">
        <v>18</v>
      </c>
      <c r="P1071" s="6" t="s">
        <v>9870</v>
      </c>
      <c r="Q1071" s="6" t="n">
        <v>16</v>
      </c>
      <c r="R1071" s="6" t="s">
        <v>9871</v>
      </c>
      <c r="S1071" s="6" t="n">
        <v>5</v>
      </c>
      <c r="T1071" s="6" t="s">
        <v>9872</v>
      </c>
      <c r="U1071" s="6" t="n">
        <v>3</v>
      </c>
      <c r="V1071" s="6" t="s">
        <v>9873</v>
      </c>
      <c r="W1071" s="6" t="n">
        <v>3</v>
      </c>
      <c r="X1071" s="6" t="s">
        <v>9874</v>
      </c>
      <c r="Y1071" s="6" t="n">
        <v>3</v>
      </c>
      <c r="Z1071" s="6" t="s">
        <v>9875</v>
      </c>
      <c r="AA1071" s="6" t="n">
        <v>3</v>
      </c>
      <c r="AB1071" s="6" t="s">
        <v>9876</v>
      </c>
      <c r="AC1071" s="6" t="n">
        <v>2</v>
      </c>
      <c r="AD1071" s="6" t="s">
        <v>9877</v>
      </c>
      <c r="AE1071" s="6" t="n">
        <v>1</v>
      </c>
      <c r="AF1071" s="6" t="s">
        <v>9878</v>
      </c>
      <c r="AG1071" s="6" t="n">
        <v>1</v>
      </c>
      <c r="AH1071" s="6" t="s">
        <v>9879</v>
      </c>
      <c r="AI1071" s="6" t="n">
        <v>1</v>
      </c>
      <c r="AJ1071" s="6" t="s">
        <v>9880</v>
      </c>
      <c r="AK1071" s="6" t="n">
        <v>1</v>
      </c>
      <c r="AL1071" s="6" t="s">
        <v>9881</v>
      </c>
      <c r="AM1071" s="6" t="n">
        <v>1</v>
      </c>
      <c r="AN1071" s="6" t="s">
        <v>9882</v>
      </c>
      <c r="AO1071" s="6" t="n">
        <v>1</v>
      </c>
      <c r="AP1071" s="6" t="s">
        <v>9883</v>
      </c>
      <c r="AQ1071" s="6" t="n">
        <v>0</v>
      </c>
      <c r="AR1071" s="6" t="s">
        <v>9884</v>
      </c>
      <c r="AS1071" s="6" t="n">
        <v>0</v>
      </c>
      <c r="AT1071" s="6" t="s">
        <v>9885</v>
      </c>
      <c r="AU1071" s="6" t="n">
        <v>0</v>
      </c>
      <c r="AV1071" s="6" t="s">
        <v>9886</v>
      </c>
      <c r="AW1071" s="6" t="n">
        <v>0</v>
      </c>
      <c r="AX1071" s="6" t="s">
        <v>9887</v>
      </c>
      <c r="AY1071" s="6" t="n">
        <v>0</v>
      </c>
    </row>
    <row r="1072" customFormat="false" ht="12.8" hidden="false" customHeight="false" outlineLevel="0" collapsed="false">
      <c r="A1072" s="6" t="s">
        <v>9888</v>
      </c>
      <c r="B1072" s="6" t="n">
        <v>2061</v>
      </c>
      <c r="C1072" s="6" t="n">
        <v>9432</v>
      </c>
      <c r="D1072" s="12" t="n">
        <f aca="false">C1072/(B1072+C1072)*100</f>
        <v>82.0673453406421</v>
      </c>
      <c r="E1072" s="6" t="n">
        <v>112</v>
      </c>
      <c r="F1072" s="6" t="s">
        <v>9649</v>
      </c>
      <c r="G1072" s="6" t="n">
        <v>1791</v>
      </c>
      <c r="H1072" s="6" t="s">
        <v>9889</v>
      </c>
      <c r="I1072" s="6" t="n">
        <v>721</v>
      </c>
      <c r="J1072" s="6" t="s">
        <v>9890</v>
      </c>
      <c r="K1072" s="6" t="n">
        <v>702</v>
      </c>
      <c r="L1072" s="6" t="s">
        <v>9891</v>
      </c>
      <c r="M1072" s="6" t="n">
        <v>579</v>
      </c>
      <c r="N1072" s="6" t="s">
        <v>9892</v>
      </c>
      <c r="O1072" s="6" t="n">
        <v>576</v>
      </c>
      <c r="P1072" s="6" t="s">
        <v>9893</v>
      </c>
      <c r="Q1072" s="6" t="n">
        <v>548</v>
      </c>
      <c r="R1072" s="6" t="s">
        <v>9894</v>
      </c>
      <c r="S1072" s="6" t="n">
        <v>522</v>
      </c>
      <c r="T1072" s="6" t="s">
        <v>7332</v>
      </c>
      <c r="U1072" s="6" t="n">
        <v>353</v>
      </c>
      <c r="V1072" s="6" t="s">
        <v>258</v>
      </c>
      <c r="W1072" s="6" t="n">
        <v>311</v>
      </c>
      <c r="X1072" s="6" t="s">
        <v>270</v>
      </c>
      <c r="Y1072" s="6" t="n">
        <v>306</v>
      </c>
      <c r="Z1072" s="6" t="s">
        <v>270</v>
      </c>
      <c r="AA1072" s="6" t="n">
        <v>306</v>
      </c>
      <c r="AB1072" s="6" t="s">
        <v>9895</v>
      </c>
      <c r="AC1072" s="6" t="n">
        <v>240</v>
      </c>
      <c r="AD1072" s="6" t="s">
        <v>9896</v>
      </c>
      <c r="AE1072" s="6" t="n">
        <v>217</v>
      </c>
      <c r="AF1072" s="6" t="s">
        <v>9653</v>
      </c>
      <c r="AG1072" s="6" t="n">
        <v>210</v>
      </c>
      <c r="AH1072" s="6" t="s">
        <v>9897</v>
      </c>
      <c r="AI1072" s="6" t="n">
        <v>186</v>
      </c>
      <c r="AJ1072" s="6" t="s">
        <v>9898</v>
      </c>
      <c r="AK1072" s="6" t="n">
        <v>167</v>
      </c>
      <c r="AL1072" s="6" t="s">
        <v>9899</v>
      </c>
      <c r="AM1072" s="6" t="n">
        <v>155</v>
      </c>
      <c r="AN1072" s="6" t="s">
        <v>9900</v>
      </c>
      <c r="AO1072" s="6" t="n">
        <v>146</v>
      </c>
      <c r="AP1072" s="6" t="s">
        <v>9901</v>
      </c>
      <c r="AQ1072" s="6" t="n">
        <v>135</v>
      </c>
      <c r="AR1072" s="6" t="s">
        <v>9902</v>
      </c>
      <c r="AS1072" s="6" t="n">
        <v>123</v>
      </c>
      <c r="AT1072" s="6" t="s">
        <v>9903</v>
      </c>
      <c r="AU1072" s="6" t="n">
        <v>117</v>
      </c>
      <c r="AV1072" s="6" t="s">
        <v>9904</v>
      </c>
      <c r="AW1072" s="6" t="n">
        <v>97</v>
      </c>
      <c r="AX1072" s="6" t="s">
        <v>9905</v>
      </c>
      <c r="AY1072" s="6" t="n">
        <v>94</v>
      </c>
      <c r="AZ1072" s="6" t="s">
        <v>9906</v>
      </c>
      <c r="BA1072" s="6" t="n">
        <v>94</v>
      </c>
      <c r="BB1072" s="6" t="s">
        <v>9907</v>
      </c>
      <c r="BC1072" s="6" t="n">
        <v>79</v>
      </c>
      <c r="BD1072" s="6" t="s">
        <v>9908</v>
      </c>
      <c r="BE1072" s="6" t="n">
        <v>77</v>
      </c>
      <c r="BF1072" s="6" t="s">
        <v>9909</v>
      </c>
      <c r="BG1072" s="6" t="n">
        <v>73</v>
      </c>
      <c r="BH1072" s="6" t="s">
        <v>9910</v>
      </c>
      <c r="BI1072" s="6" t="n">
        <v>70</v>
      </c>
      <c r="BJ1072" s="6" t="s">
        <v>9911</v>
      </c>
      <c r="BK1072" s="6" t="n">
        <v>53</v>
      </c>
      <c r="BL1072" s="6" t="s">
        <v>9912</v>
      </c>
      <c r="BM1072" s="6" t="n">
        <v>43</v>
      </c>
      <c r="BN1072" s="6" t="s">
        <v>9913</v>
      </c>
      <c r="BO1072" s="6" t="n">
        <v>29</v>
      </c>
      <c r="BP1072" s="6" t="s">
        <v>2920</v>
      </c>
      <c r="BQ1072" s="6" t="n">
        <v>28</v>
      </c>
      <c r="BR1072" s="6" t="s">
        <v>9914</v>
      </c>
      <c r="BS1072" s="6" t="n">
        <v>26</v>
      </c>
      <c r="BT1072" s="6" t="s">
        <v>9915</v>
      </c>
      <c r="BU1072" s="6" t="n">
        <v>23</v>
      </c>
      <c r="BV1072" s="6" t="s">
        <v>9916</v>
      </c>
      <c r="BW1072" s="6" t="n">
        <v>22</v>
      </c>
      <c r="BX1072" s="6" t="s">
        <v>9917</v>
      </c>
      <c r="BY1072" s="6" t="n">
        <v>17</v>
      </c>
      <c r="BZ1072" s="6" t="s">
        <v>9918</v>
      </c>
      <c r="CA1072" s="6" t="n">
        <v>15</v>
      </c>
      <c r="CB1072" s="6" t="s">
        <v>9919</v>
      </c>
      <c r="CC1072" s="6" t="n">
        <v>14</v>
      </c>
      <c r="CD1072" s="6" t="s">
        <v>9920</v>
      </c>
      <c r="CE1072" s="6" t="n">
        <v>12</v>
      </c>
      <c r="CF1072" s="6" t="s">
        <v>9921</v>
      </c>
      <c r="CG1072" s="6" t="n">
        <v>10</v>
      </c>
      <c r="CH1072" s="6" t="s">
        <v>9922</v>
      </c>
      <c r="CI1072" s="6" t="n">
        <v>8</v>
      </c>
      <c r="CJ1072" s="6" t="s">
        <v>9923</v>
      </c>
      <c r="CK1072" s="6" t="n">
        <v>7</v>
      </c>
      <c r="CL1072" s="6" t="s">
        <v>9924</v>
      </c>
      <c r="CM1072" s="6" t="n">
        <v>7</v>
      </c>
      <c r="CN1072" s="6" t="s">
        <v>9925</v>
      </c>
      <c r="CO1072" s="6" t="n">
        <v>7</v>
      </c>
      <c r="CP1072" s="6" t="s">
        <v>9926</v>
      </c>
      <c r="CQ1072" s="6" t="n">
        <v>6</v>
      </c>
      <c r="CR1072" s="6" t="s">
        <v>9927</v>
      </c>
      <c r="CS1072" s="6" t="n">
        <v>6</v>
      </c>
      <c r="CT1072" s="6" t="s">
        <v>9928</v>
      </c>
      <c r="CU1072" s="6" t="n">
        <v>6</v>
      </c>
      <c r="CV1072" s="6" t="s">
        <v>9929</v>
      </c>
      <c r="CW1072" s="6" t="n">
        <v>6</v>
      </c>
      <c r="CX1072" s="6" t="s">
        <v>9930</v>
      </c>
      <c r="CY1072" s="6" t="n">
        <v>6</v>
      </c>
      <c r="CZ1072" s="6" t="s">
        <v>9931</v>
      </c>
      <c r="DA1072" s="6" t="n">
        <v>5</v>
      </c>
      <c r="DB1072" s="6" t="s">
        <v>9932</v>
      </c>
      <c r="DC1072" s="6" t="n">
        <v>5</v>
      </c>
      <c r="DD1072" s="6" t="s">
        <v>9933</v>
      </c>
      <c r="DE1072" s="6" t="n">
        <v>5</v>
      </c>
      <c r="DF1072" s="6" t="s">
        <v>9934</v>
      </c>
      <c r="DG1072" s="6" t="n">
        <v>4</v>
      </c>
      <c r="DH1072" s="6" t="s">
        <v>9935</v>
      </c>
      <c r="DI1072" s="6" t="n">
        <v>4</v>
      </c>
      <c r="DJ1072" s="6" t="s">
        <v>9936</v>
      </c>
      <c r="DK1072" s="6" t="n">
        <v>4</v>
      </c>
      <c r="DL1072" s="6" t="s">
        <v>9937</v>
      </c>
      <c r="DM1072" s="6" t="n">
        <v>4</v>
      </c>
      <c r="DN1072" s="6" t="s">
        <v>9938</v>
      </c>
      <c r="DO1072" s="6" t="n">
        <v>4</v>
      </c>
      <c r="DP1072" s="6" t="s">
        <v>9939</v>
      </c>
      <c r="DQ1072" s="6" t="n">
        <v>3</v>
      </c>
      <c r="DR1072" s="6" t="s">
        <v>9940</v>
      </c>
      <c r="DS1072" s="6" t="n">
        <v>3</v>
      </c>
      <c r="DT1072" s="6" t="s">
        <v>9941</v>
      </c>
      <c r="DU1072" s="6" t="n">
        <v>3</v>
      </c>
      <c r="DV1072" s="6" t="s">
        <v>9942</v>
      </c>
      <c r="DW1072" s="6" t="n">
        <v>3</v>
      </c>
      <c r="DX1072" s="6" t="s">
        <v>9943</v>
      </c>
      <c r="DY1072" s="6" t="n">
        <v>3</v>
      </c>
      <c r="DZ1072" s="6" t="s">
        <v>9944</v>
      </c>
      <c r="EA1072" s="6" t="n">
        <v>3</v>
      </c>
      <c r="EB1072" s="6" t="s">
        <v>9945</v>
      </c>
      <c r="EC1072" s="6" t="n">
        <v>2</v>
      </c>
      <c r="ED1072" s="6" t="s">
        <v>9946</v>
      </c>
      <c r="EE1072" s="6" t="n">
        <v>2</v>
      </c>
      <c r="EF1072" s="6" t="s">
        <v>9947</v>
      </c>
      <c r="EG1072" s="6" t="n">
        <v>2</v>
      </c>
      <c r="EH1072" s="6" t="s">
        <v>9948</v>
      </c>
      <c r="EI1072" s="6" t="n">
        <v>2</v>
      </c>
      <c r="EJ1072" s="6" t="s">
        <v>9949</v>
      </c>
      <c r="EK1072" s="6" t="n">
        <v>2</v>
      </c>
      <c r="EL1072" s="6" t="s">
        <v>9950</v>
      </c>
      <c r="EM1072" s="6" t="n">
        <v>2</v>
      </c>
      <c r="EN1072" s="6" t="s">
        <v>9951</v>
      </c>
      <c r="EO1072" s="6" t="n">
        <v>2</v>
      </c>
      <c r="EP1072" s="6" t="s">
        <v>9952</v>
      </c>
      <c r="EQ1072" s="6" t="n">
        <v>2</v>
      </c>
      <c r="ER1072" s="6" t="s">
        <v>7334</v>
      </c>
      <c r="ES1072" s="6" t="n">
        <v>1</v>
      </c>
      <c r="ET1072" s="6" t="s">
        <v>9953</v>
      </c>
      <c r="EU1072" s="6" t="n">
        <v>1</v>
      </c>
      <c r="EV1072" s="6" t="s">
        <v>9954</v>
      </c>
      <c r="EW1072" s="6" t="n">
        <v>1</v>
      </c>
      <c r="EX1072" s="6" t="s">
        <v>443</v>
      </c>
      <c r="EY1072" s="6" t="n">
        <v>1</v>
      </c>
      <c r="EZ1072" s="6" t="s">
        <v>9955</v>
      </c>
      <c r="FA1072" s="6" t="n">
        <v>1</v>
      </c>
      <c r="FB1072" s="6" t="s">
        <v>9955</v>
      </c>
      <c r="FC1072" s="6" t="n">
        <v>1</v>
      </c>
      <c r="FD1072" s="6" t="s">
        <v>9956</v>
      </c>
      <c r="FE1072" s="6" t="n">
        <v>1</v>
      </c>
      <c r="FF1072" s="6" t="s">
        <v>9957</v>
      </c>
      <c r="FG1072" s="6" t="n">
        <v>1</v>
      </c>
      <c r="FH1072" s="6" t="s">
        <v>9958</v>
      </c>
      <c r="FI1072" s="6" t="n">
        <v>1</v>
      </c>
      <c r="FJ1072" s="6" t="s">
        <v>9959</v>
      </c>
      <c r="FK1072" s="6" t="n">
        <v>1</v>
      </c>
      <c r="FL1072" s="6" t="s">
        <v>9960</v>
      </c>
      <c r="FM1072" s="6" t="n">
        <v>1</v>
      </c>
      <c r="FN1072" s="6" t="s">
        <v>9961</v>
      </c>
      <c r="FO1072" s="6" t="n">
        <v>1</v>
      </c>
      <c r="FP1072" s="6" t="s">
        <v>9961</v>
      </c>
      <c r="FQ1072" s="6" t="n">
        <v>1</v>
      </c>
      <c r="FR1072" s="6" t="s">
        <v>9962</v>
      </c>
      <c r="FS1072" s="6" t="n">
        <v>1</v>
      </c>
      <c r="FT1072" s="6" t="s">
        <v>9963</v>
      </c>
      <c r="FU1072" s="6" t="n">
        <v>1</v>
      </c>
      <c r="FV1072" s="6" t="s">
        <v>9964</v>
      </c>
      <c r="FW1072" s="6" t="n">
        <v>1</v>
      </c>
      <c r="FX1072" s="6" t="s">
        <v>9955</v>
      </c>
      <c r="FY1072" s="6" t="n">
        <v>1</v>
      </c>
      <c r="FZ1072" s="6" t="s">
        <v>9965</v>
      </c>
      <c r="GA1072" s="6" t="n">
        <v>0</v>
      </c>
      <c r="GB1072" s="6" t="s">
        <v>9966</v>
      </c>
      <c r="GC1072" s="6" t="n">
        <v>0</v>
      </c>
      <c r="GD1072" s="6" t="s">
        <v>9967</v>
      </c>
      <c r="GE1072" s="6" t="n">
        <v>0</v>
      </c>
      <c r="GF1072" s="6" t="s">
        <v>9968</v>
      </c>
      <c r="GG1072" s="6" t="n">
        <v>0</v>
      </c>
      <c r="GH1072" s="6" t="s">
        <v>9969</v>
      </c>
      <c r="GI1072" s="6" t="n">
        <v>0</v>
      </c>
      <c r="GJ1072" s="6" t="s">
        <v>9970</v>
      </c>
      <c r="GK1072" s="6" t="n">
        <v>0</v>
      </c>
      <c r="GL1072" s="6" t="s">
        <v>9971</v>
      </c>
      <c r="GM1072" s="6" t="n">
        <v>0</v>
      </c>
      <c r="GN1072" s="6" t="s">
        <v>9972</v>
      </c>
      <c r="GO1072" s="6" t="n">
        <v>0</v>
      </c>
      <c r="GP1072" s="6" t="s">
        <v>9973</v>
      </c>
      <c r="GQ1072" s="6" t="n">
        <v>0</v>
      </c>
      <c r="GR1072" s="6" t="s">
        <v>9974</v>
      </c>
      <c r="GS1072" s="6" t="n">
        <v>0</v>
      </c>
      <c r="GT1072" s="6" t="s">
        <v>9975</v>
      </c>
      <c r="GU1072" s="6" t="n">
        <v>0</v>
      </c>
      <c r="GV1072" s="6" t="s">
        <v>9976</v>
      </c>
      <c r="GW1072" s="6" t="n">
        <v>0</v>
      </c>
      <c r="GX1072" s="6" t="s">
        <v>9977</v>
      </c>
      <c r="GY1072" s="6" t="n">
        <v>0</v>
      </c>
      <c r="GZ1072" s="6" t="s">
        <v>9978</v>
      </c>
      <c r="HA1072" s="6" t="n">
        <v>0</v>
      </c>
      <c r="HB1072" s="6" t="s">
        <v>9979</v>
      </c>
      <c r="HC1072" s="6" t="n">
        <v>0</v>
      </c>
      <c r="HD1072" s="6" t="s">
        <v>9980</v>
      </c>
      <c r="HE1072" s="6" t="n">
        <v>0</v>
      </c>
      <c r="HF1072" s="6" t="s">
        <v>9981</v>
      </c>
      <c r="HG1072" s="6" t="n">
        <v>0</v>
      </c>
      <c r="HH1072" s="6" t="s">
        <v>9982</v>
      </c>
      <c r="HI1072" s="6" t="n">
        <v>0</v>
      </c>
      <c r="HJ1072" s="6" t="s">
        <v>9983</v>
      </c>
      <c r="HK1072" s="6" t="n">
        <v>0</v>
      </c>
      <c r="HL1072" s="6" t="s">
        <v>9984</v>
      </c>
      <c r="HM1072" s="6" t="n">
        <v>0</v>
      </c>
      <c r="HN1072" s="6" t="s">
        <v>9985</v>
      </c>
      <c r="HO1072" s="6" t="n">
        <v>0</v>
      </c>
      <c r="HP1072" s="6" t="s">
        <v>9986</v>
      </c>
      <c r="HQ1072" s="6" t="n">
        <v>0</v>
      </c>
      <c r="HR1072" s="6" t="s">
        <v>9987</v>
      </c>
      <c r="HS1072" s="6" t="n">
        <v>0</v>
      </c>
      <c r="HT1072" s="6" t="s">
        <v>9988</v>
      </c>
      <c r="HU1072" s="6" t="n">
        <v>0</v>
      </c>
    </row>
    <row r="1073" customFormat="false" ht="12.8" hidden="false" customHeight="false" outlineLevel="0" collapsed="false">
      <c r="A1073" s="6" t="s">
        <v>9989</v>
      </c>
      <c r="B1073" s="6" t="n">
        <v>2101</v>
      </c>
      <c r="C1073" s="6" t="n">
        <v>716</v>
      </c>
      <c r="D1073" s="12" t="n">
        <f aca="false">C1073/(B1073+C1073)*100</f>
        <v>25.417110401136</v>
      </c>
      <c r="E1073" s="6" t="n">
        <v>6</v>
      </c>
      <c r="F1073" s="6" t="s">
        <v>9990</v>
      </c>
      <c r="G1073" s="6" t="n">
        <v>606</v>
      </c>
      <c r="H1073" s="6" t="s">
        <v>9991</v>
      </c>
      <c r="I1073" s="6" t="n">
        <v>58</v>
      </c>
      <c r="J1073" s="6" t="s">
        <v>9992</v>
      </c>
      <c r="K1073" s="6" t="n">
        <v>50</v>
      </c>
      <c r="L1073" s="6" t="s">
        <v>9993</v>
      </c>
      <c r="M1073" s="6" t="n">
        <v>1</v>
      </c>
      <c r="N1073" s="6" t="s">
        <v>9994</v>
      </c>
      <c r="O1073" s="6" t="n">
        <v>1</v>
      </c>
      <c r="P1073" s="6" t="s">
        <v>9995</v>
      </c>
      <c r="Q1073" s="6" t="n">
        <v>0</v>
      </c>
    </row>
    <row r="1074" customFormat="false" ht="12.8" hidden="false" customHeight="false" outlineLevel="0" collapsed="false">
      <c r="A1074" s="6" t="s">
        <v>9996</v>
      </c>
      <c r="B1074" s="6" t="n">
        <v>2203</v>
      </c>
      <c r="C1074" s="6" t="n">
        <v>2</v>
      </c>
      <c r="D1074" s="12" t="n">
        <f aca="false">C1074/(B1074+C1074)*100</f>
        <v>0.090702947845805</v>
      </c>
      <c r="E1074" s="6" t="n">
        <v>3</v>
      </c>
      <c r="F1074" s="6" t="s">
        <v>9997</v>
      </c>
      <c r="G1074" s="6" t="n">
        <v>2</v>
      </c>
      <c r="H1074" s="6" t="s">
        <v>9998</v>
      </c>
      <c r="I1074" s="6" t="n">
        <v>0</v>
      </c>
      <c r="J1074" s="6" t="s">
        <v>9999</v>
      </c>
      <c r="K1074" s="6" t="n">
        <v>0</v>
      </c>
    </row>
    <row r="1075" customFormat="false" ht="12.8" hidden="false" customHeight="false" outlineLevel="0" collapsed="false">
      <c r="A1075" s="6" t="s">
        <v>10000</v>
      </c>
      <c r="B1075" s="6" t="n">
        <v>2210</v>
      </c>
      <c r="C1075" s="6" t="n">
        <v>723</v>
      </c>
      <c r="D1075" s="12" t="n">
        <f aca="false">C1075/(B1075+C1075)*100</f>
        <v>24.6505284691442</v>
      </c>
      <c r="E1075" s="6" t="n">
        <v>26</v>
      </c>
      <c r="F1075" s="6" t="s">
        <v>10001</v>
      </c>
      <c r="G1075" s="6" t="n">
        <v>173</v>
      </c>
      <c r="H1075" s="6" t="s">
        <v>10002</v>
      </c>
      <c r="I1075" s="6" t="n">
        <v>130</v>
      </c>
      <c r="J1075" s="6" t="s">
        <v>10003</v>
      </c>
      <c r="K1075" s="6" t="n">
        <v>94</v>
      </c>
      <c r="L1075" s="6" t="s">
        <v>10004</v>
      </c>
      <c r="M1075" s="6" t="n">
        <v>93</v>
      </c>
      <c r="N1075" s="6" t="s">
        <v>10005</v>
      </c>
      <c r="O1075" s="6" t="n">
        <v>59</v>
      </c>
      <c r="P1075" s="6" t="s">
        <v>10006</v>
      </c>
      <c r="Q1075" s="6" t="n">
        <v>52</v>
      </c>
      <c r="R1075" s="6" t="s">
        <v>10007</v>
      </c>
      <c r="S1075" s="6" t="n">
        <v>24</v>
      </c>
      <c r="T1075" s="6" t="s">
        <v>10008</v>
      </c>
      <c r="U1075" s="6" t="n">
        <v>15</v>
      </c>
      <c r="V1075" s="6" t="s">
        <v>10009</v>
      </c>
      <c r="W1075" s="6" t="n">
        <v>14</v>
      </c>
      <c r="X1075" s="6" t="s">
        <v>10010</v>
      </c>
      <c r="Y1075" s="6" t="n">
        <v>13</v>
      </c>
      <c r="Z1075" s="6" t="s">
        <v>10011</v>
      </c>
      <c r="AA1075" s="6" t="n">
        <v>13</v>
      </c>
      <c r="AB1075" s="6" t="s">
        <v>10012</v>
      </c>
      <c r="AC1075" s="6" t="n">
        <v>13</v>
      </c>
      <c r="AD1075" s="6" t="s">
        <v>10013</v>
      </c>
      <c r="AE1075" s="6" t="n">
        <v>9</v>
      </c>
      <c r="AF1075" s="6" t="s">
        <v>10014</v>
      </c>
      <c r="AG1075" s="6" t="n">
        <v>5</v>
      </c>
      <c r="AH1075" s="6" t="s">
        <v>10015</v>
      </c>
      <c r="AI1075" s="6" t="n">
        <v>4</v>
      </c>
      <c r="AJ1075" s="6" t="s">
        <v>10016</v>
      </c>
      <c r="AK1075" s="6" t="n">
        <v>3</v>
      </c>
      <c r="AL1075" s="6" t="s">
        <v>10017</v>
      </c>
      <c r="AM1075" s="6" t="n">
        <v>2</v>
      </c>
      <c r="AN1075" s="6" t="s">
        <v>10018</v>
      </c>
      <c r="AO1075" s="6" t="n">
        <v>1</v>
      </c>
      <c r="AP1075" s="6" t="s">
        <v>10019</v>
      </c>
      <c r="AQ1075" s="6" t="n">
        <v>1</v>
      </c>
      <c r="AR1075" s="6" t="s">
        <v>10020</v>
      </c>
      <c r="AS1075" s="6" t="n">
        <v>1</v>
      </c>
      <c r="AT1075" s="6" t="s">
        <v>10021</v>
      </c>
      <c r="AU1075" s="6" t="n">
        <v>1</v>
      </c>
      <c r="AV1075" s="6" t="s">
        <v>10022</v>
      </c>
      <c r="AW1075" s="6" t="n">
        <v>1</v>
      </c>
      <c r="AX1075" s="6" t="s">
        <v>10023</v>
      </c>
      <c r="AY1075" s="6" t="n">
        <v>1</v>
      </c>
      <c r="AZ1075" s="6" t="s">
        <v>10024</v>
      </c>
      <c r="BA1075" s="6" t="n">
        <v>1</v>
      </c>
      <c r="BB1075" s="6" t="s">
        <v>10025</v>
      </c>
      <c r="BC1075" s="6" t="n">
        <v>0</v>
      </c>
      <c r="BD1075" s="6" t="s">
        <v>10026</v>
      </c>
      <c r="BE1075" s="6" t="n">
        <v>0</v>
      </c>
    </row>
    <row r="1076" customFormat="false" ht="12.8" hidden="false" customHeight="false" outlineLevel="0" collapsed="false">
      <c r="A1076" s="6" t="s">
        <v>10027</v>
      </c>
      <c r="B1076" s="6" t="n">
        <v>2257</v>
      </c>
      <c r="C1076" s="6" t="n">
        <v>5093</v>
      </c>
      <c r="D1076" s="12" t="n">
        <f aca="false">C1076/(B1076+C1076)*100</f>
        <v>69.2925170068027</v>
      </c>
      <c r="E1076" s="6" t="n">
        <v>71</v>
      </c>
      <c r="F1076" s="6" t="s">
        <v>10028</v>
      </c>
      <c r="G1076" s="6" t="n">
        <v>1530</v>
      </c>
      <c r="H1076" s="6" t="s">
        <v>10029</v>
      </c>
      <c r="I1076" s="6" t="n">
        <v>1008</v>
      </c>
      <c r="J1076" s="6" t="s">
        <v>10030</v>
      </c>
      <c r="K1076" s="6" t="n">
        <v>371</v>
      </c>
      <c r="L1076" s="6" t="s">
        <v>10031</v>
      </c>
      <c r="M1076" s="6" t="n">
        <v>281</v>
      </c>
      <c r="N1076" s="6" t="s">
        <v>10032</v>
      </c>
      <c r="O1076" s="6" t="n">
        <v>218</v>
      </c>
      <c r="P1076" s="6" t="s">
        <v>10033</v>
      </c>
      <c r="Q1076" s="6" t="n">
        <v>202</v>
      </c>
      <c r="R1076" s="6" t="s">
        <v>10034</v>
      </c>
      <c r="S1076" s="6" t="n">
        <v>189</v>
      </c>
      <c r="T1076" s="6" t="s">
        <v>10035</v>
      </c>
      <c r="U1076" s="6" t="n">
        <v>163</v>
      </c>
      <c r="V1076" s="6" t="s">
        <v>10036</v>
      </c>
      <c r="W1076" s="6" t="n">
        <v>125</v>
      </c>
      <c r="X1076" s="6" t="s">
        <v>10037</v>
      </c>
      <c r="Y1076" s="6" t="n">
        <v>103</v>
      </c>
      <c r="Z1076" s="6" t="s">
        <v>10038</v>
      </c>
      <c r="AA1076" s="6" t="n">
        <v>86</v>
      </c>
      <c r="AB1076" s="6" t="s">
        <v>10039</v>
      </c>
      <c r="AC1076" s="6" t="n">
        <v>85</v>
      </c>
      <c r="AD1076" s="6" t="s">
        <v>10040</v>
      </c>
      <c r="AE1076" s="6" t="n">
        <v>84</v>
      </c>
      <c r="AF1076" s="6" t="s">
        <v>10041</v>
      </c>
      <c r="AG1076" s="6" t="n">
        <v>73</v>
      </c>
      <c r="AH1076" s="6" t="s">
        <v>10042</v>
      </c>
      <c r="AI1076" s="6" t="n">
        <v>65</v>
      </c>
      <c r="AJ1076" s="6" t="s">
        <v>10043</v>
      </c>
      <c r="AK1076" s="6" t="n">
        <v>62</v>
      </c>
      <c r="AL1076" s="6" t="s">
        <v>10044</v>
      </c>
      <c r="AM1076" s="6" t="n">
        <v>53</v>
      </c>
      <c r="AN1076" s="6" t="s">
        <v>10045</v>
      </c>
      <c r="AO1076" s="6" t="n">
        <v>50</v>
      </c>
      <c r="AP1076" s="6" t="s">
        <v>10046</v>
      </c>
      <c r="AQ1076" s="6" t="n">
        <v>47</v>
      </c>
      <c r="AR1076" s="6" t="s">
        <v>10047</v>
      </c>
      <c r="AS1076" s="6" t="n">
        <v>45</v>
      </c>
      <c r="AT1076" s="6" t="s">
        <v>10048</v>
      </c>
      <c r="AU1076" s="6" t="n">
        <v>25</v>
      </c>
      <c r="AV1076" s="6" t="s">
        <v>10049</v>
      </c>
      <c r="AW1076" s="6" t="n">
        <v>21</v>
      </c>
      <c r="AX1076" s="6" t="s">
        <v>10050</v>
      </c>
      <c r="AY1076" s="6" t="n">
        <v>20</v>
      </c>
      <c r="AZ1076" s="6" t="s">
        <v>10051</v>
      </c>
      <c r="BA1076" s="6" t="n">
        <v>18</v>
      </c>
      <c r="BB1076" s="6" t="s">
        <v>10052</v>
      </c>
      <c r="BC1076" s="6" t="n">
        <v>16</v>
      </c>
      <c r="BD1076" s="6" t="s">
        <v>10053</v>
      </c>
      <c r="BE1076" s="6" t="n">
        <v>15</v>
      </c>
      <c r="BF1076" s="6" t="s">
        <v>10054</v>
      </c>
      <c r="BG1076" s="6" t="n">
        <v>13</v>
      </c>
      <c r="BH1076" s="6" t="s">
        <v>10055</v>
      </c>
      <c r="BI1076" s="6" t="n">
        <v>13</v>
      </c>
      <c r="BJ1076" s="6" t="s">
        <v>10056</v>
      </c>
      <c r="BK1076" s="6" t="n">
        <v>13</v>
      </c>
      <c r="BL1076" s="6" t="s">
        <v>10057</v>
      </c>
      <c r="BM1076" s="6" t="n">
        <v>12</v>
      </c>
      <c r="BN1076" s="6" t="s">
        <v>10058</v>
      </c>
      <c r="BO1076" s="6" t="n">
        <v>11</v>
      </c>
      <c r="BP1076" s="6" t="s">
        <v>10059</v>
      </c>
      <c r="BQ1076" s="6" t="n">
        <v>10</v>
      </c>
      <c r="BR1076" s="6" t="s">
        <v>10060</v>
      </c>
      <c r="BS1076" s="6" t="n">
        <v>6</v>
      </c>
      <c r="BT1076" s="6" t="s">
        <v>10061</v>
      </c>
      <c r="BU1076" s="6" t="n">
        <v>6</v>
      </c>
      <c r="BV1076" s="6" t="s">
        <v>10062</v>
      </c>
      <c r="BW1076" s="6" t="n">
        <v>6</v>
      </c>
      <c r="BX1076" s="6" t="s">
        <v>10063</v>
      </c>
      <c r="BY1076" s="6" t="n">
        <v>5</v>
      </c>
      <c r="BZ1076" s="6" t="s">
        <v>10064</v>
      </c>
      <c r="CA1076" s="6" t="n">
        <v>5</v>
      </c>
      <c r="CB1076" s="6" t="s">
        <v>10065</v>
      </c>
      <c r="CC1076" s="6" t="n">
        <v>5</v>
      </c>
      <c r="CD1076" s="6" t="s">
        <v>10066</v>
      </c>
      <c r="CE1076" s="6" t="n">
        <v>5</v>
      </c>
      <c r="CF1076" s="6" t="s">
        <v>10067</v>
      </c>
      <c r="CG1076" s="6" t="n">
        <v>4</v>
      </c>
      <c r="CH1076" s="6" t="s">
        <v>10068</v>
      </c>
      <c r="CI1076" s="6" t="n">
        <v>4</v>
      </c>
      <c r="CJ1076" s="6" t="s">
        <v>10069</v>
      </c>
      <c r="CK1076" s="6" t="n">
        <v>4</v>
      </c>
      <c r="CL1076" s="6" t="s">
        <v>10070</v>
      </c>
      <c r="CM1076" s="6" t="n">
        <v>2</v>
      </c>
      <c r="CN1076" s="6" t="s">
        <v>10071</v>
      </c>
      <c r="CO1076" s="6" t="n">
        <v>2</v>
      </c>
      <c r="CP1076" s="6" t="s">
        <v>10072</v>
      </c>
      <c r="CQ1076" s="6" t="n">
        <v>1</v>
      </c>
      <c r="CR1076" s="6" t="s">
        <v>10073</v>
      </c>
      <c r="CS1076" s="6" t="n">
        <v>1</v>
      </c>
      <c r="CT1076" s="6" t="s">
        <v>10074</v>
      </c>
      <c r="CU1076" s="6" t="n">
        <v>1</v>
      </c>
      <c r="CV1076" s="6" t="s">
        <v>10075</v>
      </c>
      <c r="CW1076" s="6" t="n">
        <v>1</v>
      </c>
      <c r="CX1076" s="6" t="s">
        <v>10076</v>
      </c>
      <c r="CY1076" s="6" t="n">
        <v>1</v>
      </c>
      <c r="CZ1076" s="6" t="s">
        <v>10077</v>
      </c>
      <c r="DA1076" s="6" t="n">
        <v>1</v>
      </c>
      <c r="DB1076" s="6" t="s">
        <v>10078</v>
      </c>
      <c r="DC1076" s="6" t="n">
        <v>1</v>
      </c>
      <c r="DD1076" s="6" t="s">
        <v>10079</v>
      </c>
      <c r="DE1076" s="6" t="n">
        <v>1</v>
      </c>
      <c r="DF1076" s="6" t="s">
        <v>10080</v>
      </c>
      <c r="DG1076" s="6" t="n">
        <v>1</v>
      </c>
      <c r="DH1076" s="6" t="s">
        <v>10081</v>
      </c>
      <c r="DI1076" s="6" t="n">
        <v>1</v>
      </c>
      <c r="DJ1076" s="6" t="s">
        <v>10082</v>
      </c>
      <c r="DK1076" s="6" t="n">
        <v>1</v>
      </c>
      <c r="DL1076" s="6" t="s">
        <v>10083</v>
      </c>
      <c r="DM1076" s="6" t="n">
        <v>1</v>
      </c>
      <c r="DN1076" s="6" t="s">
        <v>10084</v>
      </c>
      <c r="DO1076" s="6" t="n">
        <v>0</v>
      </c>
      <c r="DP1076" s="6" t="s">
        <v>10085</v>
      </c>
      <c r="DQ1076" s="6" t="n">
        <v>0</v>
      </c>
      <c r="DR1076" s="6" t="s">
        <v>10086</v>
      </c>
      <c r="DS1076" s="6" t="n">
        <v>0</v>
      </c>
      <c r="DT1076" s="6" t="s">
        <v>10087</v>
      </c>
      <c r="DU1076" s="6" t="n">
        <v>0</v>
      </c>
      <c r="DV1076" s="6" t="s">
        <v>10088</v>
      </c>
      <c r="DW1076" s="6" t="n">
        <v>0</v>
      </c>
      <c r="DX1076" s="6" t="s">
        <v>10089</v>
      </c>
      <c r="DY1076" s="6" t="n">
        <v>0</v>
      </c>
      <c r="DZ1076" s="6" t="s">
        <v>10090</v>
      </c>
      <c r="EA1076" s="6" t="n">
        <v>0</v>
      </c>
      <c r="EB1076" s="6" t="s">
        <v>10091</v>
      </c>
      <c r="EC1076" s="6" t="n">
        <v>0</v>
      </c>
      <c r="ED1076" s="6" t="s">
        <v>10092</v>
      </c>
      <c r="EE1076" s="6" t="n">
        <v>0</v>
      </c>
      <c r="EF1076" s="6" t="s">
        <v>10093</v>
      </c>
      <c r="EG1076" s="6" t="n">
        <v>0</v>
      </c>
      <c r="EH1076" s="6" t="s">
        <v>10094</v>
      </c>
      <c r="EI1076" s="6" t="n">
        <v>0</v>
      </c>
      <c r="EJ1076" s="6" t="s">
        <v>10095</v>
      </c>
      <c r="EK1076" s="6" t="n">
        <v>0</v>
      </c>
      <c r="EL1076" s="6" t="s">
        <v>10096</v>
      </c>
      <c r="EM1076" s="6" t="n">
        <v>0</v>
      </c>
      <c r="EN1076" s="6" t="s">
        <v>10097</v>
      </c>
      <c r="EO1076" s="6" t="n">
        <v>0</v>
      </c>
      <c r="EP1076" s="6" t="s">
        <v>10098</v>
      </c>
      <c r="EQ1076" s="6" t="n">
        <v>0</v>
      </c>
    </row>
    <row r="1077" customFormat="false" ht="12.8" hidden="false" customHeight="false" outlineLevel="0" collapsed="false">
      <c r="A1077" s="6" t="s">
        <v>10099</v>
      </c>
      <c r="B1077" s="6" t="n">
        <v>2297</v>
      </c>
      <c r="C1077" s="6" t="n">
        <v>877</v>
      </c>
      <c r="D1077" s="12" t="n">
        <f aca="false">C1077/(B1077+C1077)*100</f>
        <v>27.6307498424701</v>
      </c>
      <c r="E1077" s="6" t="n">
        <v>8</v>
      </c>
      <c r="F1077" s="6" t="s">
        <v>10100</v>
      </c>
      <c r="G1077" s="6" t="n">
        <v>635</v>
      </c>
      <c r="H1077" s="6" t="s">
        <v>10101</v>
      </c>
      <c r="I1077" s="6" t="n">
        <v>210</v>
      </c>
      <c r="J1077" s="6" t="s">
        <v>10102</v>
      </c>
      <c r="K1077" s="6" t="n">
        <v>15</v>
      </c>
      <c r="L1077" s="6" t="s">
        <v>10103</v>
      </c>
      <c r="M1077" s="6" t="n">
        <v>12</v>
      </c>
      <c r="N1077" s="6" t="s">
        <v>10104</v>
      </c>
      <c r="O1077" s="6" t="n">
        <v>3</v>
      </c>
      <c r="P1077" s="6" t="s">
        <v>10105</v>
      </c>
      <c r="Q1077" s="6" t="n">
        <v>2</v>
      </c>
      <c r="R1077" s="6" t="s">
        <v>10106</v>
      </c>
      <c r="S1077" s="6" t="n">
        <v>0</v>
      </c>
      <c r="T1077" s="6" t="s">
        <v>10107</v>
      </c>
      <c r="U1077" s="6" t="n">
        <v>0</v>
      </c>
    </row>
    <row r="1078" customFormat="false" ht="12.8" hidden="false" customHeight="false" outlineLevel="0" collapsed="false">
      <c r="A1078" s="6" t="s">
        <v>10108</v>
      </c>
      <c r="B1078" s="6" t="n">
        <v>2310</v>
      </c>
      <c r="C1078" s="6" t="n">
        <v>384</v>
      </c>
      <c r="D1078" s="12" t="n">
        <f aca="false">C1078/(B1078+C1078)*100</f>
        <v>14.2538975501114</v>
      </c>
      <c r="E1078" s="6" t="n">
        <v>25</v>
      </c>
      <c r="F1078" s="6" t="s">
        <v>10109</v>
      </c>
      <c r="G1078" s="6" t="n">
        <v>141</v>
      </c>
      <c r="H1078" s="6" t="s">
        <v>10110</v>
      </c>
      <c r="I1078" s="6" t="n">
        <v>77</v>
      </c>
      <c r="J1078" s="6" t="s">
        <v>10110</v>
      </c>
      <c r="K1078" s="6" t="n">
        <v>77</v>
      </c>
      <c r="L1078" s="6" t="s">
        <v>10111</v>
      </c>
      <c r="M1078" s="6" t="n">
        <v>19</v>
      </c>
      <c r="N1078" s="6" t="s">
        <v>10112</v>
      </c>
      <c r="O1078" s="6" t="n">
        <v>18</v>
      </c>
      <c r="P1078" s="6" t="s">
        <v>10113</v>
      </c>
      <c r="Q1078" s="6" t="n">
        <v>13</v>
      </c>
      <c r="R1078" s="6" t="s">
        <v>10114</v>
      </c>
      <c r="S1078" s="6" t="n">
        <v>7</v>
      </c>
      <c r="T1078" s="6" t="s">
        <v>10115</v>
      </c>
      <c r="U1078" s="6" t="n">
        <v>5</v>
      </c>
      <c r="V1078" s="6" t="s">
        <v>10115</v>
      </c>
      <c r="W1078" s="6" t="n">
        <v>5</v>
      </c>
      <c r="X1078" s="6" t="s">
        <v>10116</v>
      </c>
      <c r="Y1078" s="6" t="n">
        <v>4</v>
      </c>
      <c r="Z1078" s="6" t="s">
        <v>10117</v>
      </c>
      <c r="AA1078" s="6" t="n">
        <v>3</v>
      </c>
      <c r="AB1078" s="6" t="s">
        <v>10118</v>
      </c>
      <c r="AC1078" s="6" t="n">
        <v>3</v>
      </c>
      <c r="AD1078" s="6" t="s">
        <v>10119</v>
      </c>
      <c r="AE1078" s="6" t="n">
        <v>2</v>
      </c>
      <c r="AF1078" s="6" t="s">
        <v>10120</v>
      </c>
      <c r="AG1078" s="6" t="n">
        <v>2</v>
      </c>
      <c r="AH1078" s="6" t="s">
        <v>10121</v>
      </c>
      <c r="AI1078" s="6" t="n">
        <v>2</v>
      </c>
      <c r="AJ1078" s="6" t="s">
        <v>10122</v>
      </c>
      <c r="AK1078" s="6" t="n">
        <v>1</v>
      </c>
      <c r="AL1078" s="6" t="s">
        <v>10123</v>
      </c>
      <c r="AM1078" s="6" t="n">
        <v>1</v>
      </c>
      <c r="AN1078" s="6" t="s">
        <v>10124</v>
      </c>
      <c r="AO1078" s="6" t="n">
        <v>1</v>
      </c>
      <c r="AP1078" s="6" t="s">
        <v>10125</v>
      </c>
      <c r="AQ1078" s="6" t="n">
        <v>1</v>
      </c>
      <c r="AR1078" s="6" t="s">
        <v>10126</v>
      </c>
      <c r="AS1078" s="6" t="n">
        <v>1</v>
      </c>
      <c r="AT1078" s="6" t="s">
        <v>10127</v>
      </c>
      <c r="AU1078" s="6" t="n">
        <v>1</v>
      </c>
      <c r="AV1078" s="6" t="s">
        <v>10128</v>
      </c>
      <c r="AW1078" s="6" t="n">
        <v>0</v>
      </c>
      <c r="AX1078" s="6" t="s">
        <v>10129</v>
      </c>
      <c r="AY1078" s="6" t="n">
        <v>0</v>
      </c>
      <c r="AZ1078" s="6" t="s">
        <v>10130</v>
      </c>
      <c r="BA1078" s="6" t="n">
        <v>0</v>
      </c>
      <c r="BB1078" s="6" t="s">
        <v>10131</v>
      </c>
      <c r="BC1078" s="6" t="n">
        <v>0</v>
      </c>
    </row>
    <row r="1079" customFormat="false" ht="12.8" hidden="false" customHeight="false" outlineLevel="0" collapsed="false">
      <c r="A1079" s="6" t="s">
        <v>10132</v>
      </c>
      <c r="B1079" s="6" t="n">
        <v>2378</v>
      </c>
      <c r="C1079" s="6" t="n">
        <v>2353</v>
      </c>
      <c r="D1079" s="12" t="n">
        <f aca="false">C1079/(B1079+C1079)*100</f>
        <v>49.7357852462481</v>
      </c>
      <c r="E1079" s="6" t="n">
        <v>38</v>
      </c>
      <c r="F1079" s="6" t="s">
        <v>10133</v>
      </c>
      <c r="G1079" s="6" t="n">
        <v>607</v>
      </c>
      <c r="H1079" s="6" t="s">
        <v>10134</v>
      </c>
      <c r="I1079" s="6" t="n">
        <v>392</v>
      </c>
      <c r="J1079" s="6" t="s">
        <v>10135</v>
      </c>
      <c r="K1079" s="6" t="n">
        <v>357</v>
      </c>
      <c r="L1079" s="6" t="s">
        <v>10136</v>
      </c>
      <c r="M1079" s="6" t="n">
        <v>206</v>
      </c>
      <c r="N1079" s="6" t="s">
        <v>10137</v>
      </c>
      <c r="O1079" s="6" t="n">
        <v>158</v>
      </c>
      <c r="P1079" s="6" t="s">
        <v>10138</v>
      </c>
      <c r="Q1079" s="6" t="n">
        <v>150</v>
      </c>
      <c r="R1079" s="6" t="s">
        <v>10139</v>
      </c>
      <c r="S1079" s="6" t="n">
        <v>141</v>
      </c>
      <c r="T1079" s="6" t="s">
        <v>10140</v>
      </c>
      <c r="U1079" s="6" t="n">
        <v>103</v>
      </c>
      <c r="V1079" s="6" t="s">
        <v>10141</v>
      </c>
      <c r="W1079" s="6" t="n">
        <v>31</v>
      </c>
      <c r="X1079" s="6" t="s">
        <v>10142</v>
      </c>
      <c r="Y1079" s="6" t="n">
        <v>25</v>
      </c>
      <c r="Z1079" s="6" t="s">
        <v>10143</v>
      </c>
      <c r="AA1079" s="6" t="n">
        <v>25</v>
      </c>
      <c r="AB1079" s="6" t="s">
        <v>10144</v>
      </c>
      <c r="AC1079" s="6" t="n">
        <v>25</v>
      </c>
      <c r="AD1079" s="6" t="s">
        <v>10145</v>
      </c>
      <c r="AE1079" s="6" t="n">
        <v>23</v>
      </c>
      <c r="AF1079" s="6" t="s">
        <v>10146</v>
      </c>
      <c r="AG1079" s="6" t="n">
        <v>22</v>
      </c>
      <c r="AH1079" s="6" t="s">
        <v>10147</v>
      </c>
      <c r="AI1079" s="6" t="n">
        <v>18</v>
      </c>
      <c r="AJ1079" s="6" t="s">
        <v>10148</v>
      </c>
      <c r="AK1079" s="6" t="n">
        <v>13</v>
      </c>
      <c r="AL1079" s="6" t="s">
        <v>10149</v>
      </c>
      <c r="AM1079" s="6" t="n">
        <v>12</v>
      </c>
      <c r="AN1079" s="6" t="s">
        <v>10150</v>
      </c>
      <c r="AO1079" s="6" t="n">
        <v>9</v>
      </c>
      <c r="AP1079" s="6" t="s">
        <v>10151</v>
      </c>
      <c r="AQ1079" s="6" t="n">
        <v>4</v>
      </c>
      <c r="AR1079" s="6" t="s">
        <v>10152</v>
      </c>
      <c r="AS1079" s="6" t="n">
        <v>4</v>
      </c>
      <c r="AT1079" s="6" t="s">
        <v>10153</v>
      </c>
      <c r="AU1079" s="6" t="n">
        <v>3</v>
      </c>
      <c r="AV1079" s="6" t="s">
        <v>10154</v>
      </c>
      <c r="AW1079" s="6" t="n">
        <v>3</v>
      </c>
      <c r="AX1079" s="6" t="s">
        <v>10155</v>
      </c>
      <c r="AY1079" s="6" t="n">
        <v>3</v>
      </c>
      <c r="AZ1079" s="6" t="s">
        <v>10156</v>
      </c>
      <c r="BA1079" s="6" t="n">
        <v>2</v>
      </c>
      <c r="BB1079" s="6" t="s">
        <v>10157</v>
      </c>
      <c r="BC1079" s="6" t="n">
        <v>2</v>
      </c>
      <c r="BD1079" s="6" t="s">
        <v>10158</v>
      </c>
      <c r="BE1079" s="6" t="n">
        <v>2</v>
      </c>
      <c r="BF1079" s="6" t="s">
        <v>10159</v>
      </c>
      <c r="BG1079" s="6" t="n">
        <v>2</v>
      </c>
      <c r="BH1079" s="6" t="s">
        <v>10160</v>
      </c>
      <c r="BI1079" s="6" t="n">
        <v>2</v>
      </c>
      <c r="BJ1079" s="6" t="s">
        <v>10161</v>
      </c>
      <c r="BK1079" s="6" t="n">
        <v>1</v>
      </c>
      <c r="BL1079" s="6" t="s">
        <v>10162</v>
      </c>
      <c r="BM1079" s="6" t="n">
        <v>1</v>
      </c>
      <c r="BN1079" s="6" t="s">
        <v>10163</v>
      </c>
      <c r="BO1079" s="6" t="n">
        <v>1</v>
      </c>
      <c r="BP1079" s="6" t="s">
        <v>10164</v>
      </c>
      <c r="BQ1079" s="6" t="n">
        <v>1</v>
      </c>
      <c r="BR1079" s="6" t="s">
        <v>10165</v>
      </c>
      <c r="BS1079" s="6" t="n">
        <v>1</v>
      </c>
      <c r="BT1079" s="6" t="s">
        <v>10166</v>
      </c>
      <c r="BU1079" s="6" t="n">
        <v>1</v>
      </c>
      <c r="BV1079" s="6" t="s">
        <v>10167</v>
      </c>
      <c r="BW1079" s="6" t="n">
        <v>1</v>
      </c>
      <c r="BX1079" s="6" t="s">
        <v>10168</v>
      </c>
      <c r="BY1079" s="6" t="n">
        <v>1</v>
      </c>
      <c r="BZ1079" s="6" t="s">
        <v>10169</v>
      </c>
      <c r="CA1079" s="6" t="n">
        <v>1</v>
      </c>
      <c r="CB1079" s="6" t="s">
        <v>10170</v>
      </c>
      <c r="CC1079" s="6" t="n">
        <v>0</v>
      </c>
    </row>
    <row r="1080" customFormat="false" ht="12.8" hidden="false" customHeight="false" outlineLevel="0" collapsed="false">
      <c r="A1080" s="6" t="s">
        <v>10171</v>
      </c>
      <c r="B1080" s="6" t="n">
        <v>2435</v>
      </c>
      <c r="C1080" s="6" t="n">
        <v>461</v>
      </c>
      <c r="D1080" s="12" t="n">
        <f aca="false">C1080/(B1080+C1080)*100</f>
        <v>15.9185082872928</v>
      </c>
      <c r="E1080" s="6" t="n">
        <v>15</v>
      </c>
      <c r="F1080" s="6" t="s">
        <v>10172</v>
      </c>
      <c r="G1080" s="6" t="n">
        <v>281</v>
      </c>
      <c r="H1080" s="6" t="s">
        <v>10173</v>
      </c>
      <c r="I1080" s="6" t="n">
        <v>70</v>
      </c>
      <c r="J1080" s="6" t="s">
        <v>10174</v>
      </c>
      <c r="K1080" s="6" t="n">
        <v>55</v>
      </c>
      <c r="L1080" s="6" t="s">
        <v>10175</v>
      </c>
      <c r="M1080" s="6" t="n">
        <v>28</v>
      </c>
      <c r="N1080" s="6" t="s">
        <v>10176</v>
      </c>
      <c r="O1080" s="6" t="n">
        <v>7</v>
      </c>
      <c r="P1080" s="6" t="s">
        <v>10177</v>
      </c>
      <c r="Q1080" s="6" t="n">
        <v>4</v>
      </c>
      <c r="R1080" s="6" t="s">
        <v>10178</v>
      </c>
      <c r="S1080" s="6" t="n">
        <v>4</v>
      </c>
      <c r="T1080" s="6" t="s">
        <v>10179</v>
      </c>
      <c r="U1080" s="6" t="n">
        <v>3</v>
      </c>
      <c r="V1080" s="6" t="s">
        <v>10180</v>
      </c>
      <c r="W1080" s="6" t="n">
        <v>3</v>
      </c>
      <c r="X1080" s="6" t="s">
        <v>10181</v>
      </c>
      <c r="Y1080" s="6" t="n">
        <v>2</v>
      </c>
      <c r="Z1080" s="6" t="s">
        <v>10182</v>
      </c>
      <c r="AA1080" s="6" t="n">
        <v>2</v>
      </c>
      <c r="AB1080" s="6" t="s">
        <v>10183</v>
      </c>
      <c r="AC1080" s="6" t="n">
        <v>1</v>
      </c>
      <c r="AD1080" s="6" t="s">
        <v>10184</v>
      </c>
      <c r="AE1080" s="6" t="n">
        <v>1</v>
      </c>
      <c r="AF1080" s="6" t="s">
        <v>10185</v>
      </c>
      <c r="AG1080" s="6" t="n">
        <v>0</v>
      </c>
      <c r="AH1080" s="6" t="s">
        <v>10186</v>
      </c>
      <c r="AI1080" s="6" t="n">
        <v>0</v>
      </c>
    </row>
    <row r="1081" customFormat="false" ht="12.8" hidden="false" customHeight="false" outlineLevel="0" collapsed="false">
      <c r="A1081" s="6" t="s">
        <v>10187</v>
      </c>
      <c r="B1081" s="6" t="n">
        <v>2775</v>
      </c>
      <c r="C1081" s="6" t="n">
        <v>2724</v>
      </c>
      <c r="D1081" s="12" t="n">
        <f aca="false">C1081/(B1081+C1081)*100</f>
        <v>49.5362793235134</v>
      </c>
      <c r="E1081" s="6" t="n">
        <v>41</v>
      </c>
      <c r="F1081" s="6" t="s">
        <v>10188</v>
      </c>
      <c r="G1081" s="6" t="n">
        <v>836</v>
      </c>
      <c r="H1081" s="6" t="s">
        <v>10189</v>
      </c>
      <c r="I1081" s="6" t="n">
        <v>372</v>
      </c>
      <c r="J1081" s="6" t="s">
        <v>10190</v>
      </c>
      <c r="K1081" s="6" t="n">
        <v>331</v>
      </c>
      <c r="L1081" s="6" t="s">
        <v>10191</v>
      </c>
      <c r="M1081" s="6" t="n">
        <v>234</v>
      </c>
      <c r="N1081" s="6" t="s">
        <v>10192</v>
      </c>
      <c r="O1081" s="6" t="n">
        <v>174</v>
      </c>
      <c r="P1081" s="6" t="s">
        <v>10193</v>
      </c>
      <c r="Q1081" s="6" t="n">
        <v>167</v>
      </c>
      <c r="R1081" s="6" t="s">
        <v>10194</v>
      </c>
      <c r="S1081" s="6" t="n">
        <v>103</v>
      </c>
      <c r="T1081" s="6" t="s">
        <v>10195</v>
      </c>
      <c r="U1081" s="6" t="n">
        <v>96</v>
      </c>
      <c r="V1081" s="6" t="s">
        <v>10196</v>
      </c>
      <c r="W1081" s="6" t="n">
        <v>95</v>
      </c>
      <c r="X1081" s="6" t="s">
        <v>10197</v>
      </c>
      <c r="Y1081" s="6" t="n">
        <v>92</v>
      </c>
      <c r="Z1081" s="6" t="s">
        <v>10198</v>
      </c>
      <c r="AA1081" s="6" t="n">
        <v>54</v>
      </c>
      <c r="AB1081" s="6" t="s">
        <v>10199</v>
      </c>
      <c r="AC1081" s="6" t="n">
        <v>32</v>
      </c>
      <c r="AD1081" s="6" t="s">
        <v>10200</v>
      </c>
      <c r="AE1081" s="6" t="n">
        <v>21</v>
      </c>
      <c r="AF1081" s="6" t="s">
        <v>10201</v>
      </c>
      <c r="AG1081" s="6" t="n">
        <v>18</v>
      </c>
      <c r="AH1081" s="6" t="s">
        <v>10202</v>
      </c>
      <c r="AI1081" s="6" t="n">
        <v>16</v>
      </c>
      <c r="AJ1081" s="6" t="s">
        <v>10203</v>
      </c>
      <c r="AK1081" s="6" t="n">
        <v>15</v>
      </c>
      <c r="AL1081" s="6" t="s">
        <v>10204</v>
      </c>
      <c r="AM1081" s="6" t="n">
        <v>12</v>
      </c>
      <c r="AN1081" s="6" t="s">
        <v>10205</v>
      </c>
      <c r="AO1081" s="6" t="n">
        <v>8</v>
      </c>
      <c r="AP1081" s="6" t="s">
        <v>10206</v>
      </c>
      <c r="AQ1081" s="6" t="n">
        <v>8</v>
      </c>
      <c r="AR1081" s="6" t="s">
        <v>10207</v>
      </c>
      <c r="AS1081" s="6" t="n">
        <v>7</v>
      </c>
      <c r="AT1081" s="6" t="s">
        <v>10208</v>
      </c>
      <c r="AU1081" s="6" t="n">
        <v>6</v>
      </c>
      <c r="AV1081" s="6" t="s">
        <v>10209</v>
      </c>
      <c r="AW1081" s="6" t="n">
        <v>4</v>
      </c>
      <c r="AX1081" s="6" t="s">
        <v>10210</v>
      </c>
      <c r="AY1081" s="6" t="n">
        <v>3</v>
      </c>
      <c r="AZ1081" s="6" t="s">
        <v>10211</v>
      </c>
      <c r="BA1081" s="6" t="n">
        <v>3</v>
      </c>
      <c r="BB1081" s="6" t="s">
        <v>10212</v>
      </c>
      <c r="BC1081" s="6" t="n">
        <v>3</v>
      </c>
      <c r="BD1081" s="6" t="s">
        <v>10213</v>
      </c>
      <c r="BE1081" s="6" t="n">
        <v>3</v>
      </c>
      <c r="BF1081" s="6" t="s">
        <v>10214</v>
      </c>
      <c r="BG1081" s="6" t="n">
        <v>2</v>
      </c>
      <c r="BH1081" s="6" t="s">
        <v>10215</v>
      </c>
      <c r="BI1081" s="6" t="n">
        <v>1</v>
      </c>
      <c r="BJ1081" s="6" t="s">
        <v>10216</v>
      </c>
      <c r="BK1081" s="6" t="n">
        <v>1</v>
      </c>
      <c r="BL1081" s="6" t="s">
        <v>10217</v>
      </c>
      <c r="BM1081" s="6" t="n">
        <v>1</v>
      </c>
      <c r="BN1081" s="6" t="s">
        <v>10218</v>
      </c>
      <c r="BO1081" s="6" t="n">
        <v>1</v>
      </c>
      <c r="BP1081" s="6" t="s">
        <v>10219</v>
      </c>
      <c r="BQ1081" s="6" t="n">
        <v>1</v>
      </c>
      <c r="BR1081" s="6" t="s">
        <v>10220</v>
      </c>
      <c r="BS1081" s="6" t="n">
        <v>1</v>
      </c>
      <c r="BT1081" s="6" t="s">
        <v>10221</v>
      </c>
      <c r="BU1081" s="6" t="n">
        <v>1</v>
      </c>
      <c r="BV1081" s="6" t="s">
        <v>10222</v>
      </c>
      <c r="BW1081" s="6" t="n">
        <v>1</v>
      </c>
      <c r="BX1081" s="6" t="s">
        <v>10223</v>
      </c>
      <c r="BY1081" s="6" t="n">
        <v>1</v>
      </c>
      <c r="BZ1081" s="6" t="s">
        <v>10224</v>
      </c>
      <c r="CA1081" s="6" t="n">
        <v>0</v>
      </c>
      <c r="CB1081" s="6" t="s">
        <v>10225</v>
      </c>
      <c r="CC1081" s="6" t="n">
        <v>0</v>
      </c>
      <c r="CD1081" s="6" t="s">
        <v>10226</v>
      </c>
      <c r="CE1081" s="6" t="n">
        <v>0</v>
      </c>
      <c r="CF1081" s="6" t="s">
        <v>10227</v>
      </c>
      <c r="CG1081" s="6" t="n">
        <v>0</v>
      </c>
      <c r="CH1081" s="6" t="s">
        <v>10228</v>
      </c>
      <c r="CI1081" s="6" t="n">
        <v>0</v>
      </c>
    </row>
    <row r="1082" customFormat="false" ht="12.8" hidden="false" customHeight="false" outlineLevel="0" collapsed="false">
      <c r="A1082" s="6" t="s">
        <v>10229</v>
      </c>
      <c r="B1082" s="6" t="n">
        <v>2964</v>
      </c>
      <c r="C1082" s="6" t="n">
        <v>953</v>
      </c>
      <c r="D1082" s="12" t="n">
        <f aca="false">C1082/(B1082+C1082)*100</f>
        <v>24.3298442685729</v>
      </c>
      <c r="E1082" s="6" t="n">
        <v>14</v>
      </c>
      <c r="F1082" s="6" t="s">
        <v>10230</v>
      </c>
      <c r="G1082" s="6" t="n">
        <v>493</v>
      </c>
      <c r="H1082" s="6" t="s">
        <v>10231</v>
      </c>
      <c r="I1082" s="6" t="n">
        <v>191</v>
      </c>
      <c r="J1082" s="6" t="s">
        <v>10232</v>
      </c>
      <c r="K1082" s="6" t="n">
        <v>115</v>
      </c>
      <c r="L1082" s="6" t="s">
        <v>10233</v>
      </c>
      <c r="M1082" s="6" t="n">
        <v>100</v>
      </c>
      <c r="N1082" s="6" t="s">
        <v>10234</v>
      </c>
      <c r="O1082" s="6" t="n">
        <v>23</v>
      </c>
      <c r="P1082" s="6" t="s">
        <v>10235</v>
      </c>
      <c r="Q1082" s="6" t="n">
        <v>10</v>
      </c>
      <c r="R1082" s="6" t="s">
        <v>10236</v>
      </c>
      <c r="S1082" s="6" t="n">
        <v>6</v>
      </c>
      <c r="T1082" s="6" t="s">
        <v>10237</v>
      </c>
      <c r="U1082" s="6" t="n">
        <v>5</v>
      </c>
      <c r="V1082" s="6" t="s">
        <v>10238</v>
      </c>
      <c r="W1082" s="6" t="n">
        <v>2</v>
      </c>
      <c r="X1082" s="6" t="s">
        <v>10239</v>
      </c>
      <c r="Y1082" s="6" t="n">
        <v>2</v>
      </c>
      <c r="Z1082" s="6" t="s">
        <v>10240</v>
      </c>
      <c r="AA1082" s="6" t="n">
        <v>2</v>
      </c>
      <c r="AB1082" s="6" t="s">
        <v>10241</v>
      </c>
      <c r="AC1082" s="6" t="n">
        <v>2</v>
      </c>
      <c r="AD1082" s="6" t="s">
        <v>10242</v>
      </c>
      <c r="AE1082" s="6" t="n">
        <v>1</v>
      </c>
      <c r="AF1082" s="6" t="s">
        <v>10243</v>
      </c>
      <c r="AG1082" s="6" t="n">
        <v>1</v>
      </c>
    </row>
    <row r="1083" customFormat="false" ht="12.8" hidden="false" customHeight="false" outlineLevel="0" collapsed="false">
      <c r="A1083" s="6" t="s">
        <v>10244</v>
      </c>
      <c r="B1083" s="6" t="n">
        <v>3027</v>
      </c>
      <c r="C1083" s="6" t="n">
        <v>592</v>
      </c>
      <c r="D1083" s="12" t="n">
        <f aca="false">C1083/(B1083+C1083)*100</f>
        <v>16.3581099751313</v>
      </c>
      <c r="E1083" s="6" t="n">
        <v>34</v>
      </c>
      <c r="F1083" s="6" t="s">
        <v>10245</v>
      </c>
      <c r="G1083" s="6" t="n">
        <v>166</v>
      </c>
      <c r="H1083" s="6" t="s">
        <v>10246</v>
      </c>
      <c r="I1083" s="6" t="n">
        <v>144</v>
      </c>
      <c r="J1083" s="6" t="s">
        <v>10247</v>
      </c>
      <c r="K1083" s="6" t="n">
        <v>76</v>
      </c>
      <c r="L1083" s="6" t="s">
        <v>10248</v>
      </c>
      <c r="M1083" s="6" t="n">
        <v>61</v>
      </c>
      <c r="N1083" s="6" t="s">
        <v>10249</v>
      </c>
      <c r="O1083" s="6" t="n">
        <v>33</v>
      </c>
      <c r="P1083" s="6" t="s">
        <v>10250</v>
      </c>
      <c r="Q1083" s="6" t="n">
        <v>13</v>
      </c>
      <c r="R1083" s="6" t="s">
        <v>10251</v>
      </c>
      <c r="S1083" s="6" t="n">
        <v>12</v>
      </c>
      <c r="T1083" s="6" t="s">
        <v>10252</v>
      </c>
      <c r="U1083" s="6" t="n">
        <v>12</v>
      </c>
      <c r="V1083" s="6" t="s">
        <v>10253</v>
      </c>
      <c r="W1083" s="6" t="n">
        <v>10</v>
      </c>
      <c r="X1083" s="6" t="s">
        <v>10254</v>
      </c>
      <c r="Y1083" s="6" t="n">
        <v>10</v>
      </c>
      <c r="Z1083" s="6" t="s">
        <v>10255</v>
      </c>
      <c r="AA1083" s="6" t="n">
        <v>8</v>
      </c>
      <c r="AB1083" s="6" t="s">
        <v>10256</v>
      </c>
      <c r="AC1083" s="6" t="n">
        <v>7</v>
      </c>
      <c r="AD1083" s="6" t="s">
        <v>10257</v>
      </c>
      <c r="AE1083" s="6" t="n">
        <v>7</v>
      </c>
      <c r="AF1083" s="6" t="s">
        <v>10258</v>
      </c>
      <c r="AG1083" s="6" t="n">
        <v>7</v>
      </c>
      <c r="AH1083" s="6" t="s">
        <v>10259</v>
      </c>
      <c r="AI1083" s="6" t="n">
        <v>6</v>
      </c>
      <c r="AJ1083" s="6" t="s">
        <v>10260</v>
      </c>
      <c r="AK1083" s="6" t="n">
        <v>4</v>
      </c>
      <c r="AL1083" s="6" t="s">
        <v>10261</v>
      </c>
      <c r="AM1083" s="6" t="n">
        <v>4</v>
      </c>
      <c r="AN1083" s="6" t="s">
        <v>10262</v>
      </c>
      <c r="AO1083" s="6" t="n">
        <v>3</v>
      </c>
      <c r="AP1083" s="6" t="s">
        <v>10263</v>
      </c>
      <c r="AQ1083" s="6" t="n">
        <v>1</v>
      </c>
      <c r="AR1083" s="6" t="s">
        <v>10264</v>
      </c>
      <c r="AS1083" s="6" t="n">
        <v>1</v>
      </c>
      <c r="AT1083" s="6" t="s">
        <v>10265</v>
      </c>
      <c r="AU1083" s="6" t="n">
        <v>1</v>
      </c>
      <c r="AV1083" s="6" t="s">
        <v>10266</v>
      </c>
      <c r="AW1083" s="6" t="n">
        <v>1</v>
      </c>
      <c r="AX1083" s="6" t="s">
        <v>10267</v>
      </c>
      <c r="AY1083" s="6" t="n">
        <v>1</v>
      </c>
      <c r="AZ1083" s="6" t="s">
        <v>10268</v>
      </c>
      <c r="BA1083" s="6" t="n">
        <v>1</v>
      </c>
      <c r="BB1083" s="6" t="s">
        <v>10269</v>
      </c>
      <c r="BC1083" s="6" t="n">
        <v>1</v>
      </c>
      <c r="BD1083" s="6" t="s">
        <v>10270</v>
      </c>
      <c r="BE1083" s="6" t="n">
        <v>1</v>
      </c>
      <c r="BF1083" s="6" t="s">
        <v>10271</v>
      </c>
      <c r="BG1083" s="6" t="n">
        <v>1</v>
      </c>
      <c r="BH1083" s="6" t="s">
        <v>10272</v>
      </c>
      <c r="BI1083" s="6" t="n">
        <v>0</v>
      </c>
      <c r="BJ1083" s="6" t="s">
        <v>10273</v>
      </c>
      <c r="BK1083" s="6" t="n">
        <v>0</v>
      </c>
      <c r="BL1083" s="6" t="s">
        <v>10274</v>
      </c>
      <c r="BM1083" s="6" t="n">
        <v>0</v>
      </c>
      <c r="BN1083" s="6" t="s">
        <v>10275</v>
      </c>
      <c r="BO1083" s="6" t="n">
        <v>0</v>
      </c>
      <c r="BP1083" s="6" t="s">
        <v>10276</v>
      </c>
      <c r="BQ1083" s="6" t="n">
        <v>0</v>
      </c>
      <c r="BR1083" s="6" t="s">
        <v>10277</v>
      </c>
      <c r="BS1083" s="6" t="n">
        <v>0</v>
      </c>
      <c r="BT1083" s="6" t="s">
        <v>10278</v>
      </c>
      <c r="BU1083" s="6" t="n">
        <v>0</v>
      </c>
    </row>
    <row r="1084" customFormat="false" ht="12.8" hidden="false" customHeight="false" outlineLevel="0" collapsed="false">
      <c r="A1084" s="6" t="s">
        <v>10279</v>
      </c>
      <c r="B1084" s="6" t="n">
        <v>3055</v>
      </c>
      <c r="C1084" s="6" t="n">
        <v>2827</v>
      </c>
      <c r="D1084" s="12" t="n">
        <f aca="false">C1084/(B1084+C1084)*100</f>
        <v>48.0618837130228</v>
      </c>
      <c r="E1084" s="6" t="n">
        <v>58</v>
      </c>
      <c r="F1084" s="6" t="s">
        <v>10280</v>
      </c>
      <c r="G1084" s="6" t="n">
        <v>902</v>
      </c>
      <c r="H1084" s="6" t="s">
        <v>10281</v>
      </c>
      <c r="I1084" s="6" t="n">
        <v>465</v>
      </c>
      <c r="J1084" s="6" t="s">
        <v>10282</v>
      </c>
      <c r="K1084" s="6" t="n">
        <v>462</v>
      </c>
      <c r="L1084" s="6" t="s">
        <v>10283</v>
      </c>
      <c r="M1084" s="6" t="n">
        <v>169</v>
      </c>
      <c r="N1084" s="6" t="s">
        <v>10284</v>
      </c>
      <c r="O1084" s="6" t="n">
        <v>126</v>
      </c>
      <c r="P1084" s="6" t="s">
        <v>10285</v>
      </c>
      <c r="Q1084" s="6" t="n">
        <v>122</v>
      </c>
      <c r="R1084" s="6" t="s">
        <v>10286</v>
      </c>
      <c r="S1084" s="6" t="n">
        <v>119</v>
      </c>
      <c r="T1084" s="6" t="s">
        <v>10287</v>
      </c>
      <c r="U1084" s="6" t="n">
        <v>94</v>
      </c>
      <c r="V1084" s="6" t="s">
        <v>10288</v>
      </c>
      <c r="W1084" s="6" t="n">
        <v>63</v>
      </c>
      <c r="X1084" s="6" t="s">
        <v>10289</v>
      </c>
      <c r="Y1084" s="6" t="n">
        <v>63</v>
      </c>
      <c r="Z1084" s="6" t="s">
        <v>10290</v>
      </c>
      <c r="AA1084" s="6" t="n">
        <v>42</v>
      </c>
      <c r="AB1084" s="6" t="s">
        <v>10291</v>
      </c>
      <c r="AC1084" s="6" t="n">
        <v>42</v>
      </c>
      <c r="AD1084" s="6" t="s">
        <v>10292</v>
      </c>
      <c r="AE1084" s="6" t="n">
        <v>34</v>
      </c>
      <c r="AF1084" s="6" t="s">
        <v>10293</v>
      </c>
      <c r="AG1084" s="6" t="n">
        <v>17</v>
      </c>
      <c r="AH1084" s="6" t="s">
        <v>10294</v>
      </c>
      <c r="AI1084" s="6" t="n">
        <v>15</v>
      </c>
      <c r="AJ1084" s="6" t="s">
        <v>10295</v>
      </c>
      <c r="AK1084" s="6" t="n">
        <v>10</v>
      </c>
      <c r="AL1084" s="6" t="s">
        <v>10296</v>
      </c>
      <c r="AM1084" s="6" t="n">
        <v>9</v>
      </c>
      <c r="AN1084" s="6" t="s">
        <v>10297</v>
      </c>
      <c r="AO1084" s="6" t="n">
        <v>8</v>
      </c>
      <c r="AP1084" s="6" t="s">
        <v>10298</v>
      </c>
      <c r="AQ1084" s="6" t="n">
        <v>8</v>
      </c>
      <c r="AR1084" s="6" t="s">
        <v>10299</v>
      </c>
      <c r="AS1084" s="6" t="n">
        <v>7</v>
      </c>
      <c r="AT1084" s="6" t="s">
        <v>10300</v>
      </c>
      <c r="AU1084" s="6" t="n">
        <v>7</v>
      </c>
      <c r="AV1084" s="6" t="s">
        <v>10301</v>
      </c>
      <c r="AW1084" s="6" t="n">
        <v>6</v>
      </c>
      <c r="AX1084" s="6" t="s">
        <v>10302</v>
      </c>
      <c r="AY1084" s="6" t="n">
        <v>6</v>
      </c>
      <c r="AZ1084" s="6" t="s">
        <v>10303</v>
      </c>
      <c r="BA1084" s="6" t="n">
        <v>4</v>
      </c>
      <c r="BB1084" s="6" t="s">
        <v>10304</v>
      </c>
      <c r="BC1084" s="6" t="n">
        <v>4</v>
      </c>
      <c r="BD1084" s="6" t="s">
        <v>10305</v>
      </c>
      <c r="BE1084" s="6" t="n">
        <v>3</v>
      </c>
      <c r="BF1084" s="6" t="s">
        <v>10306</v>
      </c>
      <c r="BG1084" s="6" t="n">
        <v>3</v>
      </c>
      <c r="BH1084" s="6" t="s">
        <v>10307</v>
      </c>
      <c r="BI1084" s="6" t="n">
        <v>3</v>
      </c>
      <c r="BJ1084" s="6" t="s">
        <v>10308</v>
      </c>
      <c r="BK1084" s="6" t="n">
        <v>2</v>
      </c>
      <c r="BL1084" s="6" t="s">
        <v>10309</v>
      </c>
      <c r="BM1084" s="6" t="n">
        <v>2</v>
      </c>
      <c r="BN1084" s="6" t="s">
        <v>10310</v>
      </c>
      <c r="BO1084" s="6" t="n">
        <v>1</v>
      </c>
      <c r="BP1084" s="6" t="s">
        <v>10311</v>
      </c>
      <c r="BQ1084" s="6" t="n">
        <v>1</v>
      </c>
      <c r="BR1084" s="6" t="s">
        <v>10312</v>
      </c>
      <c r="BS1084" s="6" t="n">
        <v>1</v>
      </c>
      <c r="BT1084" s="6" t="s">
        <v>10313</v>
      </c>
      <c r="BU1084" s="6" t="n">
        <v>1</v>
      </c>
      <c r="BV1084" s="6" t="s">
        <v>10314</v>
      </c>
      <c r="BW1084" s="6" t="n">
        <v>1</v>
      </c>
      <c r="BX1084" s="6" t="s">
        <v>10315</v>
      </c>
      <c r="BY1084" s="6" t="n">
        <v>1</v>
      </c>
      <c r="BZ1084" s="6" t="s">
        <v>10316</v>
      </c>
      <c r="CA1084" s="6" t="n">
        <v>1</v>
      </c>
      <c r="CB1084" s="6" t="s">
        <v>10317</v>
      </c>
      <c r="CC1084" s="6" t="n">
        <v>1</v>
      </c>
      <c r="CD1084" s="6" t="s">
        <v>10318</v>
      </c>
      <c r="CE1084" s="6" t="n">
        <v>1</v>
      </c>
      <c r="CF1084" s="6" t="s">
        <v>10319</v>
      </c>
      <c r="CG1084" s="6" t="n">
        <v>1</v>
      </c>
      <c r="CH1084" s="6" t="s">
        <v>10320</v>
      </c>
      <c r="CI1084" s="6" t="n">
        <v>0</v>
      </c>
      <c r="CJ1084" s="6" t="s">
        <v>10321</v>
      </c>
      <c r="CK1084" s="6" t="n">
        <v>0</v>
      </c>
      <c r="CL1084" s="6" t="s">
        <v>10322</v>
      </c>
      <c r="CM1084" s="6" t="n">
        <v>0</v>
      </c>
      <c r="CN1084" s="6" t="s">
        <v>10323</v>
      </c>
      <c r="CO1084" s="6" t="n">
        <v>0</v>
      </c>
      <c r="CP1084" s="6" t="s">
        <v>10324</v>
      </c>
      <c r="CQ1084" s="6" t="n">
        <v>0</v>
      </c>
      <c r="CR1084" s="6" t="s">
        <v>10325</v>
      </c>
      <c r="CS1084" s="6" t="n">
        <v>0</v>
      </c>
      <c r="CT1084" s="6" t="s">
        <v>10326</v>
      </c>
      <c r="CU1084" s="6" t="n">
        <v>0</v>
      </c>
      <c r="CV1084" s="6" t="s">
        <v>10327</v>
      </c>
      <c r="CW1084" s="6" t="n">
        <v>0</v>
      </c>
      <c r="CX1084" s="6" t="s">
        <v>10328</v>
      </c>
      <c r="CY1084" s="6" t="n">
        <v>0</v>
      </c>
      <c r="CZ1084" s="6" t="s">
        <v>10329</v>
      </c>
      <c r="DA1084" s="6" t="n">
        <v>0</v>
      </c>
      <c r="DB1084" s="6" t="s">
        <v>10330</v>
      </c>
      <c r="DC1084" s="6" t="n">
        <v>0</v>
      </c>
      <c r="DD1084" s="6" t="s">
        <v>10331</v>
      </c>
      <c r="DE1084" s="6" t="n">
        <v>0</v>
      </c>
      <c r="DF1084" s="6" t="s">
        <v>10332</v>
      </c>
      <c r="DG1084" s="6" t="n">
        <v>0</v>
      </c>
      <c r="DH1084" s="6" t="s">
        <v>10333</v>
      </c>
      <c r="DI1084" s="6" t="n">
        <v>0</v>
      </c>
      <c r="DJ1084" s="6" t="s">
        <v>10334</v>
      </c>
      <c r="DK1084" s="6" t="n">
        <v>0</v>
      </c>
      <c r="DL1084" s="6" t="s">
        <v>10335</v>
      </c>
      <c r="DM1084" s="6" t="n">
        <v>0</v>
      </c>
      <c r="DN1084" s="6" t="s">
        <v>10336</v>
      </c>
      <c r="DO1084" s="6" t="n">
        <v>0</v>
      </c>
      <c r="DP1084" s="6" t="s">
        <v>10336</v>
      </c>
      <c r="DQ1084" s="6" t="n">
        <v>0</v>
      </c>
    </row>
    <row r="1085" customFormat="false" ht="12.8" hidden="false" customHeight="false" outlineLevel="0" collapsed="false">
      <c r="A1085" s="6" t="s">
        <v>10337</v>
      </c>
      <c r="B1085" s="6" t="n">
        <v>3058</v>
      </c>
      <c r="C1085" s="6" t="n">
        <v>562</v>
      </c>
      <c r="D1085" s="12" t="n">
        <f aca="false">C1085/(B1085+C1085)*100</f>
        <v>15.524861878453</v>
      </c>
      <c r="E1085" s="6" t="n">
        <v>20</v>
      </c>
      <c r="F1085" s="6" t="s">
        <v>10338</v>
      </c>
      <c r="G1085" s="6" t="n">
        <v>183</v>
      </c>
      <c r="H1085" s="6" t="s">
        <v>10339</v>
      </c>
      <c r="I1085" s="6" t="n">
        <v>174</v>
      </c>
      <c r="J1085" s="6" t="s">
        <v>10340</v>
      </c>
      <c r="K1085" s="6" t="n">
        <v>84</v>
      </c>
      <c r="L1085" s="6" t="s">
        <v>10341</v>
      </c>
      <c r="M1085" s="6" t="n">
        <v>54</v>
      </c>
      <c r="N1085" s="6" t="s">
        <v>10342</v>
      </c>
      <c r="O1085" s="6" t="n">
        <v>28</v>
      </c>
      <c r="P1085" s="6" t="s">
        <v>10343</v>
      </c>
      <c r="Q1085" s="6" t="n">
        <v>11</v>
      </c>
      <c r="R1085" s="6" t="s">
        <v>10344</v>
      </c>
      <c r="S1085" s="6" t="n">
        <v>11</v>
      </c>
      <c r="T1085" s="6" t="s">
        <v>10345</v>
      </c>
      <c r="U1085" s="6" t="n">
        <v>7</v>
      </c>
      <c r="V1085" s="6" t="s">
        <v>10346</v>
      </c>
      <c r="W1085" s="6" t="n">
        <v>4</v>
      </c>
      <c r="X1085" s="6" t="s">
        <v>10347</v>
      </c>
      <c r="Y1085" s="6" t="n">
        <v>2</v>
      </c>
      <c r="Z1085" s="6" t="s">
        <v>10348</v>
      </c>
      <c r="AA1085" s="6" t="n">
        <v>1</v>
      </c>
      <c r="AB1085" s="6" t="s">
        <v>10349</v>
      </c>
      <c r="AC1085" s="6" t="n">
        <v>1</v>
      </c>
      <c r="AD1085" s="6" t="s">
        <v>10350</v>
      </c>
      <c r="AE1085" s="6" t="n">
        <v>1</v>
      </c>
      <c r="AF1085" s="6" t="s">
        <v>10351</v>
      </c>
      <c r="AG1085" s="6" t="n">
        <v>1</v>
      </c>
      <c r="AH1085" s="6" t="s">
        <v>10352</v>
      </c>
      <c r="AI1085" s="6" t="n">
        <v>0</v>
      </c>
      <c r="AJ1085" s="6" t="s">
        <v>10353</v>
      </c>
      <c r="AK1085" s="6" t="n">
        <v>0</v>
      </c>
      <c r="AL1085" s="6" t="s">
        <v>10354</v>
      </c>
      <c r="AM1085" s="6" t="n">
        <v>0</v>
      </c>
      <c r="AN1085" s="6" t="s">
        <v>10355</v>
      </c>
      <c r="AO1085" s="6" t="n">
        <v>0</v>
      </c>
      <c r="AP1085" s="6" t="s">
        <v>10356</v>
      </c>
      <c r="AQ1085" s="6" t="n">
        <v>0</v>
      </c>
      <c r="AR1085" s="6" t="s">
        <v>10357</v>
      </c>
      <c r="AS1085" s="6" t="n">
        <v>0</v>
      </c>
    </row>
    <row r="1086" customFormat="false" ht="12.8" hidden="false" customHeight="false" outlineLevel="0" collapsed="false">
      <c r="A1086" s="6" t="s">
        <v>10358</v>
      </c>
      <c r="B1086" s="6" t="n">
        <v>3103</v>
      </c>
      <c r="C1086" s="6" t="n">
        <v>949</v>
      </c>
      <c r="D1086" s="12" t="n">
        <f aca="false">C1086/(B1086+C1086)*100</f>
        <v>23.4205330700888</v>
      </c>
      <c r="E1086" s="6" t="n">
        <v>19</v>
      </c>
      <c r="F1086" s="6" t="s">
        <v>10359</v>
      </c>
      <c r="G1086" s="6" t="n">
        <v>526</v>
      </c>
      <c r="H1086" s="6" t="s">
        <v>10360</v>
      </c>
      <c r="I1086" s="6" t="n">
        <v>162</v>
      </c>
      <c r="J1086" s="6" t="s">
        <v>10361</v>
      </c>
      <c r="K1086" s="6" t="n">
        <v>127</v>
      </c>
      <c r="L1086" s="6" t="s">
        <v>10362</v>
      </c>
      <c r="M1086" s="6" t="n">
        <v>31</v>
      </c>
      <c r="N1086" s="6" t="s">
        <v>10363</v>
      </c>
      <c r="O1086" s="6" t="n">
        <v>31</v>
      </c>
      <c r="P1086" s="6" t="s">
        <v>10364</v>
      </c>
      <c r="Q1086" s="6" t="n">
        <v>23</v>
      </c>
      <c r="R1086" s="6" t="s">
        <v>10365</v>
      </c>
      <c r="S1086" s="6" t="n">
        <v>18</v>
      </c>
      <c r="T1086" s="6" t="s">
        <v>10366</v>
      </c>
      <c r="U1086" s="6" t="n">
        <v>12</v>
      </c>
      <c r="V1086" s="6" t="s">
        <v>10367</v>
      </c>
      <c r="W1086" s="6" t="n">
        <v>8</v>
      </c>
      <c r="X1086" s="6" t="s">
        <v>10368</v>
      </c>
      <c r="Y1086" s="6" t="n">
        <v>4</v>
      </c>
      <c r="Z1086" s="6" t="s">
        <v>10369</v>
      </c>
      <c r="AA1086" s="6" t="n">
        <v>2</v>
      </c>
      <c r="AB1086" s="6" t="s">
        <v>10370</v>
      </c>
      <c r="AC1086" s="6" t="n">
        <v>2</v>
      </c>
      <c r="AD1086" s="6" t="s">
        <v>10371</v>
      </c>
      <c r="AE1086" s="6" t="n">
        <v>1</v>
      </c>
      <c r="AF1086" s="6" t="s">
        <v>10372</v>
      </c>
      <c r="AG1086" s="6" t="n">
        <v>1</v>
      </c>
      <c r="AH1086" s="6" t="s">
        <v>10373</v>
      </c>
      <c r="AI1086" s="6" t="n">
        <v>1</v>
      </c>
      <c r="AJ1086" s="6" t="s">
        <v>10374</v>
      </c>
      <c r="AK1086" s="6" t="n">
        <v>0</v>
      </c>
      <c r="AL1086" s="6" t="s">
        <v>10375</v>
      </c>
      <c r="AM1086" s="6" t="n">
        <v>0</v>
      </c>
      <c r="AN1086" s="6" t="s">
        <v>10376</v>
      </c>
      <c r="AO1086" s="6" t="n">
        <v>0</v>
      </c>
      <c r="AP1086" s="6" t="s">
        <v>10377</v>
      </c>
      <c r="AQ1086" s="6" t="n">
        <v>0</v>
      </c>
    </row>
    <row r="1087" customFormat="false" ht="12.8" hidden="false" customHeight="false" outlineLevel="0" collapsed="false">
      <c r="A1087" s="6" t="s">
        <v>10378</v>
      </c>
      <c r="B1087" s="6" t="n">
        <v>3192</v>
      </c>
      <c r="C1087" s="6" t="n">
        <v>2041</v>
      </c>
      <c r="D1087" s="12" t="n">
        <f aca="false">C1087/(B1087+C1087)*100</f>
        <v>39.0024842346646</v>
      </c>
      <c r="E1087" s="6" t="n">
        <v>28</v>
      </c>
      <c r="F1087" s="6" t="s">
        <v>10379</v>
      </c>
      <c r="G1087" s="6" t="n">
        <v>917</v>
      </c>
      <c r="H1087" s="6" t="s">
        <v>10380</v>
      </c>
      <c r="I1087" s="6" t="n">
        <v>313</v>
      </c>
      <c r="J1087" s="6" t="s">
        <v>10381</v>
      </c>
      <c r="K1087" s="6" t="n">
        <v>241</v>
      </c>
      <c r="L1087" s="6" t="s">
        <v>10382</v>
      </c>
      <c r="M1087" s="6" t="n">
        <v>223</v>
      </c>
      <c r="N1087" s="6" t="s">
        <v>10383</v>
      </c>
      <c r="O1087" s="6" t="n">
        <v>56</v>
      </c>
      <c r="P1087" s="6" t="s">
        <v>10384</v>
      </c>
      <c r="Q1087" s="6" t="n">
        <v>53</v>
      </c>
      <c r="R1087" s="6" t="s">
        <v>10385</v>
      </c>
      <c r="S1087" s="6" t="n">
        <v>52</v>
      </c>
      <c r="T1087" s="6" t="s">
        <v>10386</v>
      </c>
      <c r="U1087" s="6" t="n">
        <v>51</v>
      </c>
      <c r="V1087" s="6" t="s">
        <v>10387</v>
      </c>
      <c r="W1087" s="6" t="n">
        <v>43</v>
      </c>
      <c r="X1087" s="6" t="s">
        <v>10388</v>
      </c>
      <c r="Y1087" s="6" t="n">
        <v>32</v>
      </c>
      <c r="Z1087" s="6" t="s">
        <v>10389</v>
      </c>
      <c r="AA1087" s="6" t="n">
        <v>21</v>
      </c>
      <c r="AB1087" s="6" t="s">
        <v>10390</v>
      </c>
      <c r="AC1087" s="6" t="n">
        <v>11</v>
      </c>
      <c r="AD1087" s="6" t="s">
        <v>10391</v>
      </c>
      <c r="AE1087" s="6" t="n">
        <v>6</v>
      </c>
      <c r="AF1087" s="6" t="s">
        <v>10392</v>
      </c>
      <c r="AG1087" s="6" t="n">
        <v>6</v>
      </c>
      <c r="AH1087" s="6" t="s">
        <v>10393</v>
      </c>
      <c r="AI1087" s="6" t="n">
        <v>5</v>
      </c>
      <c r="AJ1087" s="6" t="s">
        <v>10394</v>
      </c>
      <c r="AK1087" s="6" t="n">
        <v>2</v>
      </c>
      <c r="AL1087" s="6" t="s">
        <v>10395</v>
      </c>
      <c r="AM1087" s="6" t="n">
        <v>2</v>
      </c>
      <c r="AN1087" s="6" t="s">
        <v>10396</v>
      </c>
      <c r="AO1087" s="6" t="n">
        <v>2</v>
      </c>
      <c r="AP1087" s="6" t="s">
        <v>10397</v>
      </c>
      <c r="AQ1087" s="6" t="n">
        <v>1</v>
      </c>
      <c r="AR1087" s="6" t="s">
        <v>10398</v>
      </c>
      <c r="AS1087" s="6" t="n">
        <v>1</v>
      </c>
      <c r="AT1087" s="6" t="s">
        <v>10399</v>
      </c>
      <c r="AU1087" s="6" t="n">
        <v>1</v>
      </c>
      <c r="AV1087" s="6" t="s">
        <v>10400</v>
      </c>
      <c r="AW1087" s="6" t="n">
        <v>1</v>
      </c>
      <c r="AX1087" s="6" t="s">
        <v>10401</v>
      </c>
      <c r="AY1087" s="6" t="n">
        <v>1</v>
      </c>
      <c r="AZ1087" s="6" t="s">
        <v>10402</v>
      </c>
      <c r="BA1087" s="6" t="n">
        <v>0</v>
      </c>
      <c r="BB1087" s="6" t="s">
        <v>10403</v>
      </c>
      <c r="BC1087" s="6" t="n">
        <v>0</v>
      </c>
      <c r="BD1087" s="6" t="s">
        <v>10404</v>
      </c>
      <c r="BE1087" s="6" t="n">
        <v>0</v>
      </c>
      <c r="BF1087" s="6" t="s">
        <v>10405</v>
      </c>
      <c r="BG1087" s="6" t="n">
        <v>0</v>
      </c>
      <c r="BH1087" s="6" t="s">
        <v>10406</v>
      </c>
      <c r="BI1087" s="6" t="n">
        <v>0</v>
      </c>
    </row>
    <row r="1088" customFormat="false" ht="12.8" hidden="false" customHeight="false" outlineLevel="0" collapsed="false">
      <c r="A1088" s="6" t="s">
        <v>10407</v>
      </c>
      <c r="B1088" s="6" t="n">
        <v>3265</v>
      </c>
      <c r="C1088" s="6" t="n">
        <v>1299</v>
      </c>
      <c r="D1088" s="12" t="n">
        <f aca="false">C1088/(B1088+C1088)*100</f>
        <v>28.4618755477651</v>
      </c>
      <c r="E1088" s="6" t="n">
        <v>23</v>
      </c>
      <c r="F1088" s="6" t="s">
        <v>10408</v>
      </c>
      <c r="G1088" s="6" t="n">
        <v>536</v>
      </c>
      <c r="H1088" s="6" t="s">
        <v>10409</v>
      </c>
      <c r="I1088" s="6" t="n">
        <v>387</v>
      </c>
      <c r="J1088" s="6" t="s">
        <v>10410</v>
      </c>
      <c r="K1088" s="6" t="n">
        <v>197</v>
      </c>
      <c r="L1088" s="6" t="s">
        <v>10411</v>
      </c>
      <c r="M1088" s="6" t="n">
        <v>53</v>
      </c>
      <c r="N1088" s="6" t="s">
        <v>10412</v>
      </c>
      <c r="O1088" s="6" t="n">
        <v>35</v>
      </c>
      <c r="P1088" s="6" t="s">
        <v>10413</v>
      </c>
      <c r="Q1088" s="6" t="n">
        <v>23</v>
      </c>
      <c r="R1088" s="6" t="s">
        <v>10414</v>
      </c>
      <c r="S1088" s="6" t="n">
        <v>17</v>
      </c>
      <c r="T1088" s="6" t="s">
        <v>10415</v>
      </c>
      <c r="U1088" s="6" t="n">
        <v>14</v>
      </c>
      <c r="V1088" s="6" t="s">
        <v>10416</v>
      </c>
      <c r="W1088" s="6" t="n">
        <v>10</v>
      </c>
      <c r="X1088" s="6" t="s">
        <v>10417</v>
      </c>
      <c r="Y1088" s="6" t="n">
        <v>9</v>
      </c>
      <c r="Z1088" s="6" t="s">
        <v>10418</v>
      </c>
      <c r="AA1088" s="6" t="n">
        <v>9</v>
      </c>
      <c r="AB1088" s="6" t="s">
        <v>10419</v>
      </c>
      <c r="AC1088" s="6" t="n">
        <v>4</v>
      </c>
      <c r="AD1088" s="6" t="s">
        <v>10420</v>
      </c>
      <c r="AE1088" s="6" t="n">
        <v>2</v>
      </c>
      <c r="AF1088" s="6" t="s">
        <v>10421</v>
      </c>
      <c r="AG1088" s="6" t="n">
        <v>1</v>
      </c>
      <c r="AH1088" s="6" t="s">
        <v>10422</v>
      </c>
      <c r="AI1088" s="6" t="n">
        <v>1</v>
      </c>
      <c r="AJ1088" s="6" t="s">
        <v>10423</v>
      </c>
      <c r="AK1088" s="6" t="n">
        <v>1</v>
      </c>
      <c r="AL1088" s="6" t="s">
        <v>10424</v>
      </c>
      <c r="AM1088" s="6" t="n">
        <v>0</v>
      </c>
      <c r="AN1088" s="6" t="s">
        <v>10425</v>
      </c>
      <c r="AO1088" s="6" t="n">
        <v>0</v>
      </c>
      <c r="AP1088" s="6" t="s">
        <v>10426</v>
      </c>
      <c r="AQ1088" s="6" t="n">
        <v>0</v>
      </c>
      <c r="AR1088" s="6" t="s">
        <v>10427</v>
      </c>
      <c r="AS1088" s="6" t="n">
        <v>0</v>
      </c>
      <c r="AT1088" s="6" t="s">
        <v>10428</v>
      </c>
      <c r="AU1088" s="6" t="n">
        <v>0</v>
      </c>
      <c r="AV1088" s="6" t="s">
        <v>10429</v>
      </c>
      <c r="AW1088" s="6" t="n">
        <v>0</v>
      </c>
      <c r="AX1088" s="6" t="s">
        <v>10430</v>
      </c>
      <c r="AY1088" s="6" t="n">
        <v>0</v>
      </c>
    </row>
    <row r="1089" customFormat="false" ht="12.8" hidden="false" customHeight="false" outlineLevel="0" collapsed="false">
      <c r="A1089" s="6" t="s">
        <v>10431</v>
      </c>
      <c r="B1089" s="6" t="n">
        <v>3328</v>
      </c>
      <c r="C1089" s="6" t="n">
        <v>31</v>
      </c>
      <c r="D1089" s="12" t="n">
        <f aca="false">C1089/(B1089+C1089)*100</f>
        <v>0.922893718368562</v>
      </c>
      <c r="E1089" s="6" t="n">
        <v>4</v>
      </c>
      <c r="F1089" s="6" t="s">
        <v>10432</v>
      </c>
      <c r="G1089" s="6" t="n">
        <v>11</v>
      </c>
      <c r="H1089" s="6" t="s">
        <v>10433</v>
      </c>
      <c r="I1089" s="6" t="n">
        <v>10</v>
      </c>
      <c r="J1089" s="6" t="s">
        <v>10434</v>
      </c>
      <c r="K1089" s="6" t="n">
        <v>7</v>
      </c>
      <c r="L1089" s="6" t="s">
        <v>10435</v>
      </c>
      <c r="M1089" s="6" t="n">
        <v>3</v>
      </c>
    </row>
    <row r="1090" customFormat="false" ht="12.8" hidden="false" customHeight="false" outlineLevel="0" collapsed="false">
      <c r="A1090" s="6" t="s">
        <v>10436</v>
      </c>
      <c r="B1090" s="6" t="n">
        <v>3964</v>
      </c>
      <c r="C1090" s="6" t="n">
        <v>493</v>
      </c>
      <c r="D1090" s="12" t="n">
        <f aca="false">C1090/(B1090+C1090)*100</f>
        <v>11.0612519632039</v>
      </c>
      <c r="E1090" s="6" t="n">
        <v>14</v>
      </c>
      <c r="F1090" s="6" t="s">
        <v>10437</v>
      </c>
      <c r="G1090" s="6" t="n">
        <v>166</v>
      </c>
      <c r="H1090" s="6" t="s">
        <v>10438</v>
      </c>
      <c r="I1090" s="6" t="n">
        <v>159</v>
      </c>
      <c r="J1090" s="6" t="s">
        <v>10439</v>
      </c>
      <c r="K1090" s="6" t="n">
        <v>128</v>
      </c>
      <c r="L1090" s="6" t="s">
        <v>10440</v>
      </c>
      <c r="M1090" s="6" t="n">
        <v>11</v>
      </c>
      <c r="N1090" s="6" t="s">
        <v>10441</v>
      </c>
      <c r="O1090" s="6" t="n">
        <v>10</v>
      </c>
      <c r="P1090" s="6" t="s">
        <v>10442</v>
      </c>
      <c r="Q1090" s="6" t="n">
        <v>6</v>
      </c>
      <c r="R1090" s="6" t="s">
        <v>10443</v>
      </c>
      <c r="S1090" s="6" t="n">
        <v>4</v>
      </c>
      <c r="T1090" s="6" t="s">
        <v>10444</v>
      </c>
      <c r="U1090" s="6" t="n">
        <v>4</v>
      </c>
      <c r="V1090" s="6" t="s">
        <v>10445</v>
      </c>
      <c r="W1090" s="6" t="n">
        <v>3</v>
      </c>
      <c r="X1090" s="6" t="s">
        <v>10446</v>
      </c>
      <c r="Y1090" s="6" t="n">
        <v>1</v>
      </c>
      <c r="Z1090" s="6" t="s">
        <v>10447</v>
      </c>
      <c r="AA1090" s="6" t="n">
        <v>1</v>
      </c>
      <c r="AB1090" s="6" t="s">
        <v>10448</v>
      </c>
      <c r="AC1090" s="6" t="n">
        <v>0</v>
      </c>
      <c r="AD1090" s="6" t="s">
        <v>10449</v>
      </c>
      <c r="AE1090" s="6" t="n">
        <v>0</v>
      </c>
      <c r="AF1090" s="6" t="s">
        <v>10450</v>
      </c>
      <c r="AG1090" s="6" t="n">
        <v>0</v>
      </c>
    </row>
    <row r="1091" customFormat="false" ht="12.8" hidden="false" customHeight="false" outlineLevel="0" collapsed="false">
      <c r="A1091" s="6" t="s">
        <v>10451</v>
      </c>
      <c r="B1091" s="6" t="n">
        <v>4115</v>
      </c>
      <c r="C1091" s="6" t="n">
        <v>1109</v>
      </c>
      <c r="D1091" s="12" t="n">
        <f aca="false">C1091/(B1091+C1091)*100</f>
        <v>21.228943338438</v>
      </c>
      <c r="E1091" s="6" t="n">
        <v>18</v>
      </c>
      <c r="F1091" s="6" t="s">
        <v>10452</v>
      </c>
      <c r="G1091" s="6" t="n">
        <v>392</v>
      </c>
      <c r="H1091" s="6" t="s">
        <v>10453</v>
      </c>
      <c r="I1091" s="6" t="n">
        <v>289</v>
      </c>
      <c r="J1091" s="6" t="s">
        <v>10454</v>
      </c>
      <c r="K1091" s="6" t="n">
        <v>223</v>
      </c>
      <c r="L1091" s="6" t="s">
        <v>10455</v>
      </c>
      <c r="M1091" s="6" t="n">
        <v>180</v>
      </c>
      <c r="N1091" s="6" t="s">
        <v>10456</v>
      </c>
      <c r="O1091" s="6" t="n">
        <v>11</v>
      </c>
      <c r="P1091" s="6" t="s">
        <v>10457</v>
      </c>
      <c r="Q1091" s="6" t="n">
        <v>2</v>
      </c>
      <c r="R1091" s="6" t="s">
        <v>10458</v>
      </c>
      <c r="S1091" s="6" t="n">
        <v>2</v>
      </c>
      <c r="T1091" s="6" t="s">
        <v>10459</v>
      </c>
      <c r="U1091" s="6" t="n">
        <v>2</v>
      </c>
      <c r="V1091" s="6" t="s">
        <v>10460</v>
      </c>
      <c r="W1091" s="6" t="n">
        <v>2</v>
      </c>
      <c r="X1091" s="6" t="s">
        <v>10461</v>
      </c>
      <c r="Y1091" s="6" t="n">
        <v>1</v>
      </c>
      <c r="Z1091" s="6" t="s">
        <v>10462</v>
      </c>
      <c r="AA1091" s="6" t="n">
        <v>1</v>
      </c>
      <c r="AB1091" s="6" t="s">
        <v>10463</v>
      </c>
      <c r="AC1091" s="6" t="n">
        <v>1</v>
      </c>
      <c r="AD1091" s="6" t="s">
        <v>10464</v>
      </c>
      <c r="AE1091" s="6" t="n">
        <v>1</v>
      </c>
      <c r="AF1091" s="6" t="s">
        <v>10465</v>
      </c>
      <c r="AG1091" s="6" t="n">
        <v>1</v>
      </c>
      <c r="AH1091" s="6" t="s">
        <v>10466</v>
      </c>
      <c r="AI1091" s="6" t="n">
        <v>1</v>
      </c>
      <c r="AJ1091" s="6" t="s">
        <v>10467</v>
      </c>
      <c r="AK1091" s="6" t="n">
        <v>0</v>
      </c>
      <c r="AL1091" s="6" t="s">
        <v>10468</v>
      </c>
      <c r="AM1091" s="6" t="n">
        <v>0</v>
      </c>
      <c r="AN1091" s="6" t="s">
        <v>10469</v>
      </c>
      <c r="AO1091" s="6" t="n">
        <v>0</v>
      </c>
    </row>
    <row r="1092" customFormat="false" ht="12.8" hidden="false" customHeight="false" outlineLevel="0" collapsed="false">
      <c r="A1092" s="6" t="s">
        <v>10470</v>
      </c>
      <c r="B1092" s="6" t="n">
        <v>4302</v>
      </c>
      <c r="C1092" s="6" t="n">
        <v>2631</v>
      </c>
      <c r="D1092" s="12" t="n">
        <f aca="false">C1092/(B1092+C1092)*100</f>
        <v>37.9489398528775</v>
      </c>
      <c r="E1092" s="6" t="n">
        <v>43</v>
      </c>
      <c r="F1092" s="6" t="s">
        <v>10471</v>
      </c>
      <c r="G1092" s="6" t="n">
        <v>695</v>
      </c>
      <c r="H1092" s="6" t="s">
        <v>10472</v>
      </c>
      <c r="I1092" s="6" t="n">
        <v>364</v>
      </c>
      <c r="J1092" s="6" t="s">
        <v>10473</v>
      </c>
      <c r="K1092" s="6" t="n">
        <v>343</v>
      </c>
      <c r="L1092" s="6" t="s">
        <v>10474</v>
      </c>
      <c r="M1092" s="6" t="n">
        <v>306</v>
      </c>
      <c r="N1092" s="6" t="s">
        <v>10475</v>
      </c>
      <c r="O1092" s="6" t="n">
        <v>283</v>
      </c>
      <c r="P1092" s="6" t="s">
        <v>10476</v>
      </c>
      <c r="Q1092" s="6" t="n">
        <v>243</v>
      </c>
      <c r="R1092" s="6" t="s">
        <v>10477</v>
      </c>
      <c r="S1092" s="6" t="n">
        <v>153</v>
      </c>
      <c r="T1092" s="6" t="s">
        <v>10478</v>
      </c>
      <c r="U1092" s="6" t="n">
        <v>61</v>
      </c>
      <c r="V1092" s="6" t="s">
        <v>10479</v>
      </c>
      <c r="W1092" s="6" t="n">
        <v>49</v>
      </c>
      <c r="X1092" s="6" t="s">
        <v>10480</v>
      </c>
      <c r="Y1092" s="6" t="n">
        <v>31</v>
      </c>
      <c r="Z1092" s="6" t="s">
        <v>10481</v>
      </c>
      <c r="AA1092" s="6" t="n">
        <v>19</v>
      </c>
      <c r="AB1092" s="6" t="s">
        <v>10482</v>
      </c>
      <c r="AC1092" s="6" t="n">
        <v>16</v>
      </c>
      <c r="AD1092" s="6" t="s">
        <v>10483</v>
      </c>
      <c r="AE1092" s="6" t="n">
        <v>10</v>
      </c>
      <c r="AF1092" s="6" t="s">
        <v>10484</v>
      </c>
      <c r="AG1092" s="6" t="n">
        <v>8</v>
      </c>
      <c r="AH1092" s="6" t="s">
        <v>10485</v>
      </c>
      <c r="AI1092" s="6" t="n">
        <v>8</v>
      </c>
      <c r="AJ1092" s="6" t="s">
        <v>10486</v>
      </c>
      <c r="AK1092" s="6" t="n">
        <v>6</v>
      </c>
      <c r="AL1092" s="6" t="s">
        <v>10487</v>
      </c>
      <c r="AM1092" s="6" t="n">
        <v>5</v>
      </c>
      <c r="AN1092" s="6" t="s">
        <v>10488</v>
      </c>
      <c r="AO1092" s="6" t="n">
        <v>5</v>
      </c>
      <c r="AP1092" s="6" t="s">
        <v>10489</v>
      </c>
      <c r="AQ1092" s="6" t="n">
        <v>3</v>
      </c>
      <c r="AR1092" s="6" t="s">
        <v>10490</v>
      </c>
      <c r="AS1092" s="6" t="n">
        <v>3</v>
      </c>
      <c r="AT1092" s="6" t="s">
        <v>10491</v>
      </c>
      <c r="AU1092" s="6" t="n">
        <v>3</v>
      </c>
      <c r="AV1092" s="6" t="s">
        <v>10492</v>
      </c>
      <c r="AW1092" s="6" t="n">
        <v>3</v>
      </c>
      <c r="AX1092" s="6" t="s">
        <v>10493</v>
      </c>
      <c r="AY1092" s="6" t="n">
        <v>2</v>
      </c>
      <c r="AZ1092" s="6" t="s">
        <v>10494</v>
      </c>
      <c r="BA1092" s="6" t="n">
        <v>2</v>
      </c>
      <c r="BB1092" s="6" t="s">
        <v>10495</v>
      </c>
      <c r="BC1092" s="6" t="n">
        <v>2</v>
      </c>
      <c r="BD1092" s="6" t="s">
        <v>10496</v>
      </c>
      <c r="BE1092" s="6" t="n">
        <v>2</v>
      </c>
      <c r="BF1092" s="6" t="s">
        <v>10497</v>
      </c>
      <c r="BG1092" s="6" t="n">
        <v>1</v>
      </c>
      <c r="BH1092" s="6" t="s">
        <v>10498</v>
      </c>
      <c r="BI1092" s="6" t="n">
        <v>1</v>
      </c>
      <c r="BJ1092" s="6" t="s">
        <v>10499</v>
      </c>
      <c r="BK1092" s="6" t="n">
        <v>1</v>
      </c>
      <c r="BL1092" s="6" t="s">
        <v>10500</v>
      </c>
      <c r="BM1092" s="6" t="n">
        <v>1</v>
      </c>
      <c r="BN1092" s="6" t="s">
        <v>10501</v>
      </c>
      <c r="BO1092" s="6" t="n">
        <v>1</v>
      </c>
      <c r="BP1092" s="6" t="s">
        <v>10502</v>
      </c>
      <c r="BQ1092" s="6" t="n">
        <v>1</v>
      </c>
      <c r="BR1092" s="6" t="s">
        <v>10503</v>
      </c>
      <c r="BS1092" s="6" t="n">
        <v>0</v>
      </c>
      <c r="BT1092" s="6" t="s">
        <v>10504</v>
      </c>
      <c r="BU1092" s="6" t="n">
        <v>0</v>
      </c>
      <c r="BV1092" s="6" t="s">
        <v>10505</v>
      </c>
      <c r="BW1092" s="6" t="n">
        <v>0</v>
      </c>
      <c r="BX1092" s="6" t="s">
        <v>10506</v>
      </c>
      <c r="BY1092" s="6" t="n">
        <v>0</v>
      </c>
      <c r="BZ1092" s="6" t="s">
        <v>10507</v>
      </c>
      <c r="CA1092" s="6" t="n">
        <v>0</v>
      </c>
      <c r="CB1092" s="6" t="s">
        <v>10508</v>
      </c>
      <c r="CC1092" s="6" t="n">
        <v>0</v>
      </c>
      <c r="CD1092" s="6" t="s">
        <v>10509</v>
      </c>
      <c r="CE1092" s="6" t="n">
        <v>0</v>
      </c>
      <c r="CF1092" s="6" t="s">
        <v>10510</v>
      </c>
      <c r="CG1092" s="6" t="n">
        <v>0</v>
      </c>
      <c r="CH1092" s="6" t="s">
        <v>10511</v>
      </c>
      <c r="CI1092" s="6" t="n">
        <v>0</v>
      </c>
      <c r="CJ1092" s="6" t="s">
        <v>10512</v>
      </c>
      <c r="CK1092" s="6" t="n">
        <v>0</v>
      </c>
      <c r="CL1092" s="6" t="s">
        <v>10513</v>
      </c>
      <c r="CM1092" s="6" t="n">
        <v>0</v>
      </c>
    </row>
    <row r="1093" customFormat="false" ht="12.8" hidden="false" customHeight="false" outlineLevel="0" collapsed="false">
      <c r="A1093" s="6" t="s">
        <v>10514</v>
      </c>
      <c r="B1093" s="6" t="n">
        <v>4551</v>
      </c>
      <c r="C1093" s="6" t="n">
        <v>3694</v>
      </c>
      <c r="D1093" s="12" t="n">
        <f aca="false">C1093/(B1093+C1093)*100</f>
        <v>44.8029108550637</v>
      </c>
      <c r="E1093" s="6" t="n">
        <v>37</v>
      </c>
      <c r="F1093" s="6" t="s">
        <v>10515</v>
      </c>
      <c r="G1093" s="6" t="n">
        <v>1723</v>
      </c>
      <c r="H1093" s="6" t="s">
        <v>10516</v>
      </c>
      <c r="I1093" s="6" t="n">
        <v>423</v>
      </c>
      <c r="J1093" s="6" t="s">
        <v>10517</v>
      </c>
      <c r="K1093" s="6" t="n">
        <v>307</v>
      </c>
      <c r="L1093" s="6" t="s">
        <v>10518</v>
      </c>
      <c r="M1093" s="6" t="n">
        <v>235</v>
      </c>
      <c r="N1093" s="6" t="s">
        <v>10519</v>
      </c>
      <c r="O1093" s="6" t="n">
        <v>204</v>
      </c>
      <c r="P1093" s="6" t="s">
        <v>10520</v>
      </c>
      <c r="Q1093" s="6" t="n">
        <v>184</v>
      </c>
      <c r="R1093" s="6" t="s">
        <v>10521</v>
      </c>
      <c r="S1093" s="6" t="n">
        <v>182</v>
      </c>
      <c r="T1093" s="6" t="s">
        <v>10522</v>
      </c>
      <c r="U1093" s="6" t="n">
        <v>114</v>
      </c>
      <c r="V1093" s="6" t="s">
        <v>10523</v>
      </c>
      <c r="W1093" s="6" t="n">
        <v>82</v>
      </c>
      <c r="X1093" s="6" t="s">
        <v>10524</v>
      </c>
      <c r="Y1093" s="6" t="n">
        <v>64</v>
      </c>
      <c r="Z1093" s="6" t="s">
        <v>10525</v>
      </c>
      <c r="AA1093" s="6" t="n">
        <v>50</v>
      </c>
      <c r="AB1093" s="6" t="s">
        <v>10526</v>
      </c>
      <c r="AC1093" s="6" t="n">
        <v>49</v>
      </c>
      <c r="AD1093" s="6" t="s">
        <v>10527</v>
      </c>
      <c r="AE1093" s="6" t="n">
        <v>26</v>
      </c>
      <c r="AF1093" s="6" t="s">
        <v>10528</v>
      </c>
      <c r="AG1093" s="6" t="n">
        <v>20</v>
      </c>
      <c r="AH1093" s="6" t="s">
        <v>10529</v>
      </c>
      <c r="AI1093" s="6" t="n">
        <v>6</v>
      </c>
      <c r="AJ1093" s="6" t="s">
        <v>10530</v>
      </c>
      <c r="AK1093" s="6" t="n">
        <v>4</v>
      </c>
      <c r="AL1093" s="6" t="s">
        <v>10531</v>
      </c>
      <c r="AM1093" s="6" t="n">
        <v>3</v>
      </c>
      <c r="AN1093" s="6" t="s">
        <v>10532</v>
      </c>
      <c r="AO1093" s="6" t="n">
        <v>3</v>
      </c>
      <c r="AP1093" s="6" t="s">
        <v>10533</v>
      </c>
      <c r="AQ1093" s="6" t="n">
        <v>2</v>
      </c>
      <c r="AR1093" s="6" t="s">
        <v>10534</v>
      </c>
      <c r="AS1093" s="6" t="n">
        <v>1</v>
      </c>
      <c r="AT1093" s="6" t="s">
        <v>10535</v>
      </c>
      <c r="AU1093" s="6" t="n">
        <v>1</v>
      </c>
      <c r="AV1093" s="6" t="s">
        <v>10536</v>
      </c>
      <c r="AW1093" s="6" t="n">
        <v>1</v>
      </c>
      <c r="AX1093" s="6" t="s">
        <v>10537</v>
      </c>
      <c r="AY1093" s="6" t="n">
        <v>1</v>
      </c>
      <c r="AZ1093" s="6" t="s">
        <v>10538</v>
      </c>
      <c r="BA1093" s="6" t="n">
        <v>1</v>
      </c>
      <c r="BB1093" s="6" t="s">
        <v>10539</v>
      </c>
      <c r="BC1093" s="6" t="n">
        <v>1</v>
      </c>
      <c r="BD1093" s="6" t="s">
        <v>10540</v>
      </c>
      <c r="BE1093" s="6" t="n">
        <v>1</v>
      </c>
      <c r="BF1093" s="6" t="s">
        <v>10541</v>
      </c>
      <c r="BG1093" s="6" t="n">
        <v>1</v>
      </c>
      <c r="BH1093" s="6" t="s">
        <v>10542</v>
      </c>
      <c r="BI1093" s="6" t="n">
        <v>1</v>
      </c>
      <c r="BJ1093" s="6" t="s">
        <v>10543</v>
      </c>
      <c r="BK1093" s="6" t="n">
        <v>1</v>
      </c>
      <c r="BL1093" s="6" t="s">
        <v>10544</v>
      </c>
      <c r="BM1093" s="6" t="n">
        <v>1</v>
      </c>
      <c r="BN1093" s="6" t="s">
        <v>10545</v>
      </c>
      <c r="BO1093" s="6" t="n">
        <v>1</v>
      </c>
      <c r="BP1093" s="6" t="s">
        <v>10546</v>
      </c>
      <c r="BQ1093" s="6" t="n">
        <v>1</v>
      </c>
      <c r="BR1093" s="6" t="s">
        <v>10547</v>
      </c>
      <c r="BS1093" s="6" t="n">
        <v>0</v>
      </c>
      <c r="BT1093" s="6" t="s">
        <v>10548</v>
      </c>
      <c r="BU1093" s="6" t="n">
        <v>0</v>
      </c>
      <c r="BV1093" s="6" t="s">
        <v>10549</v>
      </c>
      <c r="BW1093" s="6" t="n">
        <v>0</v>
      </c>
      <c r="BX1093" s="6" t="s">
        <v>10550</v>
      </c>
      <c r="BY1093" s="6" t="n">
        <v>0</v>
      </c>
      <c r="BZ1093" s="6" t="s">
        <v>10551</v>
      </c>
      <c r="CA1093" s="6" t="n">
        <v>0</v>
      </c>
    </row>
    <row r="1094" customFormat="false" ht="12.8" hidden="false" customHeight="false" outlineLevel="0" collapsed="false">
      <c r="A1094" s="6" t="s">
        <v>10552</v>
      </c>
      <c r="B1094" s="6" t="n">
        <v>5077</v>
      </c>
      <c r="C1094" s="6" t="n">
        <v>4382</v>
      </c>
      <c r="D1094" s="12" t="n">
        <f aca="false">C1094/(B1094+C1094)*100</f>
        <v>46.3262501321493</v>
      </c>
      <c r="E1094" s="6" t="n">
        <v>68</v>
      </c>
      <c r="F1094" s="6" t="s">
        <v>10553</v>
      </c>
      <c r="G1094" s="6" t="n">
        <v>1305</v>
      </c>
      <c r="H1094" s="6" t="s">
        <v>10554</v>
      </c>
      <c r="I1094" s="6" t="n">
        <v>1081</v>
      </c>
      <c r="J1094" s="6" t="s">
        <v>10555</v>
      </c>
      <c r="K1094" s="6" t="n">
        <v>326</v>
      </c>
      <c r="L1094" s="6" t="s">
        <v>10556</v>
      </c>
      <c r="M1094" s="6" t="n">
        <v>283</v>
      </c>
      <c r="N1094" s="6" t="s">
        <v>10557</v>
      </c>
      <c r="O1094" s="6" t="n">
        <v>260</v>
      </c>
      <c r="P1094" s="6" t="s">
        <v>10558</v>
      </c>
      <c r="Q1094" s="6" t="n">
        <v>255</v>
      </c>
      <c r="R1094" s="6" t="s">
        <v>10559</v>
      </c>
      <c r="S1094" s="6" t="n">
        <v>140</v>
      </c>
      <c r="T1094" s="6" t="s">
        <v>10560</v>
      </c>
      <c r="U1094" s="6" t="n">
        <v>103</v>
      </c>
      <c r="V1094" s="6" t="s">
        <v>10561</v>
      </c>
      <c r="W1094" s="6" t="n">
        <v>98</v>
      </c>
      <c r="X1094" s="6" t="s">
        <v>10562</v>
      </c>
      <c r="Y1094" s="6" t="n">
        <v>74</v>
      </c>
      <c r="Z1094" s="6" t="s">
        <v>10563</v>
      </c>
      <c r="AA1094" s="6" t="n">
        <v>62</v>
      </c>
      <c r="AB1094" s="6" t="s">
        <v>10564</v>
      </c>
      <c r="AC1094" s="6" t="n">
        <v>40</v>
      </c>
      <c r="AD1094" s="6" t="s">
        <v>10565</v>
      </c>
      <c r="AE1094" s="6" t="n">
        <v>38</v>
      </c>
      <c r="AF1094" s="6" t="s">
        <v>10566</v>
      </c>
      <c r="AG1094" s="6" t="n">
        <v>30</v>
      </c>
      <c r="AH1094" s="6" t="s">
        <v>10567</v>
      </c>
      <c r="AI1094" s="6" t="n">
        <v>29</v>
      </c>
      <c r="AJ1094" s="6" t="s">
        <v>10568</v>
      </c>
      <c r="AK1094" s="6" t="n">
        <v>25</v>
      </c>
      <c r="AL1094" s="6" t="s">
        <v>10569</v>
      </c>
      <c r="AM1094" s="6" t="n">
        <v>23</v>
      </c>
      <c r="AN1094" s="6" t="s">
        <v>10570</v>
      </c>
      <c r="AO1094" s="6" t="n">
        <v>20</v>
      </c>
      <c r="AP1094" s="6" t="s">
        <v>10571</v>
      </c>
      <c r="AQ1094" s="6" t="n">
        <v>19</v>
      </c>
      <c r="AR1094" s="6" t="s">
        <v>10572</v>
      </c>
      <c r="AS1094" s="6" t="n">
        <v>16</v>
      </c>
      <c r="AT1094" s="6" t="s">
        <v>10573</v>
      </c>
      <c r="AU1094" s="6" t="n">
        <v>13</v>
      </c>
      <c r="AV1094" s="6" t="s">
        <v>10574</v>
      </c>
      <c r="AW1094" s="6" t="n">
        <v>13</v>
      </c>
      <c r="AX1094" s="6" t="s">
        <v>10575</v>
      </c>
      <c r="AY1094" s="6" t="n">
        <v>12</v>
      </c>
      <c r="AZ1094" s="6" t="s">
        <v>10576</v>
      </c>
      <c r="BA1094" s="6" t="n">
        <v>11</v>
      </c>
      <c r="BB1094" s="6" t="s">
        <v>10577</v>
      </c>
      <c r="BC1094" s="6" t="n">
        <v>9</v>
      </c>
      <c r="BD1094" s="6" t="s">
        <v>10578</v>
      </c>
      <c r="BE1094" s="6" t="n">
        <v>9</v>
      </c>
      <c r="BF1094" s="6" t="s">
        <v>10579</v>
      </c>
      <c r="BG1094" s="6" t="n">
        <v>9</v>
      </c>
      <c r="BH1094" s="6" t="s">
        <v>10580</v>
      </c>
      <c r="BI1094" s="6" t="n">
        <v>6</v>
      </c>
      <c r="BJ1094" s="6" t="s">
        <v>10581</v>
      </c>
      <c r="BK1094" s="6" t="n">
        <v>6</v>
      </c>
      <c r="BL1094" s="6" t="s">
        <v>10582</v>
      </c>
      <c r="BM1094" s="6" t="n">
        <v>6</v>
      </c>
      <c r="BN1094" s="6" t="s">
        <v>10583</v>
      </c>
      <c r="BO1094" s="6" t="n">
        <v>5</v>
      </c>
      <c r="BP1094" s="6" t="s">
        <v>10584</v>
      </c>
      <c r="BQ1094" s="6" t="n">
        <v>5</v>
      </c>
      <c r="BR1094" s="6" t="s">
        <v>10585</v>
      </c>
      <c r="BS1094" s="6" t="n">
        <v>4</v>
      </c>
      <c r="BT1094" s="6" t="s">
        <v>10586</v>
      </c>
      <c r="BU1094" s="6" t="n">
        <v>4</v>
      </c>
      <c r="BV1094" s="6" t="s">
        <v>10587</v>
      </c>
      <c r="BW1094" s="6" t="n">
        <v>4</v>
      </c>
      <c r="BX1094" s="6" t="s">
        <v>10588</v>
      </c>
      <c r="BY1094" s="6" t="n">
        <v>4</v>
      </c>
      <c r="BZ1094" s="6" t="s">
        <v>10589</v>
      </c>
      <c r="CA1094" s="6" t="n">
        <v>4</v>
      </c>
      <c r="CB1094" s="6" t="s">
        <v>10590</v>
      </c>
      <c r="CC1094" s="6" t="n">
        <v>3</v>
      </c>
      <c r="CD1094" s="6" t="s">
        <v>10591</v>
      </c>
      <c r="CE1094" s="6" t="n">
        <v>3</v>
      </c>
      <c r="CF1094" s="6" t="s">
        <v>10592</v>
      </c>
      <c r="CG1094" s="6" t="n">
        <v>3</v>
      </c>
      <c r="CH1094" s="6" t="s">
        <v>10593</v>
      </c>
      <c r="CI1094" s="6" t="n">
        <v>3</v>
      </c>
      <c r="CJ1094" s="6" t="s">
        <v>10594</v>
      </c>
      <c r="CK1094" s="6" t="n">
        <v>2</v>
      </c>
      <c r="CL1094" s="6" t="s">
        <v>10595</v>
      </c>
      <c r="CM1094" s="6" t="n">
        <v>2</v>
      </c>
      <c r="CN1094" s="6" t="s">
        <v>10596</v>
      </c>
      <c r="CO1094" s="6" t="n">
        <v>1</v>
      </c>
      <c r="CP1094" s="6" t="s">
        <v>10597</v>
      </c>
      <c r="CQ1094" s="6" t="n">
        <v>1</v>
      </c>
      <c r="CR1094" s="6" t="s">
        <v>10598</v>
      </c>
      <c r="CS1094" s="6" t="n">
        <v>1</v>
      </c>
      <c r="CT1094" s="6" t="s">
        <v>10599</v>
      </c>
      <c r="CU1094" s="6" t="n">
        <v>1</v>
      </c>
      <c r="CV1094" s="6" t="s">
        <v>10600</v>
      </c>
      <c r="CW1094" s="6" t="n">
        <v>1</v>
      </c>
      <c r="CX1094" s="6" t="s">
        <v>10601</v>
      </c>
      <c r="CY1094" s="6" t="n">
        <v>1</v>
      </c>
      <c r="CZ1094" s="6" t="s">
        <v>10602</v>
      </c>
      <c r="DA1094" s="6" t="n">
        <v>1</v>
      </c>
      <c r="DB1094" s="6" t="s">
        <v>10603</v>
      </c>
      <c r="DC1094" s="6" t="n">
        <v>1</v>
      </c>
      <c r="DD1094" s="6" t="s">
        <v>10604</v>
      </c>
      <c r="DE1094" s="6" t="n">
        <v>1</v>
      </c>
      <c r="DF1094" s="6" t="s">
        <v>10605</v>
      </c>
      <c r="DG1094" s="6" t="n">
        <v>1</v>
      </c>
      <c r="DH1094" s="6" t="s">
        <v>10606</v>
      </c>
      <c r="DI1094" s="6" t="n">
        <v>1</v>
      </c>
      <c r="DJ1094" s="6" t="s">
        <v>10607</v>
      </c>
      <c r="DK1094" s="6" t="n">
        <v>1</v>
      </c>
      <c r="DL1094" s="6" t="s">
        <v>10608</v>
      </c>
      <c r="DM1094" s="6" t="n">
        <v>1</v>
      </c>
      <c r="DN1094" s="6" t="s">
        <v>10609</v>
      </c>
      <c r="DO1094" s="6" t="n">
        <v>1</v>
      </c>
      <c r="DP1094" s="6" t="s">
        <v>10610</v>
      </c>
      <c r="DQ1094" s="6" t="n">
        <v>1</v>
      </c>
      <c r="DR1094" s="6" t="s">
        <v>10611</v>
      </c>
      <c r="DS1094" s="6" t="n">
        <v>0</v>
      </c>
      <c r="DT1094" s="6" t="s">
        <v>10612</v>
      </c>
      <c r="DU1094" s="6" t="n">
        <v>0</v>
      </c>
      <c r="DV1094" s="6" t="s">
        <v>10613</v>
      </c>
      <c r="DW1094" s="6" t="n">
        <v>0</v>
      </c>
      <c r="DX1094" s="6" t="s">
        <v>10614</v>
      </c>
      <c r="DY1094" s="6" t="n">
        <v>0</v>
      </c>
      <c r="DZ1094" s="6" t="s">
        <v>10615</v>
      </c>
      <c r="EA1094" s="6" t="n">
        <v>0</v>
      </c>
      <c r="EB1094" s="6" t="s">
        <v>10616</v>
      </c>
      <c r="EC1094" s="6" t="n">
        <v>0</v>
      </c>
      <c r="ED1094" s="6" t="s">
        <v>10617</v>
      </c>
      <c r="EE1094" s="6" t="n">
        <v>0</v>
      </c>
      <c r="EF1094" s="6" t="s">
        <v>10618</v>
      </c>
      <c r="EG1094" s="6" t="n">
        <v>0</v>
      </c>
      <c r="EH1094" s="6" t="s">
        <v>10619</v>
      </c>
      <c r="EI1094" s="6" t="n">
        <v>0</v>
      </c>
      <c r="EJ1094" s="6" t="s">
        <v>10620</v>
      </c>
      <c r="EK1094" s="6" t="n">
        <v>0</v>
      </c>
    </row>
    <row r="1095" customFormat="false" ht="12.8" hidden="false" customHeight="false" outlineLevel="0" collapsed="false">
      <c r="A1095" s="6" t="s">
        <v>10621</v>
      </c>
      <c r="B1095" s="6" t="n">
        <v>5142</v>
      </c>
      <c r="C1095" s="6" t="n">
        <v>3897</v>
      </c>
      <c r="D1095" s="12" t="n">
        <f aca="false">C1095/(B1095+C1095)*100</f>
        <v>43.1131762363093</v>
      </c>
      <c r="E1095" s="6" t="n">
        <v>40</v>
      </c>
      <c r="F1095" s="6" t="s">
        <v>10622</v>
      </c>
      <c r="G1095" s="6" t="n">
        <v>1204</v>
      </c>
      <c r="H1095" s="6" t="s">
        <v>10623</v>
      </c>
      <c r="I1095" s="6" t="n">
        <v>911</v>
      </c>
      <c r="J1095" s="6" t="s">
        <v>10624</v>
      </c>
      <c r="K1095" s="6" t="n">
        <v>405</v>
      </c>
      <c r="L1095" s="6" t="s">
        <v>10625</v>
      </c>
      <c r="M1095" s="6" t="n">
        <v>341</v>
      </c>
      <c r="N1095" s="6" t="s">
        <v>10626</v>
      </c>
      <c r="O1095" s="6" t="n">
        <v>322</v>
      </c>
      <c r="P1095" s="6" t="s">
        <v>10627</v>
      </c>
      <c r="Q1095" s="6" t="n">
        <v>160</v>
      </c>
      <c r="R1095" s="6" t="s">
        <v>10628</v>
      </c>
      <c r="S1095" s="6" t="n">
        <v>135</v>
      </c>
      <c r="T1095" s="6" t="s">
        <v>10629</v>
      </c>
      <c r="U1095" s="6" t="n">
        <v>88</v>
      </c>
      <c r="V1095" s="6" t="s">
        <v>10630</v>
      </c>
      <c r="W1095" s="6" t="n">
        <v>77</v>
      </c>
      <c r="X1095" s="6" t="s">
        <v>10631</v>
      </c>
      <c r="Y1095" s="6" t="n">
        <v>75</v>
      </c>
      <c r="Z1095" s="6" t="s">
        <v>10632</v>
      </c>
      <c r="AA1095" s="6" t="n">
        <v>42</v>
      </c>
      <c r="AB1095" s="6" t="s">
        <v>10633</v>
      </c>
      <c r="AC1095" s="6" t="n">
        <v>32</v>
      </c>
      <c r="AD1095" s="6" t="s">
        <v>10634</v>
      </c>
      <c r="AE1095" s="6" t="n">
        <v>24</v>
      </c>
      <c r="AF1095" s="6" t="s">
        <v>10635</v>
      </c>
      <c r="AG1095" s="6" t="n">
        <v>16</v>
      </c>
      <c r="AH1095" s="6" t="s">
        <v>10636</v>
      </c>
      <c r="AI1095" s="6" t="n">
        <v>11</v>
      </c>
      <c r="AJ1095" s="6" t="s">
        <v>10637</v>
      </c>
      <c r="AK1095" s="6" t="n">
        <v>9</v>
      </c>
      <c r="AL1095" s="6" t="s">
        <v>10638</v>
      </c>
      <c r="AM1095" s="6" t="n">
        <v>9</v>
      </c>
      <c r="AN1095" s="6" t="s">
        <v>10639</v>
      </c>
      <c r="AO1095" s="6" t="n">
        <v>7</v>
      </c>
      <c r="AP1095" s="6" t="s">
        <v>10640</v>
      </c>
      <c r="AQ1095" s="6" t="n">
        <v>6</v>
      </c>
      <c r="AR1095" s="6" t="s">
        <v>10641</v>
      </c>
      <c r="AS1095" s="6" t="n">
        <v>6</v>
      </c>
      <c r="AT1095" s="6" t="s">
        <v>10642</v>
      </c>
      <c r="AU1095" s="6" t="n">
        <v>5</v>
      </c>
      <c r="AV1095" s="6" t="s">
        <v>10643</v>
      </c>
      <c r="AW1095" s="6" t="n">
        <v>2</v>
      </c>
      <c r="AX1095" s="6" t="s">
        <v>10644</v>
      </c>
      <c r="AY1095" s="6" t="n">
        <v>2</v>
      </c>
      <c r="AZ1095" s="6" t="s">
        <v>10645</v>
      </c>
      <c r="BA1095" s="6" t="n">
        <v>2</v>
      </c>
      <c r="BB1095" s="6" t="s">
        <v>10646</v>
      </c>
      <c r="BC1095" s="6" t="n">
        <v>2</v>
      </c>
      <c r="BD1095" s="6" t="s">
        <v>10647</v>
      </c>
      <c r="BE1095" s="6" t="n">
        <v>2</v>
      </c>
      <c r="BF1095" s="6" t="s">
        <v>10648</v>
      </c>
      <c r="BG1095" s="6" t="n">
        <v>1</v>
      </c>
      <c r="BH1095" s="6" t="s">
        <v>10649</v>
      </c>
      <c r="BI1095" s="6" t="n">
        <v>1</v>
      </c>
      <c r="BJ1095" s="6" t="s">
        <v>10650</v>
      </c>
      <c r="BK1095" s="6" t="n">
        <v>0</v>
      </c>
      <c r="BL1095" s="6" t="s">
        <v>10651</v>
      </c>
      <c r="BM1095" s="6" t="n">
        <v>0</v>
      </c>
      <c r="BN1095" s="6" t="s">
        <v>10652</v>
      </c>
      <c r="BO1095" s="6" t="n">
        <v>0</v>
      </c>
      <c r="BP1095" s="6" t="s">
        <v>10653</v>
      </c>
      <c r="BQ1095" s="6" t="n">
        <v>0</v>
      </c>
      <c r="BR1095" s="6" t="s">
        <v>10654</v>
      </c>
      <c r="BS1095" s="6" t="n">
        <v>0</v>
      </c>
      <c r="BT1095" s="6" t="s">
        <v>10655</v>
      </c>
      <c r="BU1095" s="6" t="n">
        <v>0</v>
      </c>
      <c r="BV1095" s="6" t="s">
        <v>10656</v>
      </c>
      <c r="BW1095" s="6" t="n">
        <v>0</v>
      </c>
      <c r="BX1095" s="6" t="s">
        <v>10657</v>
      </c>
      <c r="BY1095" s="6" t="n">
        <v>0</v>
      </c>
      <c r="BZ1095" s="6" t="s">
        <v>10658</v>
      </c>
      <c r="CA1095" s="6" t="n">
        <v>0</v>
      </c>
      <c r="CB1095" s="6" t="s">
        <v>10659</v>
      </c>
      <c r="CC1095" s="6" t="n">
        <v>0</v>
      </c>
      <c r="CD1095" s="6" t="s">
        <v>10660</v>
      </c>
      <c r="CE1095" s="6" t="n">
        <v>0</v>
      </c>
      <c r="CF1095" s="6" t="s">
        <v>10661</v>
      </c>
      <c r="CG1095" s="6" t="n">
        <v>0</v>
      </c>
    </row>
    <row r="1096" customFormat="false" ht="12.8" hidden="false" customHeight="false" outlineLevel="0" collapsed="false">
      <c r="A1096" s="6" t="s">
        <v>10662</v>
      </c>
      <c r="B1096" s="6" t="n">
        <v>5988</v>
      </c>
      <c r="C1096" s="6" t="n">
        <v>1260</v>
      </c>
      <c r="D1096" s="12" t="n">
        <f aca="false">C1096/(B1096+C1096)*100</f>
        <v>17.3841059602649</v>
      </c>
      <c r="E1096" s="6" t="n">
        <v>10</v>
      </c>
      <c r="F1096" s="6" t="s">
        <v>10663</v>
      </c>
      <c r="G1096" s="6" t="n">
        <v>1112</v>
      </c>
      <c r="H1096" s="6" t="s">
        <v>10664</v>
      </c>
      <c r="I1096" s="6" t="n">
        <v>104</v>
      </c>
      <c r="J1096" s="6" t="s">
        <v>10665</v>
      </c>
      <c r="K1096" s="6" t="n">
        <v>31</v>
      </c>
      <c r="L1096" s="6" t="s">
        <v>10666</v>
      </c>
      <c r="M1096" s="6" t="n">
        <v>5</v>
      </c>
      <c r="N1096" s="6" t="s">
        <v>10667</v>
      </c>
      <c r="O1096" s="6" t="n">
        <v>2</v>
      </c>
      <c r="P1096" s="6" t="s">
        <v>10668</v>
      </c>
      <c r="Q1096" s="6" t="n">
        <v>2</v>
      </c>
      <c r="R1096" s="6" t="s">
        <v>10669</v>
      </c>
      <c r="S1096" s="6" t="n">
        <v>1</v>
      </c>
      <c r="T1096" s="6" t="s">
        <v>10670</v>
      </c>
      <c r="U1096" s="6" t="n">
        <v>1</v>
      </c>
      <c r="V1096" s="6" t="s">
        <v>10671</v>
      </c>
      <c r="W1096" s="6" t="n">
        <v>1</v>
      </c>
      <c r="X1096" s="6" t="s">
        <v>10672</v>
      </c>
      <c r="Y1096" s="6" t="n">
        <v>1</v>
      </c>
    </row>
    <row r="1097" customFormat="false" ht="12.8" hidden="false" customHeight="false" outlineLevel="0" collapsed="false">
      <c r="A1097" s="6" t="s">
        <v>10673</v>
      </c>
      <c r="B1097" s="6" t="n">
        <v>6232</v>
      </c>
      <c r="C1097" s="6" t="n">
        <v>189</v>
      </c>
      <c r="D1097" s="12" t="n">
        <f aca="false">C1097/(B1097+C1097)*100</f>
        <v>2.94346674972746</v>
      </c>
      <c r="E1097" s="6" t="n">
        <v>23</v>
      </c>
      <c r="F1097" s="6" t="s">
        <v>10674</v>
      </c>
      <c r="G1097" s="6" t="n">
        <v>33</v>
      </c>
      <c r="H1097" s="6" t="s">
        <v>10674</v>
      </c>
      <c r="I1097" s="6" t="n">
        <v>33</v>
      </c>
      <c r="J1097" s="6" t="s">
        <v>10675</v>
      </c>
      <c r="K1097" s="6" t="n">
        <v>23</v>
      </c>
      <c r="L1097" s="6" t="s">
        <v>10676</v>
      </c>
      <c r="M1097" s="6" t="n">
        <v>15</v>
      </c>
      <c r="N1097" s="6" t="s">
        <v>10676</v>
      </c>
      <c r="O1097" s="6" t="n">
        <v>15</v>
      </c>
      <c r="P1097" s="6" t="s">
        <v>10677</v>
      </c>
      <c r="Q1097" s="6" t="n">
        <v>12</v>
      </c>
      <c r="R1097" s="6" t="s">
        <v>10678</v>
      </c>
      <c r="S1097" s="6" t="n">
        <v>12</v>
      </c>
      <c r="T1097" s="6" t="s">
        <v>10679</v>
      </c>
      <c r="U1097" s="6" t="n">
        <v>6</v>
      </c>
      <c r="V1097" s="6" t="s">
        <v>10679</v>
      </c>
      <c r="W1097" s="6" t="n">
        <v>6</v>
      </c>
      <c r="X1097" s="6" t="s">
        <v>10680</v>
      </c>
      <c r="Y1097" s="6" t="n">
        <v>5</v>
      </c>
      <c r="Z1097" s="6" t="s">
        <v>10680</v>
      </c>
      <c r="AA1097" s="6" t="n">
        <v>5</v>
      </c>
      <c r="AB1097" s="6" t="s">
        <v>10681</v>
      </c>
      <c r="AC1097" s="6" t="n">
        <v>4</v>
      </c>
      <c r="AD1097" s="6" t="s">
        <v>10682</v>
      </c>
      <c r="AE1097" s="6" t="n">
        <v>3</v>
      </c>
      <c r="AF1097" s="6" t="s">
        <v>10683</v>
      </c>
      <c r="AG1097" s="6" t="n">
        <v>3</v>
      </c>
      <c r="AH1097" s="6" t="s">
        <v>10682</v>
      </c>
      <c r="AI1097" s="6" t="n">
        <v>3</v>
      </c>
      <c r="AJ1097" s="6" t="s">
        <v>10684</v>
      </c>
      <c r="AK1097" s="6" t="n">
        <v>3</v>
      </c>
      <c r="AL1097" s="6" t="s">
        <v>10683</v>
      </c>
      <c r="AM1097" s="6" t="n">
        <v>3</v>
      </c>
      <c r="AN1097" s="6" t="s">
        <v>10685</v>
      </c>
      <c r="AO1097" s="6" t="n">
        <v>2</v>
      </c>
      <c r="AP1097" s="6" t="s">
        <v>10686</v>
      </c>
      <c r="AQ1097" s="6" t="n">
        <v>2</v>
      </c>
      <c r="AR1097" s="6" t="s">
        <v>10687</v>
      </c>
      <c r="AS1097" s="6" t="n">
        <v>1</v>
      </c>
      <c r="AT1097" s="6" t="s">
        <v>10688</v>
      </c>
      <c r="AU1097" s="6" t="n">
        <v>0</v>
      </c>
      <c r="AV1097" s="6" t="s">
        <v>10688</v>
      </c>
      <c r="AW1097" s="6" t="n">
        <v>0</v>
      </c>
      <c r="AX1097" s="6" t="s">
        <v>10689</v>
      </c>
      <c r="AY1097" s="6" t="n">
        <v>0</v>
      </c>
    </row>
    <row r="1098" customFormat="false" ht="12.8" hidden="false" customHeight="false" outlineLevel="0" collapsed="false">
      <c r="A1098" s="6" t="s">
        <v>10690</v>
      </c>
      <c r="B1098" s="6" t="n">
        <v>7372</v>
      </c>
      <c r="C1098" s="6" t="n">
        <v>4724</v>
      </c>
      <c r="D1098" s="12" t="n">
        <f aca="false">C1098/(B1098+C1098)*100</f>
        <v>39.0542328042328</v>
      </c>
      <c r="E1098" s="6" t="n">
        <v>54</v>
      </c>
      <c r="F1098" s="6" t="s">
        <v>10691</v>
      </c>
      <c r="G1098" s="6" t="n">
        <v>2088</v>
      </c>
      <c r="H1098" s="6" t="s">
        <v>10692</v>
      </c>
      <c r="I1098" s="6" t="n">
        <v>489</v>
      </c>
      <c r="J1098" s="6" t="s">
        <v>10693</v>
      </c>
      <c r="K1098" s="6" t="n">
        <v>456</v>
      </c>
      <c r="L1098" s="6" t="s">
        <v>10694</v>
      </c>
      <c r="M1098" s="6" t="n">
        <v>308</v>
      </c>
      <c r="N1098" s="6" t="s">
        <v>10695</v>
      </c>
      <c r="O1098" s="6" t="n">
        <v>226</v>
      </c>
      <c r="P1098" s="6" t="s">
        <v>10696</v>
      </c>
      <c r="Q1098" s="6" t="n">
        <v>215</v>
      </c>
      <c r="R1098" s="6" t="s">
        <v>10697</v>
      </c>
      <c r="S1098" s="6" t="n">
        <v>166</v>
      </c>
      <c r="T1098" s="6" t="s">
        <v>10698</v>
      </c>
      <c r="U1098" s="6" t="n">
        <v>158</v>
      </c>
      <c r="V1098" s="6" t="s">
        <v>10699</v>
      </c>
      <c r="W1098" s="6" t="n">
        <v>146</v>
      </c>
      <c r="X1098" s="6" t="s">
        <v>10700</v>
      </c>
      <c r="Y1098" s="6" t="n">
        <v>140</v>
      </c>
      <c r="Z1098" s="6" t="s">
        <v>10701</v>
      </c>
      <c r="AA1098" s="6" t="n">
        <v>81</v>
      </c>
      <c r="AB1098" s="6" t="s">
        <v>10702</v>
      </c>
      <c r="AC1098" s="6" t="n">
        <v>45</v>
      </c>
      <c r="AD1098" s="6" t="s">
        <v>10703</v>
      </c>
      <c r="AE1098" s="6" t="n">
        <v>36</v>
      </c>
      <c r="AF1098" s="6" t="s">
        <v>10704</v>
      </c>
      <c r="AG1098" s="6" t="n">
        <v>25</v>
      </c>
      <c r="AH1098" s="6" t="s">
        <v>10705</v>
      </c>
      <c r="AI1098" s="6" t="n">
        <v>25</v>
      </c>
      <c r="AJ1098" s="6" t="s">
        <v>10706</v>
      </c>
      <c r="AK1098" s="6" t="n">
        <v>22</v>
      </c>
      <c r="AL1098" s="6" t="s">
        <v>10707</v>
      </c>
      <c r="AM1098" s="6" t="n">
        <v>14</v>
      </c>
      <c r="AN1098" s="6" t="s">
        <v>10708</v>
      </c>
      <c r="AO1098" s="6" t="n">
        <v>12</v>
      </c>
      <c r="AP1098" s="6" t="s">
        <v>10709</v>
      </c>
      <c r="AQ1098" s="6" t="n">
        <v>10</v>
      </c>
      <c r="AR1098" s="6" t="s">
        <v>10710</v>
      </c>
      <c r="AS1098" s="6" t="n">
        <v>10</v>
      </c>
      <c r="AT1098" s="6" t="s">
        <v>10711</v>
      </c>
      <c r="AU1098" s="6" t="n">
        <v>9</v>
      </c>
      <c r="AV1098" s="6" t="s">
        <v>10712</v>
      </c>
      <c r="AW1098" s="6" t="n">
        <v>7</v>
      </c>
      <c r="AX1098" s="6" t="s">
        <v>10713</v>
      </c>
      <c r="AY1098" s="6" t="n">
        <v>4</v>
      </c>
      <c r="AZ1098" s="6" t="s">
        <v>10714</v>
      </c>
      <c r="BA1098" s="6" t="n">
        <v>3</v>
      </c>
      <c r="BB1098" s="6" t="s">
        <v>10715</v>
      </c>
      <c r="BC1098" s="6" t="n">
        <v>3</v>
      </c>
      <c r="BD1098" s="6" t="s">
        <v>10716</v>
      </c>
      <c r="BE1098" s="6" t="n">
        <v>3</v>
      </c>
      <c r="BF1098" s="6" t="s">
        <v>10717</v>
      </c>
      <c r="BG1098" s="6" t="n">
        <v>2</v>
      </c>
      <c r="BH1098" s="6" t="s">
        <v>10718</v>
      </c>
      <c r="BI1098" s="6" t="n">
        <v>2</v>
      </c>
      <c r="BJ1098" s="6" t="s">
        <v>10719</v>
      </c>
      <c r="BK1098" s="6" t="n">
        <v>2</v>
      </c>
      <c r="BL1098" s="6" t="s">
        <v>10720</v>
      </c>
      <c r="BM1098" s="6" t="n">
        <v>2</v>
      </c>
      <c r="BN1098" s="6" t="s">
        <v>10721</v>
      </c>
      <c r="BO1098" s="6" t="n">
        <v>2</v>
      </c>
      <c r="BP1098" s="6" t="s">
        <v>10722</v>
      </c>
      <c r="BQ1098" s="6" t="n">
        <v>2</v>
      </c>
      <c r="BR1098" s="6" t="s">
        <v>10723</v>
      </c>
      <c r="BS1098" s="6" t="n">
        <v>2</v>
      </c>
      <c r="BT1098" s="6" t="s">
        <v>10724</v>
      </c>
      <c r="BU1098" s="6" t="n">
        <v>2</v>
      </c>
      <c r="BV1098" s="6" t="s">
        <v>10725</v>
      </c>
      <c r="BW1098" s="6" t="n">
        <v>1</v>
      </c>
      <c r="BX1098" s="6" t="s">
        <v>10726</v>
      </c>
      <c r="BY1098" s="6" t="n">
        <v>1</v>
      </c>
      <c r="BZ1098" s="6" t="s">
        <v>10727</v>
      </c>
      <c r="CA1098" s="6" t="n">
        <v>1</v>
      </c>
      <c r="CB1098" s="6" t="s">
        <v>10728</v>
      </c>
      <c r="CC1098" s="6" t="n">
        <v>1</v>
      </c>
      <c r="CD1098" s="6" t="s">
        <v>10729</v>
      </c>
      <c r="CE1098" s="6" t="n">
        <v>1</v>
      </c>
      <c r="CF1098" s="6" t="s">
        <v>10730</v>
      </c>
      <c r="CG1098" s="6" t="n">
        <v>1</v>
      </c>
      <c r="CH1098" s="6" t="s">
        <v>10731</v>
      </c>
      <c r="CI1098" s="6" t="n">
        <v>1</v>
      </c>
      <c r="CJ1098" s="6" t="s">
        <v>10732</v>
      </c>
      <c r="CK1098" s="6" t="n">
        <v>0</v>
      </c>
      <c r="CL1098" s="6" t="s">
        <v>10733</v>
      </c>
      <c r="CM1098" s="6" t="n">
        <v>0</v>
      </c>
      <c r="CN1098" s="6" t="s">
        <v>10734</v>
      </c>
      <c r="CO1098" s="6" t="n">
        <v>0</v>
      </c>
      <c r="CP1098" s="6" t="s">
        <v>10735</v>
      </c>
      <c r="CQ1098" s="6" t="n">
        <v>0</v>
      </c>
      <c r="CR1098" s="6" t="s">
        <v>10736</v>
      </c>
      <c r="CS1098" s="6" t="n">
        <v>0</v>
      </c>
      <c r="CT1098" s="6" t="s">
        <v>10737</v>
      </c>
      <c r="CU1098" s="6" t="n">
        <v>0</v>
      </c>
      <c r="CV1098" s="6" t="s">
        <v>10738</v>
      </c>
      <c r="CW1098" s="6" t="n">
        <v>0</v>
      </c>
      <c r="CX1098" s="6" t="s">
        <v>10739</v>
      </c>
      <c r="CY1098" s="6" t="n">
        <v>0</v>
      </c>
      <c r="CZ1098" s="6" t="s">
        <v>10740</v>
      </c>
      <c r="DA1098" s="6" t="n">
        <v>0</v>
      </c>
      <c r="DB1098" s="6" t="s">
        <v>10741</v>
      </c>
      <c r="DC1098" s="6" t="n">
        <v>0</v>
      </c>
      <c r="DD1098" s="6" t="s">
        <v>10742</v>
      </c>
      <c r="DE1098" s="6" t="n">
        <v>0</v>
      </c>
      <c r="DF1098" s="6" t="s">
        <v>10743</v>
      </c>
      <c r="DG1098" s="6" t="n">
        <v>0</v>
      </c>
      <c r="DH1098" s="6" t="s">
        <v>10744</v>
      </c>
      <c r="DI1098" s="6" t="n">
        <v>0</v>
      </c>
    </row>
    <row r="1099" customFormat="false" ht="12.8" hidden="false" customHeight="false" outlineLevel="0" collapsed="false">
      <c r="A1099" s="6" t="s">
        <v>10745</v>
      </c>
      <c r="B1099" s="6" t="n">
        <v>7377</v>
      </c>
      <c r="C1099" s="6" t="n">
        <v>1610</v>
      </c>
      <c r="D1099" s="12" t="n">
        <f aca="false">C1099/(B1099+C1099)*100</f>
        <v>17.9147657727829</v>
      </c>
      <c r="E1099" s="6" t="n">
        <v>27</v>
      </c>
      <c r="F1099" s="6" t="s">
        <v>10746</v>
      </c>
      <c r="G1099" s="6" t="n">
        <v>527</v>
      </c>
      <c r="H1099" s="6" t="s">
        <v>10747</v>
      </c>
      <c r="I1099" s="6" t="n">
        <v>488</v>
      </c>
      <c r="J1099" s="6" t="s">
        <v>10748</v>
      </c>
      <c r="K1099" s="6" t="n">
        <v>168</v>
      </c>
      <c r="L1099" s="6" t="s">
        <v>10749</v>
      </c>
      <c r="M1099" s="6" t="n">
        <v>135</v>
      </c>
      <c r="N1099" s="6" t="s">
        <v>10750</v>
      </c>
      <c r="O1099" s="6" t="n">
        <v>129</v>
      </c>
      <c r="P1099" s="6" t="s">
        <v>10751</v>
      </c>
      <c r="Q1099" s="6" t="n">
        <v>38</v>
      </c>
      <c r="R1099" s="6" t="s">
        <v>10752</v>
      </c>
      <c r="S1099" s="6" t="n">
        <v>31</v>
      </c>
      <c r="T1099" s="6" t="s">
        <v>10753</v>
      </c>
      <c r="U1099" s="6" t="n">
        <v>20</v>
      </c>
      <c r="V1099" s="6" t="s">
        <v>10754</v>
      </c>
      <c r="W1099" s="6" t="n">
        <v>20</v>
      </c>
      <c r="X1099" s="6" t="s">
        <v>10755</v>
      </c>
      <c r="Y1099" s="6" t="n">
        <v>15</v>
      </c>
      <c r="Z1099" s="6" t="s">
        <v>10756</v>
      </c>
      <c r="AA1099" s="6" t="n">
        <v>10</v>
      </c>
      <c r="AB1099" s="6" t="s">
        <v>10757</v>
      </c>
      <c r="AC1099" s="6" t="n">
        <v>9</v>
      </c>
      <c r="AD1099" s="6" t="s">
        <v>10758</v>
      </c>
      <c r="AE1099" s="6" t="n">
        <v>5</v>
      </c>
      <c r="AF1099" s="6" t="s">
        <v>10759</v>
      </c>
      <c r="AG1099" s="6" t="n">
        <v>4</v>
      </c>
      <c r="AH1099" s="6" t="s">
        <v>10760</v>
      </c>
      <c r="AI1099" s="6" t="n">
        <v>3</v>
      </c>
      <c r="AJ1099" s="6" t="s">
        <v>10761</v>
      </c>
      <c r="AK1099" s="6" t="n">
        <v>2</v>
      </c>
      <c r="AL1099" s="6" t="s">
        <v>10762</v>
      </c>
      <c r="AM1099" s="6" t="n">
        <v>2</v>
      </c>
      <c r="AN1099" s="6" t="s">
        <v>10763</v>
      </c>
      <c r="AO1099" s="6" t="n">
        <v>1</v>
      </c>
      <c r="AP1099" s="6" t="s">
        <v>10764</v>
      </c>
      <c r="AQ1099" s="6" t="n">
        <v>1</v>
      </c>
      <c r="AR1099" s="6" t="s">
        <v>10765</v>
      </c>
      <c r="AS1099" s="6" t="n">
        <v>1</v>
      </c>
      <c r="AT1099" s="6" t="s">
        <v>10766</v>
      </c>
      <c r="AU1099" s="6" t="n">
        <v>1</v>
      </c>
      <c r="AV1099" s="6" t="s">
        <v>10767</v>
      </c>
      <c r="AW1099" s="6" t="n">
        <v>0</v>
      </c>
      <c r="AX1099" s="6" t="s">
        <v>10768</v>
      </c>
      <c r="AY1099" s="6" t="n">
        <v>0</v>
      </c>
      <c r="AZ1099" s="6" t="s">
        <v>10769</v>
      </c>
      <c r="BA1099" s="6" t="n">
        <v>0</v>
      </c>
      <c r="BB1099" s="6" t="s">
        <v>10770</v>
      </c>
      <c r="BC1099" s="6" t="n">
        <v>0</v>
      </c>
      <c r="BD1099" s="6" t="s">
        <v>10771</v>
      </c>
      <c r="BE1099" s="6" t="n">
        <v>0</v>
      </c>
      <c r="BF1099" s="6" t="s">
        <v>10772</v>
      </c>
      <c r="BG1099" s="6" t="n">
        <v>0</v>
      </c>
    </row>
    <row r="1100" customFormat="false" ht="12.8" hidden="false" customHeight="false" outlineLevel="0" collapsed="false">
      <c r="A1100" s="6" t="s">
        <v>10773</v>
      </c>
      <c r="B1100" s="6" t="n">
        <v>7854</v>
      </c>
      <c r="C1100" s="6" t="n">
        <v>8793</v>
      </c>
      <c r="D1100" s="12" t="n">
        <f aca="false">C1100/(B1100+C1100)*100</f>
        <v>52.8203279870247</v>
      </c>
      <c r="E1100" s="6" t="n">
        <v>76</v>
      </c>
      <c r="F1100" s="6" t="s">
        <v>10774</v>
      </c>
      <c r="G1100" s="6" t="n">
        <v>1320</v>
      </c>
      <c r="H1100" s="6" t="s">
        <v>10775</v>
      </c>
      <c r="I1100" s="6" t="n">
        <v>1191</v>
      </c>
      <c r="J1100" s="6" t="s">
        <v>10776</v>
      </c>
      <c r="K1100" s="6" t="n">
        <v>891</v>
      </c>
      <c r="L1100" s="6" t="s">
        <v>10777</v>
      </c>
      <c r="M1100" s="6" t="n">
        <v>859</v>
      </c>
      <c r="N1100" s="6" t="s">
        <v>10778</v>
      </c>
      <c r="O1100" s="6" t="n">
        <v>715</v>
      </c>
      <c r="P1100" s="6" t="s">
        <v>10779</v>
      </c>
      <c r="Q1100" s="6" t="n">
        <v>610</v>
      </c>
      <c r="R1100" s="6" t="s">
        <v>10780</v>
      </c>
      <c r="S1100" s="6" t="n">
        <v>553</v>
      </c>
      <c r="T1100" s="6" t="s">
        <v>10781</v>
      </c>
      <c r="U1100" s="6" t="n">
        <v>458</v>
      </c>
      <c r="V1100" s="6" t="s">
        <v>10782</v>
      </c>
      <c r="W1100" s="6" t="n">
        <v>441</v>
      </c>
      <c r="X1100" s="6" t="s">
        <v>10783</v>
      </c>
      <c r="Y1100" s="6" t="n">
        <v>322</v>
      </c>
      <c r="Z1100" s="6" t="s">
        <v>10784</v>
      </c>
      <c r="AA1100" s="6" t="n">
        <v>316</v>
      </c>
      <c r="AB1100" s="6" t="s">
        <v>10785</v>
      </c>
      <c r="AC1100" s="6" t="n">
        <v>183</v>
      </c>
      <c r="AD1100" s="6" t="s">
        <v>10786</v>
      </c>
      <c r="AE1100" s="6" t="n">
        <v>163</v>
      </c>
      <c r="AF1100" s="6" t="s">
        <v>10787</v>
      </c>
      <c r="AG1100" s="6" t="n">
        <v>131</v>
      </c>
      <c r="AH1100" s="6" t="s">
        <v>10788</v>
      </c>
      <c r="AI1100" s="6" t="n">
        <v>122</v>
      </c>
      <c r="AJ1100" s="6" t="s">
        <v>10789</v>
      </c>
      <c r="AK1100" s="6" t="n">
        <v>83</v>
      </c>
      <c r="AL1100" s="6" t="s">
        <v>10790</v>
      </c>
      <c r="AM1100" s="6" t="n">
        <v>59</v>
      </c>
      <c r="AN1100" s="6" t="s">
        <v>10791</v>
      </c>
      <c r="AO1100" s="6" t="n">
        <v>53</v>
      </c>
      <c r="AP1100" s="6" t="s">
        <v>10792</v>
      </c>
      <c r="AQ1100" s="6" t="n">
        <v>35</v>
      </c>
      <c r="AR1100" s="6" t="s">
        <v>10793</v>
      </c>
      <c r="AS1100" s="6" t="n">
        <v>34</v>
      </c>
      <c r="AT1100" s="6" t="s">
        <v>10794</v>
      </c>
      <c r="AU1100" s="6" t="n">
        <v>31</v>
      </c>
      <c r="AV1100" s="6" t="s">
        <v>10795</v>
      </c>
      <c r="AW1100" s="6" t="n">
        <v>28</v>
      </c>
      <c r="AX1100" s="6" t="s">
        <v>10796</v>
      </c>
      <c r="AY1100" s="6" t="n">
        <v>23</v>
      </c>
      <c r="AZ1100" s="6" t="s">
        <v>10797</v>
      </c>
      <c r="BA1100" s="6" t="n">
        <v>23</v>
      </c>
      <c r="BB1100" s="6" t="s">
        <v>10798</v>
      </c>
      <c r="BC1100" s="6" t="n">
        <v>11</v>
      </c>
      <c r="BD1100" s="6" t="s">
        <v>10799</v>
      </c>
      <c r="BE1100" s="6" t="n">
        <v>11</v>
      </c>
      <c r="BF1100" s="6" t="s">
        <v>10800</v>
      </c>
      <c r="BG1100" s="6" t="n">
        <v>11</v>
      </c>
      <c r="BH1100" s="6" t="s">
        <v>10801</v>
      </c>
      <c r="BI1100" s="6" t="n">
        <v>10</v>
      </c>
      <c r="BJ1100" s="6" t="s">
        <v>10802</v>
      </c>
      <c r="BK1100" s="6" t="n">
        <v>10</v>
      </c>
      <c r="BL1100" s="6" t="s">
        <v>10803</v>
      </c>
      <c r="BM1100" s="6" t="n">
        <v>10</v>
      </c>
      <c r="BN1100" s="6" t="s">
        <v>10804</v>
      </c>
      <c r="BO1100" s="6" t="n">
        <v>9</v>
      </c>
      <c r="BP1100" s="6" t="s">
        <v>10805</v>
      </c>
      <c r="BQ1100" s="6" t="n">
        <v>8</v>
      </c>
      <c r="BR1100" s="6" t="s">
        <v>10806</v>
      </c>
      <c r="BS1100" s="6" t="n">
        <v>6</v>
      </c>
      <c r="BT1100" s="6" t="s">
        <v>10807</v>
      </c>
      <c r="BU1100" s="6" t="n">
        <v>6</v>
      </c>
      <c r="BV1100" s="6" t="s">
        <v>10808</v>
      </c>
      <c r="BW1100" s="6" t="n">
        <v>5</v>
      </c>
      <c r="BX1100" s="6" t="s">
        <v>10809</v>
      </c>
      <c r="BY1100" s="6" t="n">
        <v>5</v>
      </c>
      <c r="BZ1100" s="6" t="s">
        <v>10810</v>
      </c>
      <c r="CA1100" s="6" t="n">
        <v>5</v>
      </c>
      <c r="CB1100" s="6" t="s">
        <v>10811</v>
      </c>
      <c r="CC1100" s="6" t="n">
        <v>4</v>
      </c>
      <c r="CD1100" s="6" t="s">
        <v>10812</v>
      </c>
      <c r="CE1100" s="6" t="n">
        <v>4</v>
      </c>
      <c r="CF1100" s="6" t="s">
        <v>10813</v>
      </c>
      <c r="CG1100" s="6" t="n">
        <v>3</v>
      </c>
      <c r="CH1100" s="6" t="s">
        <v>10814</v>
      </c>
      <c r="CI1100" s="6" t="n">
        <v>3</v>
      </c>
      <c r="CJ1100" s="6" t="s">
        <v>10815</v>
      </c>
      <c r="CK1100" s="6" t="n">
        <v>3</v>
      </c>
      <c r="CL1100" s="6" t="s">
        <v>10816</v>
      </c>
      <c r="CM1100" s="6" t="n">
        <v>3</v>
      </c>
      <c r="CN1100" s="6" t="s">
        <v>10817</v>
      </c>
      <c r="CO1100" s="6" t="n">
        <v>3</v>
      </c>
      <c r="CP1100" s="6" t="s">
        <v>10818</v>
      </c>
      <c r="CQ1100" s="6" t="n">
        <v>1</v>
      </c>
      <c r="CR1100" s="6" t="s">
        <v>10819</v>
      </c>
      <c r="CS1100" s="6" t="n">
        <v>1</v>
      </c>
      <c r="CT1100" s="6" t="s">
        <v>10820</v>
      </c>
      <c r="CU1100" s="6" t="n">
        <v>1</v>
      </c>
      <c r="CV1100" s="6" t="s">
        <v>10821</v>
      </c>
      <c r="CW1100" s="6" t="n">
        <v>1</v>
      </c>
      <c r="CX1100" s="6" t="s">
        <v>10822</v>
      </c>
      <c r="CY1100" s="6" t="n">
        <v>1</v>
      </c>
      <c r="CZ1100" s="6" t="s">
        <v>10823</v>
      </c>
      <c r="DA1100" s="6" t="n">
        <v>1</v>
      </c>
      <c r="DB1100" s="6" t="s">
        <v>10824</v>
      </c>
      <c r="DC1100" s="6" t="n">
        <v>1</v>
      </c>
      <c r="DD1100" s="6" t="s">
        <v>10825</v>
      </c>
      <c r="DE1100" s="6" t="n">
        <v>1</v>
      </c>
      <c r="DF1100" s="6" t="s">
        <v>10826</v>
      </c>
      <c r="DG1100" s="6" t="n">
        <v>1</v>
      </c>
      <c r="DH1100" s="6" t="s">
        <v>10827</v>
      </c>
      <c r="DI1100" s="6" t="n">
        <v>1</v>
      </c>
      <c r="DJ1100" s="6" t="s">
        <v>10828</v>
      </c>
      <c r="DK1100" s="6" t="n">
        <v>1</v>
      </c>
      <c r="DL1100" s="6" t="s">
        <v>10829</v>
      </c>
      <c r="DM1100" s="6" t="n">
        <v>1</v>
      </c>
      <c r="DN1100" s="6" t="s">
        <v>10830</v>
      </c>
      <c r="DO1100" s="6" t="n">
        <v>1</v>
      </c>
      <c r="DP1100" s="6" t="s">
        <v>10831</v>
      </c>
      <c r="DQ1100" s="6" t="n">
        <v>1</v>
      </c>
      <c r="DR1100" s="6" t="s">
        <v>10832</v>
      </c>
      <c r="DS1100" s="6" t="n">
        <v>1</v>
      </c>
      <c r="DT1100" s="6" t="s">
        <v>10833</v>
      </c>
      <c r="DU1100" s="6" t="n">
        <v>1</v>
      </c>
      <c r="DV1100" s="6" t="s">
        <v>10834</v>
      </c>
      <c r="DW1100" s="6" t="n">
        <v>1</v>
      </c>
      <c r="DX1100" s="6" t="s">
        <v>10835</v>
      </c>
      <c r="DY1100" s="6" t="n">
        <v>1</v>
      </c>
      <c r="DZ1100" s="6" t="s">
        <v>10836</v>
      </c>
      <c r="EA1100" s="6" t="n">
        <v>1</v>
      </c>
      <c r="EB1100" s="6" t="s">
        <v>10837</v>
      </c>
      <c r="EC1100" s="6" t="n">
        <v>0</v>
      </c>
      <c r="ED1100" s="6" t="s">
        <v>10838</v>
      </c>
      <c r="EE1100" s="6" t="n">
        <v>0</v>
      </c>
      <c r="EF1100" s="6" t="s">
        <v>10839</v>
      </c>
      <c r="EG1100" s="6" t="n">
        <v>0</v>
      </c>
      <c r="EH1100" s="6" t="s">
        <v>10840</v>
      </c>
      <c r="EI1100" s="6" t="n">
        <v>0</v>
      </c>
      <c r="EJ1100" s="6" t="s">
        <v>10841</v>
      </c>
      <c r="EK1100" s="6" t="n">
        <v>0</v>
      </c>
      <c r="EL1100" s="6" t="s">
        <v>10842</v>
      </c>
      <c r="EM1100" s="6" t="n">
        <v>0</v>
      </c>
      <c r="EN1100" s="6" t="s">
        <v>10843</v>
      </c>
      <c r="EO1100" s="6" t="n">
        <v>0</v>
      </c>
      <c r="EP1100" s="6" t="s">
        <v>10844</v>
      </c>
      <c r="EQ1100" s="6" t="n">
        <v>0</v>
      </c>
      <c r="ER1100" s="6" t="s">
        <v>10845</v>
      </c>
      <c r="ES1100" s="6" t="n">
        <v>0</v>
      </c>
      <c r="ET1100" s="6" t="s">
        <v>10846</v>
      </c>
      <c r="EU1100" s="6" t="n">
        <v>0</v>
      </c>
      <c r="EV1100" s="6" t="s">
        <v>10847</v>
      </c>
      <c r="EW1100" s="6" t="n">
        <v>0</v>
      </c>
      <c r="EX1100" s="6" t="s">
        <v>10848</v>
      </c>
      <c r="EY1100" s="6" t="n">
        <v>0</v>
      </c>
      <c r="EZ1100" s="6" t="s">
        <v>10849</v>
      </c>
      <c r="FA1100" s="6" t="n">
        <v>0</v>
      </c>
    </row>
    <row r="1101" customFormat="false" ht="12.8" hidden="false" customHeight="false" outlineLevel="0" collapsed="false">
      <c r="A1101" s="6" t="s">
        <v>10850</v>
      </c>
      <c r="B1101" s="6" t="n">
        <v>7948</v>
      </c>
      <c r="C1101" s="6" t="n">
        <v>326</v>
      </c>
      <c r="D1101" s="12" t="n">
        <f aca="false">C1101/(B1101+C1101)*100</f>
        <v>3.94005317863186</v>
      </c>
      <c r="E1101" s="6" t="n">
        <v>16</v>
      </c>
      <c r="F1101" s="6" t="s">
        <v>10851</v>
      </c>
      <c r="G1101" s="6" t="n">
        <v>169</v>
      </c>
      <c r="H1101" s="6" t="s">
        <v>10852</v>
      </c>
      <c r="I1101" s="6" t="n">
        <v>62</v>
      </c>
      <c r="J1101" s="6" t="s">
        <v>10853</v>
      </c>
      <c r="K1101" s="6" t="n">
        <v>41</v>
      </c>
      <c r="L1101" s="6" t="s">
        <v>10854</v>
      </c>
      <c r="M1101" s="6" t="n">
        <v>35</v>
      </c>
      <c r="N1101" s="6" t="s">
        <v>10855</v>
      </c>
      <c r="O1101" s="6" t="n">
        <v>11</v>
      </c>
      <c r="P1101" s="6" t="s">
        <v>10856</v>
      </c>
      <c r="Q1101" s="6" t="n">
        <v>2</v>
      </c>
      <c r="R1101" s="6" t="s">
        <v>10857</v>
      </c>
      <c r="S1101" s="6" t="n">
        <v>1</v>
      </c>
      <c r="T1101" s="6" t="s">
        <v>10858</v>
      </c>
      <c r="U1101" s="6" t="n">
        <v>1</v>
      </c>
      <c r="V1101" s="6" t="s">
        <v>10859</v>
      </c>
      <c r="W1101" s="6" t="n">
        <v>1</v>
      </c>
      <c r="X1101" s="6" t="s">
        <v>10860</v>
      </c>
      <c r="Y1101" s="6" t="n">
        <v>1</v>
      </c>
      <c r="Z1101" s="6" t="s">
        <v>10861</v>
      </c>
      <c r="AA1101" s="6" t="n">
        <v>1</v>
      </c>
      <c r="AB1101" s="6" t="s">
        <v>10862</v>
      </c>
      <c r="AC1101" s="6" t="n">
        <v>1</v>
      </c>
      <c r="AD1101" s="6" t="s">
        <v>10863</v>
      </c>
      <c r="AE1101" s="6" t="n">
        <v>0</v>
      </c>
      <c r="AF1101" s="6" t="s">
        <v>10864</v>
      </c>
      <c r="AG1101" s="6" t="n">
        <v>0</v>
      </c>
      <c r="AH1101" s="6" t="s">
        <v>10865</v>
      </c>
      <c r="AI1101" s="6" t="n">
        <v>0</v>
      </c>
      <c r="AJ1101" s="6" t="s">
        <v>10866</v>
      </c>
      <c r="AK1101" s="6" t="n">
        <v>0</v>
      </c>
    </row>
    <row r="1102" customFormat="false" ht="12.8" hidden="false" customHeight="false" outlineLevel="0" collapsed="false">
      <c r="A1102" s="6" t="s">
        <v>10867</v>
      </c>
      <c r="B1102" s="6" t="n">
        <v>9422</v>
      </c>
      <c r="C1102" s="6" t="n">
        <v>959</v>
      </c>
      <c r="D1102" s="12" t="n">
        <f aca="false">C1102/(B1102+C1102)*100</f>
        <v>9.23803101820634</v>
      </c>
      <c r="E1102" s="6" t="n">
        <v>16</v>
      </c>
      <c r="F1102" s="6" t="s">
        <v>10868</v>
      </c>
      <c r="G1102" s="6" t="n">
        <v>562</v>
      </c>
      <c r="H1102" s="6" t="s">
        <v>10869</v>
      </c>
      <c r="I1102" s="6" t="n">
        <v>155</v>
      </c>
      <c r="J1102" s="6" t="s">
        <v>10870</v>
      </c>
      <c r="K1102" s="6" t="n">
        <v>66</v>
      </c>
      <c r="L1102" s="6" t="s">
        <v>10871</v>
      </c>
      <c r="M1102" s="6" t="n">
        <v>63</v>
      </c>
      <c r="N1102" s="6" t="s">
        <v>10872</v>
      </c>
      <c r="O1102" s="6" t="n">
        <v>49</v>
      </c>
      <c r="P1102" s="6" t="s">
        <v>10873</v>
      </c>
      <c r="Q1102" s="6" t="n">
        <v>29</v>
      </c>
      <c r="R1102" s="6" t="s">
        <v>10874</v>
      </c>
      <c r="S1102" s="6" t="n">
        <v>17</v>
      </c>
      <c r="T1102" s="6" t="s">
        <v>10875</v>
      </c>
      <c r="U1102" s="6" t="n">
        <v>9</v>
      </c>
      <c r="V1102" s="6" t="s">
        <v>10876</v>
      </c>
      <c r="W1102" s="6" t="n">
        <v>6</v>
      </c>
      <c r="X1102" s="6" t="s">
        <v>10877</v>
      </c>
      <c r="Y1102" s="6" t="n">
        <v>1</v>
      </c>
      <c r="Z1102" s="6" t="s">
        <v>10878</v>
      </c>
      <c r="AA1102" s="6" t="n">
        <v>1</v>
      </c>
      <c r="AB1102" s="6" t="s">
        <v>10879</v>
      </c>
      <c r="AC1102" s="6" t="n">
        <v>1</v>
      </c>
      <c r="AD1102" s="6" t="s">
        <v>10880</v>
      </c>
      <c r="AE1102" s="6" t="n">
        <v>0</v>
      </c>
      <c r="AF1102" s="6" t="s">
        <v>10881</v>
      </c>
      <c r="AG1102" s="6" t="n">
        <v>0</v>
      </c>
      <c r="AH1102" s="6" t="s">
        <v>10882</v>
      </c>
      <c r="AI1102" s="6" t="n">
        <v>0</v>
      </c>
      <c r="AJ1102" s="6" t="s">
        <v>10883</v>
      </c>
      <c r="AK1102" s="6" t="n">
        <v>0</v>
      </c>
    </row>
    <row r="1103" customFormat="false" ht="12.8" hidden="false" customHeight="false" outlineLevel="0" collapsed="false">
      <c r="A1103" s="6" t="s">
        <v>10884</v>
      </c>
      <c r="B1103" s="6" t="n">
        <v>14292</v>
      </c>
      <c r="C1103" s="6" t="n">
        <v>496</v>
      </c>
      <c r="D1103" s="12" t="n">
        <f aca="false">C1103/(B1103+C1103)*100</f>
        <v>3.35407086827157</v>
      </c>
      <c r="E1103" s="6" t="n">
        <v>17</v>
      </c>
      <c r="F1103" s="6" t="s">
        <v>10885</v>
      </c>
      <c r="G1103" s="6" t="n">
        <v>143</v>
      </c>
      <c r="H1103" s="6" t="s">
        <v>10886</v>
      </c>
      <c r="I1103" s="6" t="n">
        <v>84</v>
      </c>
      <c r="J1103" s="6" t="s">
        <v>10887</v>
      </c>
      <c r="K1103" s="6" t="n">
        <v>71</v>
      </c>
      <c r="L1103" s="6" t="s">
        <v>10888</v>
      </c>
      <c r="M1103" s="6" t="n">
        <v>65</v>
      </c>
      <c r="N1103" s="6" t="s">
        <v>10889</v>
      </c>
      <c r="O1103" s="6" t="n">
        <v>64</v>
      </c>
      <c r="P1103" s="6" t="s">
        <v>10890</v>
      </c>
      <c r="Q1103" s="6" t="n">
        <v>29</v>
      </c>
      <c r="R1103" s="6" t="s">
        <v>10891</v>
      </c>
      <c r="S1103" s="6" t="n">
        <v>20</v>
      </c>
      <c r="T1103" s="6" t="s">
        <v>10892</v>
      </c>
      <c r="U1103" s="6" t="n">
        <v>11</v>
      </c>
      <c r="V1103" s="6" t="s">
        <v>10893</v>
      </c>
      <c r="W1103" s="6" t="n">
        <v>3</v>
      </c>
      <c r="X1103" s="6" t="s">
        <v>10894</v>
      </c>
      <c r="Y1103" s="6" t="n">
        <v>2</v>
      </c>
      <c r="Z1103" s="6" t="s">
        <v>10895</v>
      </c>
      <c r="AA1103" s="6" t="n">
        <v>1</v>
      </c>
      <c r="AB1103" s="6" t="s">
        <v>10896</v>
      </c>
      <c r="AC1103" s="6" t="n">
        <v>1</v>
      </c>
      <c r="AD1103" s="6" t="s">
        <v>10897</v>
      </c>
      <c r="AE1103" s="6" t="n">
        <v>1</v>
      </c>
      <c r="AF1103" s="6" t="s">
        <v>10898</v>
      </c>
      <c r="AG1103" s="6" t="n">
        <v>1</v>
      </c>
      <c r="AH1103" s="6" t="s">
        <v>10899</v>
      </c>
      <c r="AI1103" s="6" t="n">
        <v>0</v>
      </c>
      <c r="AJ1103" s="6" t="s">
        <v>10900</v>
      </c>
      <c r="AK1103" s="6" t="n">
        <v>0</v>
      </c>
      <c r="AL1103" s="6" t="s">
        <v>10901</v>
      </c>
      <c r="AM1103" s="6" t="n">
        <v>0</v>
      </c>
    </row>
    <row r="1104" customFormat="false" ht="12.8" hidden="false" customHeight="false" outlineLevel="0" collapsed="false">
      <c r="A1104" s="6" t="s">
        <v>10902</v>
      </c>
      <c r="B1104" s="6" t="n">
        <v>15939</v>
      </c>
      <c r="C1104" s="6" t="n">
        <v>10200</v>
      </c>
      <c r="D1104" s="12" t="n">
        <f aca="false">C1104/(B1104+C1104)*100</f>
        <v>39.0221508091358</v>
      </c>
      <c r="E1104" s="6" t="n">
        <v>68</v>
      </c>
      <c r="F1104" s="6" t="s">
        <v>10903</v>
      </c>
      <c r="G1104" s="6" t="n">
        <v>3787</v>
      </c>
      <c r="H1104" s="6" t="s">
        <v>10904</v>
      </c>
      <c r="I1104" s="6" t="n">
        <v>697</v>
      </c>
      <c r="J1104" s="6" t="s">
        <v>10905</v>
      </c>
      <c r="K1104" s="6" t="n">
        <v>638</v>
      </c>
      <c r="L1104" s="6" t="s">
        <v>10906</v>
      </c>
      <c r="M1104" s="6" t="n">
        <v>562</v>
      </c>
      <c r="N1104" s="6" t="s">
        <v>10907</v>
      </c>
      <c r="O1104" s="6" t="n">
        <v>547</v>
      </c>
      <c r="P1104" s="6" t="s">
        <v>10908</v>
      </c>
      <c r="Q1104" s="6" t="n">
        <v>532</v>
      </c>
      <c r="R1104" s="6" t="s">
        <v>10909</v>
      </c>
      <c r="S1104" s="6" t="n">
        <v>473</v>
      </c>
      <c r="T1104" s="6" t="s">
        <v>10910</v>
      </c>
      <c r="U1104" s="6" t="n">
        <v>395</v>
      </c>
      <c r="V1104" s="6" t="s">
        <v>10911</v>
      </c>
      <c r="W1104" s="6" t="n">
        <v>389</v>
      </c>
      <c r="X1104" s="6" t="s">
        <v>10912</v>
      </c>
      <c r="Y1104" s="6" t="n">
        <v>378</v>
      </c>
      <c r="Z1104" s="6" t="s">
        <v>10913</v>
      </c>
      <c r="AA1104" s="6" t="n">
        <v>203</v>
      </c>
      <c r="AB1104" s="6" t="s">
        <v>10914</v>
      </c>
      <c r="AC1104" s="6" t="n">
        <v>201</v>
      </c>
      <c r="AD1104" s="6" t="s">
        <v>10915</v>
      </c>
      <c r="AE1104" s="6" t="n">
        <v>147</v>
      </c>
      <c r="AF1104" s="6" t="s">
        <v>10916</v>
      </c>
      <c r="AG1104" s="6" t="n">
        <v>134</v>
      </c>
      <c r="AH1104" s="6" t="s">
        <v>10917</v>
      </c>
      <c r="AI1104" s="6" t="n">
        <v>124</v>
      </c>
      <c r="AJ1104" s="6" t="s">
        <v>10918</v>
      </c>
      <c r="AK1104" s="6" t="n">
        <v>102</v>
      </c>
      <c r="AL1104" s="6" t="s">
        <v>10919</v>
      </c>
      <c r="AM1104" s="6" t="n">
        <v>93</v>
      </c>
      <c r="AN1104" s="6" t="s">
        <v>10920</v>
      </c>
      <c r="AO1104" s="6" t="n">
        <v>83</v>
      </c>
      <c r="AP1104" s="6" t="s">
        <v>10921</v>
      </c>
      <c r="AQ1104" s="6" t="n">
        <v>75</v>
      </c>
      <c r="AR1104" s="6" t="s">
        <v>10922</v>
      </c>
      <c r="AS1104" s="6" t="n">
        <v>72</v>
      </c>
      <c r="AT1104" s="6" t="s">
        <v>10923</v>
      </c>
      <c r="AU1104" s="6" t="n">
        <v>71</v>
      </c>
      <c r="AV1104" s="6" t="s">
        <v>10924</v>
      </c>
      <c r="AW1104" s="6" t="n">
        <v>67</v>
      </c>
      <c r="AX1104" s="6" t="s">
        <v>10925</v>
      </c>
      <c r="AY1104" s="6" t="n">
        <v>60</v>
      </c>
      <c r="AZ1104" s="6" t="s">
        <v>10926</v>
      </c>
      <c r="BA1104" s="6" t="n">
        <v>47</v>
      </c>
      <c r="BB1104" s="6" t="s">
        <v>10927</v>
      </c>
      <c r="BC1104" s="6" t="n">
        <v>42</v>
      </c>
      <c r="BD1104" s="6" t="s">
        <v>10928</v>
      </c>
      <c r="BE1104" s="6" t="n">
        <v>34</v>
      </c>
      <c r="BF1104" s="6" t="s">
        <v>10929</v>
      </c>
      <c r="BG1104" s="6" t="n">
        <v>33</v>
      </c>
      <c r="BH1104" s="6" t="s">
        <v>10930</v>
      </c>
      <c r="BI1104" s="6" t="n">
        <v>28</v>
      </c>
      <c r="BJ1104" s="6" t="s">
        <v>10931</v>
      </c>
      <c r="BK1104" s="6" t="n">
        <v>26</v>
      </c>
      <c r="BL1104" s="6" t="s">
        <v>10932</v>
      </c>
      <c r="BM1104" s="6" t="n">
        <v>23</v>
      </c>
      <c r="BN1104" s="6" t="s">
        <v>10933</v>
      </c>
      <c r="BO1104" s="6" t="n">
        <v>22</v>
      </c>
      <c r="BP1104" s="6" t="s">
        <v>10934</v>
      </c>
      <c r="BQ1104" s="6" t="n">
        <v>21</v>
      </c>
      <c r="BR1104" s="6" t="s">
        <v>10935</v>
      </c>
      <c r="BS1104" s="6" t="n">
        <v>12</v>
      </c>
      <c r="BT1104" s="6" t="s">
        <v>10936</v>
      </c>
      <c r="BU1104" s="6" t="n">
        <v>11</v>
      </c>
      <c r="BV1104" s="6" t="s">
        <v>10937</v>
      </c>
      <c r="BW1104" s="6" t="n">
        <v>11</v>
      </c>
      <c r="BX1104" s="6" t="s">
        <v>10938</v>
      </c>
      <c r="BY1104" s="6" t="n">
        <v>8</v>
      </c>
      <c r="BZ1104" s="6" t="s">
        <v>10939</v>
      </c>
      <c r="CA1104" s="6" t="n">
        <v>7</v>
      </c>
      <c r="CB1104" s="6" t="s">
        <v>10940</v>
      </c>
      <c r="CC1104" s="6" t="n">
        <v>7</v>
      </c>
      <c r="CD1104" s="6" t="s">
        <v>10941</v>
      </c>
      <c r="CE1104" s="6" t="n">
        <v>5</v>
      </c>
      <c r="CF1104" s="6" t="s">
        <v>10942</v>
      </c>
      <c r="CG1104" s="6" t="n">
        <v>4</v>
      </c>
      <c r="CH1104" s="6" t="s">
        <v>10943</v>
      </c>
      <c r="CI1104" s="6" t="n">
        <v>3</v>
      </c>
      <c r="CJ1104" s="6" t="s">
        <v>10944</v>
      </c>
      <c r="CK1104" s="6" t="n">
        <v>3</v>
      </c>
      <c r="CL1104" s="6" t="s">
        <v>10945</v>
      </c>
      <c r="CM1104" s="6" t="n">
        <v>3</v>
      </c>
      <c r="CN1104" s="6" t="s">
        <v>10946</v>
      </c>
      <c r="CO1104" s="6" t="n">
        <v>2</v>
      </c>
      <c r="CP1104" s="6" t="s">
        <v>10947</v>
      </c>
      <c r="CQ1104" s="6" t="n">
        <v>2</v>
      </c>
      <c r="CR1104" s="6" t="s">
        <v>10948</v>
      </c>
      <c r="CS1104" s="6" t="n">
        <v>2</v>
      </c>
      <c r="CT1104" s="6" t="s">
        <v>10949</v>
      </c>
      <c r="CU1104" s="6" t="n">
        <v>2</v>
      </c>
      <c r="CV1104" s="6" t="s">
        <v>10950</v>
      </c>
      <c r="CW1104" s="6" t="n">
        <v>2</v>
      </c>
      <c r="CX1104" s="6" t="s">
        <v>10951</v>
      </c>
      <c r="CY1104" s="6" t="n">
        <v>1</v>
      </c>
      <c r="CZ1104" s="6" t="s">
        <v>10952</v>
      </c>
      <c r="DA1104" s="6" t="n">
        <v>1</v>
      </c>
      <c r="DB1104" s="6" t="s">
        <v>10953</v>
      </c>
      <c r="DC1104" s="6" t="n">
        <v>1</v>
      </c>
      <c r="DD1104" s="6" t="s">
        <v>10954</v>
      </c>
      <c r="DE1104" s="6" t="n">
        <v>1</v>
      </c>
      <c r="DF1104" s="6" t="s">
        <v>10955</v>
      </c>
      <c r="DG1104" s="6" t="n">
        <v>1</v>
      </c>
      <c r="DH1104" s="6" t="s">
        <v>10956</v>
      </c>
      <c r="DI1104" s="6" t="n">
        <v>1</v>
      </c>
      <c r="DJ1104" s="6" t="s">
        <v>10957</v>
      </c>
      <c r="DK1104" s="6" t="n">
        <v>1</v>
      </c>
      <c r="DL1104" s="6" t="s">
        <v>10958</v>
      </c>
      <c r="DM1104" s="6" t="n">
        <v>1</v>
      </c>
      <c r="DN1104" s="6" t="s">
        <v>10959</v>
      </c>
      <c r="DO1104" s="6" t="n">
        <v>1</v>
      </c>
      <c r="DP1104" s="6" t="s">
        <v>10960</v>
      </c>
      <c r="DQ1104" s="6" t="n">
        <v>1</v>
      </c>
      <c r="DR1104" s="6" t="s">
        <v>10961</v>
      </c>
      <c r="DS1104" s="6" t="n">
        <v>0</v>
      </c>
      <c r="DT1104" s="6" t="s">
        <v>10962</v>
      </c>
      <c r="DU1104" s="6" t="n">
        <v>0</v>
      </c>
      <c r="DV1104" s="6" t="s">
        <v>10963</v>
      </c>
      <c r="DW1104" s="6" t="n">
        <v>0</v>
      </c>
      <c r="DX1104" s="6" t="s">
        <v>10964</v>
      </c>
      <c r="DY1104" s="6" t="n">
        <v>0</v>
      </c>
      <c r="DZ1104" s="6" t="s">
        <v>10965</v>
      </c>
      <c r="EA1104" s="6" t="n">
        <v>0</v>
      </c>
      <c r="EB1104" s="6" t="s">
        <v>10966</v>
      </c>
      <c r="EC1104" s="6" t="n">
        <v>0</v>
      </c>
      <c r="ED1104" s="6" t="s">
        <v>10967</v>
      </c>
      <c r="EE1104" s="6" t="n">
        <v>0</v>
      </c>
      <c r="EF1104" s="6" t="s">
        <v>10968</v>
      </c>
      <c r="EG1104" s="6" t="n">
        <v>0</v>
      </c>
      <c r="EH1104" s="6" t="s">
        <v>10969</v>
      </c>
      <c r="EI1104" s="6" t="n">
        <v>0</v>
      </c>
      <c r="EJ1104" s="6" t="s">
        <v>10970</v>
      </c>
      <c r="EK1104" s="6" t="n">
        <v>0</v>
      </c>
    </row>
    <row r="1105" customFormat="false" ht="12.8" hidden="false" customHeight="false" outlineLevel="0" collapsed="false">
      <c r="A1105" s="6" t="s">
        <v>10971</v>
      </c>
      <c r="B1105" s="6" t="n">
        <v>30478</v>
      </c>
      <c r="C1105" s="6" t="n">
        <v>4004</v>
      </c>
      <c r="D1105" s="12" t="n">
        <f aca="false">C1105/(B1105+C1105)*100</f>
        <v>11.6118554608201</v>
      </c>
      <c r="E1105" s="6" t="n">
        <v>292</v>
      </c>
      <c r="F1105" s="6" t="s">
        <v>10972</v>
      </c>
      <c r="G1105" s="6" t="n">
        <v>1091</v>
      </c>
      <c r="H1105" s="6" t="s">
        <v>10973</v>
      </c>
      <c r="I1105" s="6" t="n">
        <v>407</v>
      </c>
      <c r="J1105" s="6" t="s">
        <v>10974</v>
      </c>
      <c r="K1105" s="6" t="n">
        <v>347</v>
      </c>
      <c r="L1105" s="6" t="s">
        <v>10975</v>
      </c>
      <c r="M1105" s="6" t="n">
        <v>295</v>
      </c>
      <c r="N1105" s="6" t="s">
        <v>10976</v>
      </c>
      <c r="O1105" s="6" t="n">
        <v>287</v>
      </c>
      <c r="P1105" s="6" t="s">
        <v>10977</v>
      </c>
      <c r="Q1105" s="6" t="n">
        <v>214</v>
      </c>
      <c r="R1105" s="6" t="s">
        <v>10978</v>
      </c>
      <c r="S1105" s="6" t="n">
        <v>135</v>
      </c>
      <c r="T1105" s="6" t="s">
        <v>10979</v>
      </c>
      <c r="U1105" s="6" t="n">
        <v>132</v>
      </c>
      <c r="V1105" s="6" t="s">
        <v>10980</v>
      </c>
      <c r="W1105" s="6" t="n">
        <v>104</v>
      </c>
      <c r="X1105" s="6" t="s">
        <v>10981</v>
      </c>
      <c r="Y1105" s="6" t="n">
        <v>68</v>
      </c>
      <c r="Z1105" s="6" t="s">
        <v>10982</v>
      </c>
      <c r="AA1105" s="6" t="n">
        <v>54</v>
      </c>
      <c r="AB1105" s="6" t="s">
        <v>10983</v>
      </c>
      <c r="AC1105" s="6" t="n">
        <v>53</v>
      </c>
      <c r="AD1105" s="6" t="s">
        <v>10984</v>
      </c>
      <c r="AE1105" s="6" t="n">
        <v>49</v>
      </c>
      <c r="AF1105" s="6" t="s">
        <v>10985</v>
      </c>
      <c r="AG1105" s="6" t="n">
        <v>37</v>
      </c>
      <c r="AH1105" s="6" t="s">
        <v>10986</v>
      </c>
      <c r="AI1105" s="6" t="n">
        <v>36</v>
      </c>
      <c r="AJ1105" s="6" t="s">
        <v>10987</v>
      </c>
      <c r="AK1105" s="6" t="n">
        <v>32</v>
      </c>
      <c r="AL1105" s="6" t="s">
        <v>10988</v>
      </c>
      <c r="AM1105" s="6" t="n">
        <v>21</v>
      </c>
      <c r="AN1105" s="6" t="s">
        <v>10989</v>
      </c>
      <c r="AO1105" s="6" t="n">
        <v>20</v>
      </c>
      <c r="AP1105" s="6" t="s">
        <v>10990</v>
      </c>
      <c r="AQ1105" s="6" t="n">
        <v>17</v>
      </c>
      <c r="AR1105" s="6" t="s">
        <v>10991</v>
      </c>
      <c r="AS1105" s="6" t="n">
        <v>16</v>
      </c>
      <c r="AT1105" s="6" t="s">
        <v>10992</v>
      </c>
      <c r="AU1105" s="6" t="n">
        <v>15</v>
      </c>
      <c r="AV1105" s="6" t="s">
        <v>10993</v>
      </c>
      <c r="AW1105" s="6" t="n">
        <v>14</v>
      </c>
      <c r="AX1105" s="6" t="s">
        <v>10994</v>
      </c>
      <c r="AY1105" s="6" t="n">
        <v>13</v>
      </c>
      <c r="AZ1105" s="6" t="s">
        <v>10995</v>
      </c>
      <c r="BA1105" s="6" t="n">
        <v>11</v>
      </c>
      <c r="BB1105" s="6" t="s">
        <v>10996</v>
      </c>
      <c r="BC1105" s="6" t="n">
        <v>11</v>
      </c>
      <c r="BD1105" s="6" t="s">
        <v>10997</v>
      </c>
      <c r="BE1105" s="6" t="n">
        <v>11</v>
      </c>
      <c r="BF1105" s="6" t="s">
        <v>10998</v>
      </c>
      <c r="BG1105" s="6" t="n">
        <v>11</v>
      </c>
      <c r="BH1105" s="6" t="s">
        <v>10999</v>
      </c>
      <c r="BI1105" s="6" t="n">
        <v>10</v>
      </c>
      <c r="BJ1105" s="6" t="s">
        <v>11000</v>
      </c>
      <c r="BK1105" s="6" t="n">
        <v>10</v>
      </c>
      <c r="BL1105" s="6" t="s">
        <v>11001</v>
      </c>
      <c r="BM1105" s="6" t="n">
        <v>10</v>
      </c>
      <c r="BN1105" s="6" t="s">
        <v>11002</v>
      </c>
      <c r="BO1105" s="6" t="n">
        <v>10</v>
      </c>
      <c r="BP1105" s="6" t="s">
        <v>11003</v>
      </c>
      <c r="BQ1105" s="6" t="n">
        <v>9</v>
      </c>
      <c r="BR1105" s="6" t="s">
        <v>11004</v>
      </c>
      <c r="BS1105" s="6" t="n">
        <v>9</v>
      </c>
      <c r="BT1105" s="6" t="s">
        <v>11005</v>
      </c>
      <c r="BU1105" s="6" t="n">
        <v>8</v>
      </c>
      <c r="BV1105" s="6" t="s">
        <v>11006</v>
      </c>
      <c r="BW1105" s="6" t="n">
        <v>7</v>
      </c>
      <c r="BX1105" s="6" t="s">
        <v>11007</v>
      </c>
      <c r="BY1105" s="6" t="n">
        <v>7</v>
      </c>
      <c r="BZ1105" s="6" t="s">
        <v>11008</v>
      </c>
      <c r="CA1105" s="6" t="n">
        <v>7</v>
      </c>
      <c r="CB1105" s="6" t="s">
        <v>11009</v>
      </c>
      <c r="CC1105" s="6" t="n">
        <v>7</v>
      </c>
      <c r="CD1105" s="6" t="s">
        <v>11010</v>
      </c>
      <c r="CE1105" s="6" t="n">
        <v>7</v>
      </c>
      <c r="CF1105" s="6" t="s">
        <v>11011</v>
      </c>
      <c r="CG1105" s="6" t="n">
        <v>7</v>
      </c>
      <c r="CH1105" s="6" t="s">
        <v>11012</v>
      </c>
      <c r="CI1105" s="6" t="n">
        <v>6</v>
      </c>
      <c r="CJ1105" s="6" t="s">
        <v>11013</v>
      </c>
      <c r="CK1105" s="6" t="n">
        <v>6</v>
      </c>
      <c r="CL1105" s="6" t="s">
        <v>11014</v>
      </c>
      <c r="CM1105" s="6" t="n">
        <v>6</v>
      </c>
      <c r="CN1105" s="6" t="s">
        <v>11015</v>
      </c>
      <c r="CO1105" s="6" t="n">
        <v>6</v>
      </c>
      <c r="CP1105" s="6" t="s">
        <v>11016</v>
      </c>
      <c r="CQ1105" s="6" t="n">
        <v>6</v>
      </c>
      <c r="CR1105" s="6" t="s">
        <v>11017</v>
      </c>
      <c r="CS1105" s="6" t="n">
        <v>5</v>
      </c>
      <c r="CT1105" s="6" t="s">
        <v>11018</v>
      </c>
      <c r="CU1105" s="6" t="n">
        <v>5</v>
      </c>
      <c r="CV1105" s="6" t="s">
        <v>11019</v>
      </c>
      <c r="CW1105" s="6" t="n">
        <v>5</v>
      </c>
      <c r="CX1105" s="6" t="s">
        <v>11020</v>
      </c>
      <c r="CY1105" s="6" t="n">
        <v>5</v>
      </c>
      <c r="CZ1105" s="6" t="s">
        <v>11021</v>
      </c>
      <c r="DA1105" s="6" t="n">
        <v>5</v>
      </c>
      <c r="DB1105" s="6" t="s">
        <v>11022</v>
      </c>
      <c r="DC1105" s="6" t="n">
        <v>5</v>
      </c>
      <c r="DD1105" s="6" t="s">
        <v>11023</v>
      </c>
      <c r="DE1105" s="6" t="n">
        <v>5</v>
      </c>
      <c r="DF1105" s="6" t="s">
        <v>11024</v>
      </c>
      <c r="DG1105" s="6" t="n">
        <v>5</v>
      </c>
      <c r="DH1105" s="6" t="s">
        <v>11025</v>
      </c>
      <c r="DI1105" s="6" t="n">
        <v>4</v>
      </c>
      <c r="DJ1105" s="6" t="s">
        <v>11026</v>
      </c>
      <c r="DK1105" s="6" t="n">
        <v>4</v>
      </c>
      <c r="DL1105" s="6" t="s">
        <v>11027</v>
      </c>
      <c r="DM1105" s="6" t="n">
        <v>4</v>
      </c>
      <c r="DN1105" s="6" t="s">
        <v>11028</v>
      </c>
      <c r="DO1105" s="6" t="n">
        <v>4</v>
      </c>
      <c r="DP1105" s="6" t="s">
        <v>11029</v>
      </c>
      <c r="DQ1105" s="6" t="n">
        <v>4</v>
      </c>
      <c r="DR1105" s="6" t="s">
        <v>11030</v>
      </c>
      <c r="DS1105" s="6" t="n">
        <v>4</v>
      </c>
      <c r="DT1105" s="6" t="s">
        <v>11031</v>
      </c>
      <c r="DU1105" s="6" t="n">
        <v>4</v>
      </c>
      <c r="DV1105" s="6" t="s">
        <v>11032</v>
      </c>
      <c r="DW1105" s="6" t="n">
        <v>4</v>
      </c>
      <c r="DX1105" s="6" t="s">
        <v>11033</v>
      </c>
      <c r="DY1105" s="6" t="n">
        <v>4</v>
      </c>
      <c r="DZ1105" s="6" t="s">
        <v>11034</v>
      </c>
      <c r="EA1105" s="6" t="n">
        <v>4</v>
      </c>
      <c r="EB1105" s="6" t="s">
        <v>11035</v>
      </c>
      <c r="EC1105" s="6" t="n">
        <v>4</v>
      </c>
      <c r="ED1105" s="6" t="s">
        <v>11036</v>
      </c>
      <c r="EE1105" s="6" t="n">
        <v>3</v>
      </c>
      <c r="EF1105" s="6" t="s">
        <v>11037</v>
      </c>
      <c r="EG1105" s="6" t="n">
        <v>3</v>
      </c>
      <c r="EH1105" s="6" t="s">
        <v>11038</v>
      </c>
      <c r="EI1105" s="6" t="n">
        <v>3</v>
      </c>
      <c r="EJ1105" s="6" t="s">
        <v>11039</v>
      </c>
      <c r="EK1105" s="6" t="n">
        <v>3</v>
      </c>
      <c r="EL1105" s="6" t="s">
        <v>11040</v>
      </c>
      <c r="EM1105" s="6" t="n">
        <v>3</v>
      </c>
      <c r="EN1105" s="6" t="s">
        <v>11041</v>
      </c>
      <c r="EO1105" s="6" t="n">
        <v>3</v>
      </c>
      <c r="EP1105" s="6" t="s">
        <v>11042</v>
      </c>
      <c r="EQ1105" s="6" t="n">
        <v>3</v>
      </c>
      <c r="ER1105" s="6" t="s">
        <v>11043</v>
      </c>
      <c r="ES1105" s="6" t="n">
        <v>3</v>
      </c>
      <c r="ET1105" s="6" t="s">
        <v>11044</v>
      </c>
      <c r="EU1105" s="6" t="n">
        <v>3</v>
      </c>
      <c r="EV1105" s="6" t="s">
        <v>11045</v>
      </c>
      <c r="EW1105" s="6" t="n">
        <v>3</v>
      </c>
      <c r="EX1105" s="6" t="s">
        <v>11046</v>
      </c>
      <c r="EY1105" s="6" t="n">
        <v>3</v>
      </c>
      <c r="EZ1105" s="6" t="s">
        <v>11047</v>
      </c>
      <c r="FA1105" s="6" t="n">
        <v>3</v>
      </c>
      <c r="FB1105" s="6" t="s">
        <v>11048</v>
      </c>
      <c r="FC1105" s="6" t="n">
        <v>3</v>
      </c>
      <c r="FD1105" s="6" t="s">
        <v>11049</v>
      </c>
      <c r="FE1105" s="6" t="n">
        <v>3</v>
      </c>
      <c r="FF1105" s="6" t="s">
        <v>11050</v>
      </c>
      <c r="FG1105" s="6" t="n">
        <v>3</v>
      </c>
      <c r="FH1105" s="6" t="s">
        <v>11051</v>
      </c>
      <c r="FI1105" s="6" t="n">
        <v>3</v>
      </c>
      <c r="FJ1105" s="6" t="s">
        <v>11052</v>
      </c>
      <c r="FK1105" s="6" t="n">
        <v>3</v>
      </c>
      <c r="FL1105" s="6" t="s">
        <v>11053</v>
      </c>
      <c r="FM1105" s="6" t="n">
        <v>3</v>
      </c>
      <c r="FN1105" s="6" t="s">
        <v>11054</v>
      </c>
      <c r="FO1105" s="6" t="n">
        <v>3</v>
      </c>
      <c r="FP1105" s="6" t="s">
        <v>11055</v>
      </c>
      <c r="FQ1105" s="6" t="n">
        <v>2</v>
      </c>
      <c r="FR1105" s="6" t="s">
        <v>11056</v>
      </c>
      <c r="FS1105" s="6" t="n">
        <v>2</v>
      </c>
      <c r="FT1105" s="6" t="s">
        <v>11057</v>
      </c>
      <c r="FU1105" s="6" t="n">
        <v>2</v>
      </c>
      <c r="FV1105" s="6" t="s">
        <v>11058</v>
      </c>
      <c r="FW1105" s="6" t="n">
        <v>2</v>
      </c>
      <c r="FX1105" s="6" t="s">
        <v>11059</v>
      </c>
      <c r="FY1105" s="6" t="n">
        <v>2</v>
      </c>
      <c r="FZ1105" s="6" t="s">
        <v>11060</v>
      </c>
      <c r="GA1105" s="6" t="n">
        <v>2</v>
      </c>
      <c r="GB1105" s="6" t="s">
        <v>11061</v>
      </c>
      <c r="GC1105" s="6" t="n">
        <v>2</v>
      </c>
      <c r="GD1105" s="6" t="s">
        <v>11062</v>
      </c>
      <c r="GE1105" s="6" t="n">
        <v>2</v>
      </c>
      <c r="GF1105" s="6" t="s">
        <v>11063</v>
      </c>
      <c r="GG1105" s="6" t="n">
        <v>2</v>
      </c>
      <c r="GH1105" s="6" t="s">
        <v>11064</v>
      </c>
      <c r="GI1105" s="6" t="n">
        <v>2</v>
      </c>
      <c r="GJ1105" s="6" t="s">
        <v>11065</v>
      </c>
      <c r="GK1105" s="6" t="n">
        <v>2</v>
      </c>
      <c r="GL1105" s="6" t="s">
        <v>11066</v>
      </c>
      <c r="GM1105" s="6" t="n">
        <v>2</v>
      </c>
      <c r="GN1105" s="6" t="s">
        <v>11067</v>
      </c>
      <c r="GO1105" s="6" t="n">
        <v>2</v>
      </c>
      <c r="GP1105" s="6" t="s">
        <v>11068</v>
      </c>
      <c r="GQ1105" s="6" t="n">
        <v>2</v>
      </c>
      <c r="GR1105" s="6" t="s">
        <v>11069</v>
      </c>
      <c r="GS1105" s="6" t="n">
        <v>2</v>
      </c>
      <c r="GT1105" s="6" t="s">
        <v>11070</v>
      </c>
      <c r="GU1105" s="6" t="n">
        <v>2</v>
      </c>
      <c r="GV1105" s="6" t="s">
        <v>11071</v>
      </c>
      <c r="GW1105" s="6" t="n">
        <v>2</v>
      </c>
      <c r="GX1105" s="6" t="s">
        <v>11072</v>
      </c>
      <c r="GY1105" s="6" t="n">
        <v>2</v>
      </c>
      <c r="GZ1105" s="6" t="s">
        <v>11073</v>
      </c>
      <c r="HA1105" s="6" t="n">
        <v>2</v>
      </c>
      <c r="HB1105" s="6" t="s">
        <v>11074</v>
      </c>
      <c r="HC1105" s="6" t="n">
        <v>2</v>
      </c>
      <c r="HD1105" s="6" t="s">
        <v>11075</v>
      </c>
      <c r="HE1105" s="6" t="n">
        <v>2</v>
      </c>
      <c r="HF1105" s="6" t="s">
        <v>11076</v>
      </c>
      <c r="HG1105" s="6" t="n">
        <v>2</v>
      </c>
      <c r="HH1105" s="6" t="s">
        <v>11077</v>
      </c>
      <c r="HI1105" s="6" t="n">
        <v>2</v>
      </c>
      <c r="HJ1105" s="6" t="s">
        <v>11078</v>
      </c>
      <c r="HK1105" s="6" t="n">
        <v>2</v>
      </c>
      <c r="HL1105" s="6" t="s">
        <v>11079</v>
      </c>
      <c r="HM1105" s="6" t="n">
        <v>2</v>
      </c>
      <c r="HN1105" s="6" t="s">
        <v>11080</v>
      </c>
      <c r="HO1105" s="6" t="n">
        <v>2</v>
      </c>
      <c r="HP1105" s="6" t="s">
        <v>11081</v>
      </c>
      <c r="HQ1105" s="6" t="n">
        <v>2</v>
      </c>
      <c r="HR1105" s="6" t="s">
        <v>11082</v>
      </c>
      <c r="HS1105" s="6" t="n">
        <v>2</v>
      </c>
      <c r="HT1105" s="6" t="s">
        <v>11083</v>
      </c>
      <c r="HU1105" s="6" t="n">
        <v>2</v>
      </c>
      <c r="HV1105" s="6" t="s">
        <v>11084</v>
      </c>
      <c r="HW1105" s="6" t="n">
        <v>2</v>
      </c>
      <c r="HX1105" s="6" t="s">
        <v>11085</v>
      </c>
      <c r="HY1105" s="6" t="n">
        <v>2</v>
      </c>
      <c r="HZ1105" s="6" t="s">
        <v>11086</v>
      </c>
      <c r="IA1105" s="6" t="n">
        <v>2</v>
      </c>
      <c r="IB1105" s="6" t="s">
        <v>11087</v>
      </c>
      <c r="IC1105" s="6" t="n">
        <v>2</v>
      </c>
      <c r="ID1105" s="6" t="s">
        <v>11088</v>
      </c>
      <c r="IE1105" s="6" t="n">
        <v>2</v>
      </c>
      <c r="IF1105" s="6" t="s">
        <v>11089</v>
      </c>
      <c r="IG1105" s="6" t="n">
        <v>2</v>
      </c>
      <c r="IH1105" s="6" t="s">
        <v>11090</v>
      </c>
      <c r="II1105" s="6" t="n">
        <v>2</v>
      </c>
      <c r="IJ1105" s="6" t="s">
        <v>11091</v>
      </c>
      <c r="IK1105" s="6" t="n">
        <v>2</v>
      </c>
      <c r="IL1105" s="6" t="s">
        <v>11092</v>
      </c>
      <c r="IM1105" s="6" t="n">
        <v>2</v>
      </c>
      <c r="IN1105" s="6" t="s">
        <v>11093</v>
      </c>
      <c r="IO1105" s="6" t="n">
        <v>2</v>
      </c>
      <c r="IP1105" s="6" t="s">
        <v>11094</v>
      </c>
      <c r="IQ1105" s="6" t="n">
        <v>2</v>
      </c>
      <c r="IR1105" s="6" t="s">
        <v>11095</v>
      </c>
      <c r="IS1105" s="6" t="n">
        <v>1</v>
      </c>
      <c r="IT1105" s="6" t="s">
        <v>11096</v>
      </c>
      <c r="IU1105" s="6" t="n">
        <v>1</v>
      </c>
      <c r="IV1105" s="6" t="s">
        <v>11097</v>
      </c>
      <c r="IW1105" s="6" t="n">
        <v>1</v>
      </c>
      <c r="IX1105" s="6" t="s">
        <v>11098</v>
      </c>
      <c r="IY1105" s="6" t="n">
        <v>1</v>
      </c>
      <c r="IZ1105" s="6" t="s">
        <v>11099</v>
      </c>
      <c r="JA1105" s="6" t="n">
        <v>1</v>
      </c>
      <c r="JB1105" s="6" t="s">
        <v>11100</v>
      </c>
      <c r="JC1105" s="6" t="n">
        <v>1</v>
      </c>
      <c r="JD1105" s="6" t="s">
        <v>11101</v>
      </c>
      <c r="JE1105" s="6" t="n">
        <v>1</v>
      </c>
      <c r="JF1105" s="6" t="s">
        <v>11102</v>
      </c>
      <c r="JG1105" s="6" t="n">
        <v>1</v>
      </c>
      <c r="JH1105" s="6" t="s">
        <v>11103</v>
      </c>
      <c r="JI1105" s="6" t="n">
        <v>1</v>
      </c>
      <c r="JJ1105" s="6" t="s">
        <v>11104</v>
      </c>
      <c r="JK1105" s="6" t="n">
        <v>1</v>
      </c>
      <c r="JL1105" s="6" t="s">
        <v>11105</v>
      </c>
      <c r="JM1105" s="6" t="n">
        <v>1</v>
      </c>
      <c r="JN1105" s="6" t="s">
        <v>11106</v>
      </c>
      <c r="JO1105" s="6" t="n">
        <v>1</v>
      </c>
      <c r="JP1105" s="6" t="s">
        <v>11107</v>
      </c>
      <c r="JQ1105" s="6" t="n">
        <v>1</v>
      </c>
      <c r="JR1105" s="6" t="s">
        <v>11108</v>
      </c>
      <c r="JS1105" s="6" t="n">
        <v>1</v>
      </c>
      <c r="JT1105" s="6" t="s">
        <v>11109</v>
      </c>
      <c r="JU1105" s="6" t="n">
        <v>1</v>
      </c>
      <c r="JV1105" s="6" t="s">
        <v>11110</v>
      </c>
      <c r="JW1105" s="6" t="n">
        <v>1</v>
      </c>
      <c r="JX1105" s="6" t="s">
        <v>11111</v>
      </c>
      <c r="JY1105" s="6" t="n">
        <v>1</v>
      </c>
      <c r="JZ1105" s="6" t="s">
        <v>11112</v>
      </c>
      <c r="KA1105" s="6" t="n">
        <v>1</v>
      </c>
      <c r="KB1105" s="6" t="s">
        <v>11113</v>
      </c>
      <c r="KC1105" s="6" t="n">
        <v>1</v>
      </c>
      <c r="KD1105" s="6" t="s">
        <v>11114</v>
      </c>
      <c r="KE1105" s="6" t="n">
        <v>1</v>
      </c>
      <c r="KF1105" s="6" t="s">
        <v>11115</v>
      </c>
      <c r="KG1105" s="6" t="n">
        <v>1</v>
      </c>
      <c r="KH1105" s="6" t="s">
        <v>11116</v>
      </c>
      <c r="KI1105" s="6" t="n">
        <v>1</v>
      </c>
      <c r="KJ1105" s="6" t="s">
        <v>11117</v>
      </c>
      <c r="KK1105" s="6" t="n">
        <v>1</v>
      </c>
      <c r="KL1105" s="6" t="s">
        <v>11118</v>
      </c>
      <c r="KM1105" s="6" t="n">
        <v>1</v>
      </c>
      <c r="KN1105" s="6" t="s">
        <v>11119</v>
      </c>
      <c r="KO1105" s="6" t="n">
        <v>1</v>
      </c>
      <c r="KP1105" s="6" t="s">
        <v>11120</v>
      </c>
      <c r="KQ1105" s="6" t="n">
        <v>1</v>
      </c>
      <c r="KR1105" s="6" t="s">
        <v>11121</v>
      </c>
      <c r="KS1105" s="6" t="n">
        <v>1</v>
      </c>
      <c r="KT1105" s="6" t="s">
        <v>11122</v>
      </c>
      <c r="KU1105" s="6" t="n">
        <v>1</v>
      </c>
      <c r="KV1105" s="6" t="s">
        <v>11123</v>
      </c>
      <c r="KW1105" s="6" t="n">
        <v>1</v>
      </c>
      <c r="KX1105" s="6" t="s">
        <v>11124</v>
      </c>
      <c r="KY1105" s="6" t="n">
        <v>1</v>
      </c>
      <c r="KZ1105" s="6" t="s">
        <v>11125</v>
      </c>
      <c r="LA1105" s="6" t="n">
        <v>1</v>
      </c>
      <c r="LB1105" s="6" t="s">
        <v>11126</v>
      </c>
      <c r="LC1105" s="6" t="n">
        <v>1</v>
      </c>
      <c r="LD1105" s="6" t="s">
        <v>11127</v>
      </c>
      <c r="LE1105" s="6" t="n">
        <v>1</v>
      </c>
      <c r="LF1105" s="6" t="s">
        <v>11128</v>
      </c>
      <c r="LG1105" s="6" t="n">
        <v>1</v>
      </c>
      <c r="LH1105" s="6" t="s">
        <v>11129</v>
      </c>
      <c r="LI1105" s="6" t="n">
        <v>1</v>
      </c>
      <c r="LJ1105" s="6" t="s">
        <v>11130</v>
      </c>
      <c r="LK1105" s="6" t="n">
        <v>1</v>
      </c>
      <c r="LL1105" s="6" t="s">
        <v>11131</v>
      </c>
      <c r="LM1105" s="6" t="n">
        <v>1</v>
      </c>
      <c r="LN1105" s="6" t="s">
        <v>11132</v>
      </c>
      <c r="LO1105" s="6" t="n">
        <v>1</v>
      </c>
      <c r="LP1105" s="6" t="s">
        <v>11133</v>
      </c>
      <c r="LQ1105" s="6" t="n">
        <v>1</v>
      </c>
      <c r="LR1105" s="6" t="s">
        <v>11134</v>
      </c>
      <c r="LS1105" s="6" t="n">
        <v>1</v>
      </c>
      <c r="LT1105" s="6" t="s">
        <v>11135</v>
      </c>
      <c r="LU1105" s="6" t="n">
        <v>1</v>
      </c>
      <c r="LV1105" s="6" t="s">
        <v>11136</v>
      </c>
      <c r="LW1105" s="6" t="n">
        <v>1</v>
      </c>
      <c r="LX1105" s="6" t="s">
        <v>11137</v>
      </c>
      <c r="LY1105" s="6" t="n">
        <v>1</v>
      </c>
      <c r="LZ1105" s="6" t="s">
        <v>11138</v>
      </c>
      <c r="MA1105" s="6" t="n">
        <v>1</v>
      </c>
      <c r="MB1105" s="6" t="s">
        <v>11139</v>
      </c>
      <c r="MC1105" s="6" t="n">
        <v>1</v>
      </c>
      <c r="MD1105" s="6" t="s">
        <v>11140</v>
      </c>
      <c r="ME1105" s="6" t="n">
        <v>1</v>
      </c>
      <c r="MF1105" s="6" t="s">
        <v>11141</v>
      </c>
      <c r="MG1105" s="6" t="n">
        <v>1</v>
      </c>
      <c r="MH1105" s="6" t="s">
        <v>11142</v>
      </c>
      <c r="MI1105" s="6" t="n">
        <v>1</v>
      </c>
      <c r="MJ1105" s="6" t="s">
        <v>11143</v>
      </c>
      <c r="MK1105" s="6" t="n">
        <v>1</v>
      </c>
      <c r="ML1105" s="6" t="s">
        <v>11144</v>
      </c>
      <c r="MM1105" s="6" t="n">
        <v>1</v>
      </c>
      <c r="MN1105" s="6" t="s">
        <v>11145</v>
      </c>
      <c r="MO1105" s="6" t="n">
        <v>1</v>
      </c>
      <c r="MP1105" s="6" t="s">
        <v>11146</v>
      </c>
      <c r="MQ1105" s="6" t="n">
        <v>1</v>
      </c>
      <c r="MR1105" s="6" t="s">
        <v>11147</v>
      </c>
      <c r="MS1105" s="6" t="n">
        <v>1</v>
      </c>
      <c r="MT1105" s="6" t="s">
        <v>11148</v>
      </c>
      <c r="MU1105" s="6" t="n">
        <v>1</v>
      </c>
      <c r="MV1105" s="6" t="s">
        <v>11149</v>
      </c>
      <c r="MW1105" s="6" t="n">
        <v>1</v>
      </c>
      <c r="MX1105" s="6" t="s">
        <v>11150</v>
      </c>
      <c r="MY1105" s="6" t="n">
        <v>1</v>
      </c>
      <c r="MZ1105" s="6" t="s">
        <v>11151</v>
      </c>
      <c r="NA1105" s="6" t="n">
        <v>1</v>
      </c>
      <c r="NB1105" s="6" t="s">
        <v>11152</v>
      </c>
      <c r="NC1105" s="6" t="n">
        <v>1</v>
      </c>
      <c r="ND1105" s="6" t="s">
        <v>11153</v>
      </c>
      <c r="NE1105" s="6" t="n">
        <v>1</v>
      </c>
      <c r="NF1105" s="6" t="s">
        <v>11154</v>
      </c>
      <c r="NG1105" s="6" t="n">
        <v>1</v>
      </c>
      <c r="NH1105" s="6" t="s">
        <v>11155</v>
      </c>
      <c r="NI1105" s="6" t="n">
        <v>1</v>
      </c>
      <c r="NJ1105" s="6" t="s">
        <v>11156</v>
      </c>
      <c r="NK1105" s="6" t="n">
        <v>1</v>
      </c>
      <c r="NL1105" s="6" t="s">
        <v>11157</v>
      </c>
      <c r="NM1105" s="6" t="n">
        <v>1</v>
      </c>
      <c r="NN1105" s="6" t="s">
        <v>11158</v>
      </c>
      <c r="NO1105" s="6" t="n">
        <v>1</v>
      </c>
      <c r="NP1105" s="6" t="s">
        <v>11159</v>
      </c>
      <c r="NQ1105" s="6" t="n">
        <v>1</v>
      </c>
      <c r="NR1105" s="6" t="s">
        <v>11160</v>
      </c>
      <c r="NS1105" s="6" t="n">
        <v>1</v>
      </c>
      <c r="NT1105" s="6" t="s">
        <v>11161</v>
      </c>
      <c r="NU1105" s="6" t="n">
        <v>1</v>
      </c>
      <c r="NV1105" s="6" t="s">
        <v>11162</v>
      </c>
      <c r="NW1105" s="6" t="n">
        <v>1</v>
      </c>
      <c r="NX1105" s="6" t="s">
        <v>11163</v>
      </c>
      <c r="NY1105" s="6" t="n">
        <v>1</v>
      </c>
      <c r="NZ1105" s="6" t="s">
        <v>11164</v>
      </c>
      <c r="OA1105" s="6" t="n">
        <v>1</v>
      </c>
      <c r="OB1105" s="6" t="s">
        <v>11165</v>
      </c>
      <c r="OC1105" s="6" t="n">
        <v>1</v>
      </c>
      <c r="OD1105" s="6" t="s">
        <v>11166</v>
      </c>
      <c r="OE1105" s="6" t="n">
        <v>1</v>
      </c>
      <c r="OF1105" s="6" t="s">
        <v>11167</v>
      </c>
      <c r="OG1105" s="6" t="n">
        <v>1</v>
      </c>
      <c r="OH1105" s="6" t="s">
        <v>11168</v>
      </c>
      <c r="OI1105" s="6" t="n">
        <v>1</v>
      </c>
      <c r="OJ1105" s="6" t="s">
        <v>11169</v>
      </c>
      <c r="OK1105" s="6" t="n">
        <v>1</v>
      </c>
      <c r="OL1105" s="6" t="s">
        <v>11170</v>
      </c>
      <c r="OM1105" s="6" t="n">
        <v>1</v>
      </c>
      <c r="ON1105" s="6" t="s">
        <v>11171</v>
      </c>
      <c r="OO1105" s="6" t="n">
        <v>1</v>
      </c>
      <c r="OP1105" s="6" t="s">
        <v>11172</v>
      </c>
      <c r="OQ1105" s="6" t="n">
        <v>1</v>
      </c>
      <c r="OR1105" s="6" t="s">
        <v>11173</v>
      </c>
      <c r="OS1105" s="6" t="n">
        <v>1</v>
      </c>
      <c r="OT1105" s="6" t="s">
        <v>11174</v>
      </c>
      <c r="OU1105" s="6" t="n">
        <v>1</v>
      </c>
      <c r="OV1105" s="6" t="s">
        <v>11175</v>
      </c>
      <c r="OW1105" s="6" t="n">
        <v>1</v>
      </c>
      <c r="OX1105" s="6" t="s">
        <v>11176</v>
      </c>
      <c r="OY1105" s="6" t="n">
        <v>1</v>
      </c>
      <c r="OZ1105" s="6" t="s">
        <v>11177</v>
      </c>
      <c r="PA1105" s="6" t="n">
        <v>1</v>
      </c>
      <c r="PB1105" s="6" t="s">
        <v>11178</v>
      </c>
      <c r="PC1105" s="6" t="n">
        <v>1</v>
      </c>
      <c r="PD1105" s="6" t="s">
        <v>11179</v>
      </c>
      <c r="PE1105" s="6" t="n">
        <v>1</v>
      </c>
      <c r="PF1105" s="6" t="s">
        <v>11180</v>
      </c>
      <c r="PG1105" s="6" t="n">
        <v>1</v>
      </c>
      <c r="PH1105" s="6" t="s">
        <v>11181</v>
      </c>
      <c r="PI1105" s="6" t="n">
        <v>1</v>
      </c>
      <c r="PJ1105" s="6" t="s">
        <v>11182</v>
      </c>
      <c r="PK1105" s="6" t="n">
        <v>1</v>
      </c>
      <c r="PL1105" s="6" t="s">
        <v>11183</v>
      </c>
      <c r="PM1105" s="6" t="n">
        <v>1</v>
      </c>
      <c r="PN1105" s="6" t="s">
        <v>11184</v>
      </c>
      <c r="PO1105" s="6" t="n">
        <v>1</v>
      </c>
      <c r="PP1105" s="6" t="s">
        <v>11185</v>
      </c>
      <c r="PQ1105" s="6" t="n">
        <v>1</v>
      </c>
      <c r="PR1105" s="6" t="s">
        <v>11186</v>
      </c>
      <c r="PS1105" s="6" t="n">
        <v>1</v>
      </c>
      <c r="PT1105" s="6" t="s">
        <v>11187</v>
      </c>
      <c r="PU1105" s="6" t="n">
        <v>1</v>
      </c>
      <c r="PV1105" s="6" t="s">
        <v>11188</v>
      </c>
      <c r="PW1105" s="6" t="n">
        <v>1</v>
      </c>
      <c r="PX1105" s="6" t="s">
        <v>11189</v>
      </c>
      <c r="PY1105" s="6" t="n">
        <v>1</v>
      </c>
      <c r="PZ1105" s="6" t="s">
        <v>11190</v>
      </c>
      <c r="QA1105" s="6" t="n">
        <v>1</v>
      </c>
      <c r="QB1105" s="6" t="s">
        <v>11191</v>
      </c>
      <c r="QC1105" s="6" t="n">
        <v>1</v>
      </c>
      <c r="QD1105" s="6" t="s">
        <v>11192</v>
      </c>
      <c r="QE1105" s="6" t="n">
        <v>1</v>
      </c>
      <c r="QF1105" s="6" t="s">
        <v>11193</v>
      </c>
      <c r="QG1105" s="6" t="n">
        <v>1</v>
      </c>
      <c r="QH1105" s="6" t="s">
        <v>11194</v>
      </c>
      <c r="QI1105" s="6" t="n">
        <v>1</v>
      </c>
      <c r="QJ1105" s="6" t="s">
        <v>11195</v>
      </c>
      <c r="QK1105" s="6" t="n">
        <v>1</v>
      </c>
      <c r="QL1105" s="6" t="s">
        <v>11196</v>
      </c>
      <c r="QM1105" s="6" t="n">
        <v>1</v>
      </c>
      <c r="QN1105" s="6" t="s">
        <v>11197</v>
      </c>
      <c r="QO1105" s="6" t="n">
        <v>1</v>
      </c>
      <c r="QP1105" s="6" t="s">
        <v>11198</v>
      </c>
      <c r="QQ1105" s="6" t="n">
        <v>1</v>
      </c>
      <c r="QR1105" s="6" t="s">
        <v>11199</v>
      </c>
      <c r="QS1105" s="6" t="n">
        <v>1</v>
      </c>
      <c r="QT1105" s="6" t="s">
        <v>11200</v>
      </c>
      <c r="QU1105" s="6" t="n">
        <v>1</v>
      </c>
      <c r="QV1105" s="6" t="s">
        <v>11201</v>
      </c>
      <c r="QW1105" s="6" t="n">
        <v>1</v>
      </c>
      <c r="QX1105" s="6" t="s">
        <v>11202</v>
      </c>
      <c r="QY1105" s="6" t="n">
        <v>1</v>
      </c>
      <c r="QZ1105" s="6" t="s">
        <v>11203</v>
      </c>
      <c r="RA1105" s="6" t="n">
        <v>1</v>
      </c>
      <c r="RB1105" s="6" t="s">
        <v>11204</v>
      </c>
      <c r="RC1105" s="6" t="n">
        <v>1</v>
      </c>
      <c r="RD1105" s="6" t="s">
        <v>11205</v>
      </c>
      <c r="RE1105" s="6" t="n">
        <v>1</v>
      </c>
      <c r="RF1105" s="6" t="s">
        <v>11206</v>
      </c>
      <c r="RG1105" s="6" t="n">
        <v>1</v>
      </c>
      <c r="RH1105" s="6" t="s">
        <v>11207</v>
      </c>
      <c r="RI1105" s="6" t="n">
        <v>1</v>
      </c>
      <c r="RJ1105" s="6" t="s">
        <v>11208</v>
      </c>
      <c r="RK1105" s="6" t="n">
        <v>1</v>
      </c>
      <c r="RL1105" s="6" t="s">
        <v>11209</v>
      </c>
      <c r="RM1105" s="6" t="n">
        <v>1</v>
      </c>
      <c r="RN1105" s="6" t="s">
        <v>11210</v>
      </c>
      <c r="RO1105" s="6" t="n">
        <v>1</v>
      </c>
      <c r="RP1105" s="6" t="s">
        <v>11211</v>
      </c>
      <c r="RQ1105" s="6" t="n">
        <v>1</v>
      </c>
      <c r="RR1105" s="6" t="s">
        <v>11212</v>
      </c>
      <c r="RS1105" s="6" t="n">
        <v>1</v>
      </c>
      <c r="RT1105" s="6" t="s">
        <v>11213</v>
      </c>
      <c r="RU1105" s="6" t="n">
        <v>1</v>
      </c>
      <c r="RV1105" s="6" t="s">
        <v>11214</v>
      </c>
      <c r="RW1105" s="6" t="n">
        <v>1</v>
      </c>
      <c r="RX1105" s="6" t="s">
        <v>11215</v>
      </c>
      <c r="RY1105" s="6" t="n">
        <v>1</v>
      </c>
      <c r="RZ1105" s="6" t="s">
        <v>11216</v>
      </c>
      <c r="SA1105" s="6" t="n">
        <v>1</v>
      </c>
      <c r="SB1105" s="6" t="s">
        <v>11217</v>
      </c>
      <c r="SC1105" s="6" t="n">
        <v>1</v>
      </c>
      <c r="SD1105" s="6" t="s">
        <v>11218</v>
      </c>
      <c r="SE1105" s="6" t="n">
        <v>1</v>
      </c>
      <c r="SF1105" s="6" t="s">
        <v>11219</v>
      </c>
      <c r="SG1105" s="6" t="n">
        <v>1</v>
      </c>
      <c r="SH1105" s="6" t="s">
        <v>11220</v>
      </c>
      <c r="SI1105" s="6" t="n">
        <v>1</v>
      </c>
      <c r="SJ1105" s="6" t="s">
        <v>11221</v>
      </c>
      <c r="SK1105" s="6" t="n">
        <v>1</v>
      </c>
      <c r="SL1105" s="6" t="s">
        <v>11222</v>
      </c>
      <c r="SM1105" s="6" t="n">
        <v>1</v>
      </c>
      <c r="SN1105" s="6" t="s">
        <v>11223</v>
      </c>
      <c r="SO1105" s="6" t="n">
        <v>1</v>
      </c>
      <c r="SP1105" s="6" t="s">
        <v>11224</v>
      </c>
      <c r="SQ1105" s="6" t="n">
        <v>1</v>
      </c>
      <c r="SR1105" s="6" t="s">
        <v>11225</v>
      </c>
      <c r="SS1105" s="6" t="n">
        <v>1</v>
      </c>
      <c r="ST1105" s="6" t="s">
        <v>11226</v>
      </c>
      <c r="SU1105" s="6" t="n">
        <v>1</v>
      </c>
      <c r="SV1105" s="6" t="s">
        <v>11227</v>
      </c>
      <c r="SW1105" s="6" t="n">
        <v>1</v>
      </c>
      <c r="SX1105" s="6" t="s">
        <v>11228</v>
      </c>
      <c r="SY1105" s="6" t="n">
        <v>1</v>
      </c>
      <c r="SZ1105" s="6" t="s">
        <v>11229</v>
      </c>
      <c r="TA1105" s="6" t="n">
        <v>1</v>
      </c>
      <c r="TB1105" s="6" t="s">
        <v>11230</v>
      </c>
      <c r="TC1105" s="6" t="n">
        <v>1</v>
      </c>
      <c r="TD1105" s="6" t="s">
        <v>11231</v>
      </c>
      <c r="TE1105" s="6" t="n">
        <v>1</v>
      </c>
      <c r="TF1105" s="6" t="s">
        <v>11232</v>
      </c>
      <c r="TG1105" s="6" t="n">
        <v>1</v>
      </c>
      <c r="TH1105" s="6" t="s">
        <v>11233</v>
      </c>
      <c r="TI1105" s="6" t="n">
        <v>1</v>
      </c>
      <c r="TJ1105" s="6" t="s">
        <v>11234</v>
      </c>
      <c r="TK1105" s="6" t="n">
        <v>1</v>
      </c>
      <c r="TL1105" s="6" t="s">
        <v>11235</v>
      </c>
      <c r="TM1105" s="6" t="n">
        <v>1</v>
      </c>
      <c r="TN1105" s="6" t="s">
        <v>11236</v>
      </c>
      <c r="TO1105" s="6" t="n">
        <v>1</v>
      </c>
      <c r="TP1105" s="6" t="s">
        <v>11237</v>
      </c>
      <c r="TQ1105" s="6" t="n">
        <v>1</v>
      </c>
      <c r="TR1105" s="6" t="s">
        <v>11238</v>
      </c>
      <c r="TS1105" s="6" t="n">
        <v>1</v>
      </c>
      <c r="TT1105" s="6" t="s">
        <v>11239</v>
      </c>
      <c r="TU1105" s="6" t="n">
        <v>0</v>
      </c>
      <c r="TV1105" s="6" t="s">
        <v>11240</v>
      </c>
      <c r="TW1105" s="6" t="n">
        <v>0</v>
      </c>
      <c r="TX1105" s="6" t="s">
        <v>11241</v>
      </c>
      <c r="TY1105" s="6" t="n">
        <v>0</v>
      </c>
      <c r="TZ1105" s="6" t="s">
        <v>11242</v>
      </c>
      <c r="UA1105" s="6" t="n">
        <v>0</v>
      </c>
      <c r="UB1105" s="6" t="s">
        <v>11243</v>
      </c>
      <c r="UC1105" s="6" t="n">
        <v>0</v>
      </c>
      <c r="UD1105" s="6" t="s">
        <v>11244</v>
      </c>
      <c r="UE1105" s="6" t="n">
        <v>0</v>
      </c>
      <c r="UF1105" s="6" t="s">
        <v>11245</v>
      </c>
      <c r="UG1105" s="6" t="n">
        <v>0</v>
      </c>
      <c r="UH1105" s="6" t="s">
        <v>11246</v>
      </c>
      <c r="UI1105" s="6" t="n">
        <v>0</v>
      </c>
      <c r="UJ1105" s="6" t="s">
        <v>11247</v>
      </c>
      <c r="UK1105" s="6" t="n">
        <v>0</v>
      </c>
      <c r="UL1105" s="6" t="s">
        <v>11248</v>
      </c>
      <c r="UM1105" s="6" t="n">
        <v>0</v>
      </c>
      <c r="UN1105" s="6" t="s">
        <v>11249</v>
      </c>
      <c r="UO1105" s="6" t="n">
        <v>0</v>
      </c>
      <c r="UP1105" s="6" t="s">
        <v>11250</v>
      </c>
      <c r="UQ1105" s="6" t="n">
        <v>0</v>
      </c>
      <c r="UR1105" s="6" t="s">
        <v>11251</v>
      </c>
      <c r="US1105" s="6" t="n">
        <v>0</v>
      </c>
      <c r="UT1105" s="6" t="s">
        <v>11252</v>
      </c>
      <c r="UU1105" s="6" t="n">
        <v>0</v>
      </c>
      <c r="UV1105" s="6" t="s">
        <v>11253</v>
      </c>
      <c r="UW1105" s="6" t="n">
        <v>0</v>
      </c>
      <c r="UX1105" s="6" t="s">
        <v>11254</v>
      </c>
      <c r="UY1105" s="6" t="n">
        <v>0</v>
      </c>
      <c r="UZ1105" s="6" t="s">
        <v>11255</v>
      </c>
      <c r="VA1105" s="6" t="n">
        <v>0</v>
      </c>
      <c r="VB1105" s="6" t="s">
        <v>11256</v>
      </c>
      <c r="VC1105" s="6" t="n">
        <v>0</v>
      </c>
      <c r="VD1105" s="6" t="s">
        <v>11257</v>
      </c>
      <c r="VE1105" s="6" t="n">
        <v>0</v>
      </c>
      <c r="VF1105" s="6" t="s">
        <v>11258</v>
      </c>
      <c r="VG1105" s="6" t="n">
        <v>0</v>
      </c>
      <c r="VH1105" s="6" t="s">
        <v>11259</v>
      </c>
      <c r="VI1105" s="6" t="n">
        <v>0</v>
      </c>
      <c r="VJ1105" s="6" t="s">
        <v>11260</v>
      </c>
      <c r="VK1105" s="6" t="n">
        <v>0</v>
      </c>
      <c r="VL1105" s="6" t="s">
        <v>11261</v>
      </c>
      <c r="VM1105" s="6" t="n">
        <v>0</v>
      </c>
      <c r="VN1105" s="6" t="s">
        <v>11262</v>
      </c>
      <c r="VO1105" s="6" t="n">
        <v>0</v>
      </c>
      <c r="VP1105" s="6" t="s">
        <v>11263</v>
      </c>
      <c r="VQ1105" s="6" t="n">
        <v>0</v>
      </c>
    </row>
    <row r="1106" customFormat="false" ht="12.8" hidden="false" customHeight="false" outlineLevel="0" collapsed="false">
      <c r="A1106" s="6" t="s">
        <v>11264</v>
      </c>
      <c r="B1106" s="6" t="n">
        <v>30968</v>
      </c>
      <c r="C1106" s="6" t="n">
        <v>3951</v>
      </c>
      <c r="D1106" s="12" t="n">
        <f aca="false">C1106/(B1106+C1106)*100</f>
        <v>11.3147570090782</v>
      </c>
      <c r="E1106" s="6" t="n">
        <v>22</v>
      </c>
      <c r="F1106" s="6" t="s">
        <v>11265</v>
      </c>
      <c r="G1106" s="6" t="n">
        <v>3087</v>
      </c>
      <c r="H1106" s="6" t="s">
        <v>11266</v>
      </c>
      <c r="I1106" s="6" t="n">
        <v>488</v>
      </c>
      <c r="J1106" s="6" t="s">
        <v>11267</v>
      </c>
      <c r="K1106" s="6" t="n">
        <v>172</v>
      </c>
      <c r="L1106" s="6" t="s">
        <v>11268</v>
      </c>
      <c r="M1106" s="6" t="n">
        <v>65</v>
      </c>
      <c r="N1106" s="6" t="s">
        <v>11269</v>
      </c>
      <c r="O1106" s="6" t="n">
        <v>51</v>
      </c>
      <c r="P1106" s="6" t="s">
        <v>11270</v>
      </c>
      <c r="Q1106" s="6" t="n">
        <v>34</v>
      </c>
      <c r="R1106" s="6" t="s">
        <v>11271</v>
      </c>
      <c r="S1106" s="6" t="n">
        <v>22</v>
      </c>
      <c r="T1106" s="6" t="s">
        <v>11272</v>
      </c>
      <c r="U1106" s="6" t="n">
        <v>7</v>
      </c>
      <c r="V1106" s="6" t="s">
        <v>11273</v>
      </c>
      <c r="W1106" s="6" t="n">
        <v>6</v>
      </c>
      <c r="X1106" s="6" t="s">
        <v>11274</v>
      </c>
      <c r="Y1106" s="6" t="n">
        <v>6</v>
      </c>
      <c r="Z1106" s="6" t="s">
        <v>11275</v>
      </c>
      <c r="AA1106" s="6" t="n">
        <v>4</v>
      </c>
      <c r="AB1106" s="6" t="s">
        <v>11276</v>
      </c>
      <c r="AC1106" s="6" t="n">
        <v>2</v>
      </c>
      <c r="AD1106" s="6" t="s">
        <v>11277</v>
      </c>
      <c r="AE1106" s="6" t="n">
        <v>2</v>
      </c>
      <c r="AF1106" s="6" t="s">
        <v>11278</v>
      </c>
      <c r="AG1106" s="6" t="n">
        <v>1</v>
      </c>
      <c r="AH1106" s="6" t="s">
        <v>11279</v>
      </c>
      <c r="AI1106" s="6" t="n">
        <v>1</v>
      </c>
      <c r="AJ1106" s="6" t="s">
        <v>11280</v>
      </c>
      <c r="AK1106" s="6" t="n">
        <v>1</v>
      </c>
      <c r="AL1106" s="6" t="s">
        <v>11281</v>
      </c>
      <c r="AM1106" s="6" t="n">
        <v>1</v>
      </c>
      <c r="AN1106" s="6" t="s">
        <v>11282</v>
      </c>
      <c r="AO1106" s="6" t="n">
        <v>1</v>
      </c>
      <c r="AP1106" s="6" t="s">
        <v>11283</v>
      </c>
      <c r="AQ1106" s="6" t="n">
        <v>0</v>
      </c>
      <c r="AR1106" s="6" t="s">
        <v>11284</v>
      </c>
      <c r="AS1106" s="6" t="n">
        <v>0</v>
      </c>
      <c r="AT1106" s="6" t="s">
        <v>11285</v>
      </c>
      <c r="AU1106" s="6" t="n">
        <v>0</v>
      </c>
      <c r="AV1106" s="6" t="s">
        <v>11286</v>
      </c>
      <c r="AW1106" s="6" t="n">
        <v>0</v>
      </c>
    </row>
    <row r="1107" customFormat="false" ht="12.8" hidden="false" customHeight="false" outlineLevel="0" collapsed="false">
      <c r="A1107" s="6"/>
      <c r="B1107" s="6" t="n">
        <f aca="false">SUM(B2:B1106)</f>
        <v>403779</v>
      </c>
      <c r="C1107" s="6" t="n">
        <f aca="false">SUM(C2:C1106)</f>
        <v>285685</v>
      </c>
      <c r="D1107" s="12"/>
      <c r="E1107" s="6" t="n">
        <f aca="false">SUM(E2:E1106)</f>
        <v>9423</v>
      </c>
    </row>
    <row r="1108" customFormat="false" ht="12.8" hidden="false" customHeight="false" outlineLevel="0" collapsed="false">
      <c r="B1108" s="6"/>
      <c r="C1108" s="6"/>
      <c r="D1108" s="12"/>
      <c r="E1108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46.03"/>
    <col collapsed="false" customWidth="false" hidden="false" outlineLevel="0" max="3" min="3" style="2" width="11.52"/>
  </cols>
  <sheetData>
    <row r="1" s="3" customFormat="true" ht="12.8" hidden="false" customHeight="false" outlineLevel="0" collapsed="false">
      <c r="A1" s="3" t="s">
        <v>11287</v>
      </c>
      <c r="B1" s="4" t="s">
        <v>11288</v>
      </c>
      <c r="C1" s="5" t="s">
        <v>2</v>
      </c>
    </row>
    <row r="2" customFormat="false" ht="12.8" hidden="false" customHeight="false" outlineLevel="0" collapsed="false">
      <c r="A2" s="0" t="s">
        <v>11289</v>
      </c>
      <c r="B2" s="0" t="n">
        <v>1106</v>
      </c>
      <c r="C2" s="2" t="n">
        <f aca="false">1106/10541%</f>
        <v>10.492363153401</v>
      </c>
    </row>
    <row r="3" customFormat="false" ht="12.8" hidden="false" customHeight="false" outlineLevel="0" collapsed="false">
      <c r="A3" s="0" t="s">
        <v>11290</v>
      </c>
      <c r="B3" s="0" t="n">
        <v>9435</v>
      </c>
      <c r="C3" s="2" t="n">
        <v>89.51</v>
      </c>
    </row>
    <row r="4" customFormat="false" ht="12.8" hidden="false" customHeight="false" outlineLevel="0" collapsed="false">
      <c r="A4" s="0" t="s">
        <v>11291</v>
      </c>
      <c r="B4" s="0" t="n">
        <v>10541</v>
      </c>
      <c r="C4" s="2" t="n">
        <v>100</v>
      </c>
    </row>
    <row r="5" customFormat="false" ht="12.8" hidden="false" customHeight="false" outlineLevel="0" collapsed="false">
      <c r="A5" s="0" t="s">
        <v>11292</v>
      </c>
      <c r="B5" s="0" t="n">
        <v>923</v>
      </c>
    </row>
    <row r="6" customFormat="false" ht="12.8" hidden="false" customHeight="false" outlineLevel="0" collapsed="false">
      <c r="A6" s="0" t="s">
        <v>11293</v>
      </c>
      <c r="B6" s="0" t="n">
        <v>403779</v>
      </c>
      <c r="C6" s="2" t="n">
        <f aca="false">403779/689464*100</f>
        <v>58.5641889931889</v>
      </c>
    </row>
    <row r="7" customFormat="false" ht="12.8" hidden="false" customHeight="false" outlineLevel="0" collapsed="false">
      <c r="A7" s="0" t="s">
        <v>11294</v>
      </c>
      <c r="B7" s="0" t="n">
        <v>285685</v>
      </c>
      <c r="C7" s="2" t="n">
        <v>41.44</v>
      </c>
    </row>
    <row r="8" customFormat="false" ht="12.8" hidden="false" customHeight="false" outlineLevel="0" collapsed="false">
      <c r="A8" s="0" t="s">
        <v>11295</v>
      </c>
      <c r="B8" s="0" t="n">
        <v>689464</v>
      </c>
      <c r="C8" s="2" t="n">
        <v>100</v>
      </c>
    </row>
    <row r="9" customFormat="false" ht="12.8" hidden="false" customHeight="false" outlineLevel="0" collapsed="false">
      <c r="A9" s="0" t="s">
        <v>11296</v>
      </c>
      <c r="B9" s="0" t="n">
        <v>94744</v>
      </c>
    </row>
    <row r="10" customFormat="false" ht="12.8" hidden="false" customHeight="false" outlineLevel="0" collapsed="false">
      <c r="A10" s="0" t="s">
        <v>11297</v>
      </c>
      <c r="B10" s="0" t="n">
        <v>784208</v>
      </c>
    </row>
    <row r="11" customFormat="false" ht="12.8" hidden="false" customHeight="false" outlineLevel="0" collapsed="false">
      <c r="A11" s="0" t="s">
        <v>11298</v>
      </c>
      <c r="C11" s="2" t="n">
        <v>89</v>
      </c>
    </row>
    <row r="12" customFormat="false" ht="12.8" hidden="false" customHeight="false" outlineLevel="0" collapsed="false">
      <c r="A12" s="0" t="s">
        <v>11299</v>
      </c>
      <c r="B12" s="0" t="n">
        <v>30968</v>
      </c>
      <c r="C12" s="2" t="n">
        <f aca="false">30968/403779*100</f>
        <v>7.6695420019367</v>
      </c>
    </row>
    <row r="13" customFormat="false" ht="12.8" hidden="false" customHeight="false" outlineLevel="0" collapsed="false">
      <c r="A13" s="0" t="s">
        <v>11300</v>
      </c>
      <c r="B13" s="0" t="n">
        <v>30479</v>
      </c>
      <c r="C13" s="2" t="n">
        <f aca="false">30479/403779*100</f>
        <v>7.54843614947781</v>
      </c>
    </row>
    <row r="14" customFormat="false" ht="12.8" hidden="false" customHeight="false" outlineLevel="0" collapsed="false">
      <c r="A14" s="0" t="s">
        <v>11301</v>
      </c>
      <c r="B14" s="0" t="n">
        <v>10200</v>
      </c>
      <c r="C14" s="2" t="n">
        <f aca="false">10200/285685*100</f>
        <v>3.57036596251116</v>
      </c>
    </row>
    <row r="15" customFormat="false" ht="12.8" hidden="false" customHeight="false" outlineLevel="0" collapsed="false">
      <c r="A15" s="0" t="s">
        <v>11302</v>
      </c>
      <c r="B15" s="0" t="n">
        <v>527</v>
      </c>
      <c r="C15" s="2" t="n">
        <f aca="false">527/9425*100</f>
        <v>5.59151193633952</v>
      </c>
    </row>
    <row r="16" customFormat="false" ht="12.8" hidden="false" customHeight="false" outlineLevel="0" collapsed="false">
      <c r="A16" s="0" t="s">
        <v>11303</v>
      </c>
      <c r="B16" s="0" t="n">
        <v>9425</v>
      </c>
    </row>
    <row r="17" customFormat="false" ht="12.8" hidden="false" customHeight="false" outlineLevel="0" collapsed="false">
      <c r="A17" s="0" t="s">
        <v>11304</v>
      </c>
      <c r="B17" s="0" t="n">
        <v>48</v>
      </c>
    </row>
    <row r="18" customFormat="false" ht="12.8" hidden="false" customHeight="false" outlineLevel="0" collapsed="false">
      <c r="A18" s="0" t="s">
        <v>11305</v>
      </c>
      <c r="B18" s="0" t="n">
        <v>129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2023-02-18T15:21:51Z</dcterms:created>
  <dc:creator/>
  <dc:description/>
  <dc:language>ru-RU</dc:language>
  <cp:lastModifiedBy/>
  <dcterms:modified xsi:type="dcterms:W3CDTF">2023-02-20T09:42:16Z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