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<sst xmlns="http://schemas.openxmlformats.org/spreadsheetml/2006/main" count="43" uniqueCount="43">
  <si>
    <t xml:space="preserve">Текст</t>
  </si>
  <si>
    <t xml:space="preserve">Средняя дата</t>
  </si>
  <si>
    <t xml:space="preserve">FF, Pres, Sub,</t>
  </si>
  <si>
    <t xml:space="preserve">FF, Perfect Sub</t>
  </si>
  <si>
    <t xml:space="preserve">FF,  Aorist Sub,</t>
  </si>
  <si>
    <t xml:space="preserve">Всего основ</t>
  </si>
  <si>
    <t xml:space="preserve">Всего Глагольных форм</t>
  </si>
  <si>
    <t xml:space="preserve">"Ṛgveda"</t>
  </si>
  <si>
    <t xml:space="preserve">"Atharvaveda Śaunaka)"</t>
  </si>
  <si>
    <t xml:space="preserve">"Ṛgvedakhilāni"</t>
  </si>
  <si>
    <t xml:space="preserve">"Śatapathabrāhmaṇa"</t>
  </si>
  <si>
    <t xml:space="preserve">"Aitareyabrāhmaṇa"</t>
  </si>
  <si>
    <t xml:space="preserve">"Gopathabrāhmaṇa NEW"</t>
  </si>
  <si>
    <t xml:space="preserve">"Jaiminīyabrāhmaṇa"</t>
  </si>
  <si>
    <t xml:space="preserve">"Maitrāyaṇīsaṃhitā"</t>
  </si>
  <si>
    <t xml:space="preserve">"Pañcaviṃśabrāhmaṇa"</t>
  </si>
  <si>
    <t xml:space="preserve">"Taittirīyasaṃhitā"</t>
  </si>
  <si>
    <t xml:space="preserve">"Śāṅkhāyanāraṇyaka"</t>
  </si>
  <si>
    <t xml:space="preserve">"Kauśikasūtra"</t>
  </si>
  <si>
    <t xml:space="preserve">"Bṛhadāraṇyakopaniṣad"</t>
  </si>
  <si>
    <t xml:space="preserve">"Chāndogyopaniṣad"</t>
  </si>
  <si>
    <t xml:space="preserve">"Śāṅkhāyanagṛhyasūtra"</t>
  </si>
  <si>
    <t xml:space="preserve">"Āśvalāyanagṛhyasūtra"</t>
  </si>
  <si>
    <t xml:space="preserve">"Āpastambagṛhyasūtra"</t>
  </si>
  <si>
    <t xml:space="preserve">"Baudhāyanagṛhyasūtra"</t>
  </si>
  <si>
    <t xml:space="preserve">"Bhāradvājagṛhyasūtra"</t>
  </si>
  <si>
    <t xml:space="preserve">"Gobhilagṛhyasūtra"</t>
  </si>
  <si>
    <t xml:space="preserve">"Hiraṇyakeśigṛhyasūtra"</t>
  </si>
  <si>
    <t xml:space="preserve">"Jaiminigṛhyasūtra"</t>
  </si>
  <si>
    <t xml:space="preserve">"Kāṭhakagṛhyasūtra"</t>
  </si>
  <si>
    <t xml:space="preserve">"Khādiragṛhyasūtra"</t>
  </si>
  <si>
    <t xml:space="preserve">"Mānavagṛhyasūtra"</t>
  </si>
  <si>
    <t xml:space="preserve">"Pāraskaragṛhyasūtra"</t>
  </si>
  <si>
    <t xml:space="preserve">"Vārāhagṛhyasūtra"</t>
  </si>
  <si>
    <t xml:space="preserve">"Nirukta"</t>
  </si>
  <si>
    <t xml:space="preserve">"Aitareyopaniṣad"</t>
  </si>
  <si>
    <t xml:space="preserve">"Āpastambaśrautasūtra"</t>
  </si>
  <si>
    <t xml:space="preserve">"Atharvaprāyaścittāni"</t>
  </si>
  <si>
    <t xml:space="preserve">"Baudhāyanaśrautasūtra"</t>
  </si>
  <si>
    <t xml:space="preserve">"Kātyāyanaśrautasūtra"</t>
  </si>
  <si>
    <t xml:space="preserve">"Kauṣītakyupaniṣad"</t>
  </si>
  <si>
    <t xml:space="preserve">"Taittirīyopaniṣad"</t>
  </si>
  <si>
    <t xml:space="preserve">Итого: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</si>
</sst>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n">
        <v>-1350</v>
      </c>
      <c r="C2" s="1" t="n">
        <v>828</v>
      </c>
      <c r="D2" s="1" t="n">
        <v>182</v>
      </c>
      <c r="E2" s="1" t="n">
        <v>832</v>
      </c>
      <c r="F2" s="1" t="n">
        <v>170845</v>
      </c>
      <c r="G2" s="1" t="n">
        <v>33399</v>
      </c>
    </row>
    <row r="3" customFormat="false" ht="12.8" hidden="false" customHeight="false" outlineLevel="0" collapsed="false">
      <c r="A3" s="1" t="s">
        <v>8</v>
      </c>
      <c r="B3" s="1" t="n">
        <v>-1100</v>
      </c>
      <c r="C3" s="1" t="n">
        <v>297</v>
      </c>
      <c r="D3" s="1" t="n">
        <v>6</v>
      </c>
      <c r="E3" s="1" t="n">
        <v>112</v>
      </c>
      <c r="F3" s="1" t="n">
        <v>52925</v>
      </c>
      <c r="G3" s="1" t="n">
        <v>10640</v>
      </c>
    </row>
    <row r="4" customFormat="false" ht="12.8" hidden="false" customHeight="false" outlineLevel="0" collapsed="false">
      <c r="A4" s="1" t="s">
        <v>9</v>
      </c>
      <c r="B4" s="1" t="n">
        <v>-1100</v>
      </c>
      <c r="C4" s="1" t="n">
        <v>4</v>
      </c>
      <c r="D4" s="1" t="n">
        <v>0</v>
      </c>
      <c r="E4" s="1" t="n">
        <v>4</v>
      </c>
      <c r="F4" s="1" t="n">
        <v>1315</v>
      </c>
      <c r="G4" s="1" t="n">
        <v>242</v>
      </c>
    </row>
    <row r="5" customFormat="false" ht="12.8" hidden="false" customHeight="false" outlineLevel="0" collapsed="false">
      <c r="A5" s="1" t="s">
        <v>10</v>
      </c>
      <c r="B5" s="1" t="n">
        <v>-800</v>
      </c>
      <c r="C5" s="1" t="n">
        <v>3</v>
      </c>
      <c r="D5" s="1" t="n">
        <v>0</v>
      </c>
      <c r="E5" s="1" t="n">
        <v>1</v>
      </c>
      <c r="F5" s="1" t="n">
        <v>3718</v>
      </c>
      <c r="G5" s="1" t="n">
        <v>782</v>
      </c>
    </row>
    <row r="6" customFormat="false" ht="12.8" hidden="false" customHeight="false" outlineLevel="0" collapsed="false">
      <c r="A6" s="1" t="s">
        <v>11</v>
      </c>
      <c r="B6" s="1" t="n">
        <v>-800</v>
      </c>
      <c r="C6" s="1" t="n">
        <v>79</v>
      </c>
      <c r="D6" s="1" t="n">
        <v>2</v>
      </c>
      <c r="E6" s="1" t="n">
        <v>40</v>
      </c>
      <c r="F6" s="1" t="n">
        <v>45706</v>
      </c>
      <c r="G6" s="1" t="n">
        <v>8523</v>
      </c>
    </row>
    <row r="7" customFormat="false" ht="12.8" hidden="false" customHeight="false" outlineLevel="0" collapsed="false">
      <c r="A7" s="1" t="s">
        <v>12</v>
      </c>
      <c r="B7" s="1" t="n">
        <v>-800</v>
      </c>
      <c r="C7" s="1" t="n">
        <v>3</v>
      </c>
      <c r="D7" s="1" t="n">
        <v>0</v>
      </c>
      <c r="E7" s="1" t="n">
        <v>1</v>
      </c>
      <c r="F7" s="1" t="n">
        <v>7468</v>
      </c>
      <c r="G7" s="1" t="n">
        <v>1487</v>
      </c>
    </row>
    <row r="8" customFormat="false" ht="12.8" hidden="false" customHeight="false" outlineLevel="0" collapsed="false">
      <c r="A8" s="1" t="s">
        <v>13</v>
      </c>
      <c r="B8" s="1" t="n">
        <v>-800</v>
      </c>
      <c r="C8" s="1" t="n">
        <v>5</v>
      </c>
      <c r="D8" s="1" t="n">
        <v>0</v>
      </c>
      <c r="E8" s="1" t="n">
        <v>0</v>
      </c>
      <c r="F8" s="1" t="n">
        <v>2531</v>
      </c>
      <c r="G8" s="1" t="n">
        <v>521</v>
      </c>
    </row>
    <row r="9" customFormat="false" ht="12.8" hidden="false" customHeight="false" outlineLevel="0" collapsed="false">
      <c r="A9" s="1" t="s">
        <v>14</v>
      </c>
      <c r="B9" s="1" t="n">
        <v>-800</v>
      </c>
      <c r="C9" s="1" t="n">
        <v>12</v>
      </c>
      <c r="D9" s="1" t="n">
        <v>0</v>
      </c>
      <c r="E9" s="1" t="n">
        <v>1</v>
      </c>
      <c r="F9" s="1" t="n">
        <v>5664</v>
      </c>
      <c r="G9" s="1" t="n">
        <v>1248</v>
      </c>
    </row>
    <row r="10" customFormat="false" ht="12.8" hidden="false" customHeight="false" outlineLevel="0" collapsed="false">
      <c r="A10" s="1" t="s">
        <v>15</v>
      </c>
      <c r="B10" s="1" t="n">
        <v>-800</v>
      </c>
      <c r="C10" s="1" t="n">
        <v>7</v>
      </c>
      <c r="D10" s="1" t="n">
        <v>0</v>
      </c>
      <c r="E10" s="1" t="n">
        <v>5</v>
      </c>
      <c r="F10" s="1" t="n">
        <v>28696</v>
      </c>
      <c r="G10" s="1" t="n">
        <v>5851</v>
      </c>
    </row>
    <row r="11" customFormat="false" ht="12.8" hidden="false" customHeight="false" outlineLevel="0" collapsed="false">
      <c r="A11" s="1" t="s">
        <v>16</v>
      </c>
      <c r="B11" s="1" t="n">
        <v>-800</v>
      </c>
      <c r="C11" s="1" t="n">
        <v>2</v>
      </c>
      <c r="D11" s="1" t="n">
        <v>0</v>
      </c>
      <c r="E11" s="1" t="n">
        <v>0</v>
      </c>
      <c r="F11" s="1" t="n">
        <v>1941</v>
      </c>
      <c r="G11" s="1" t="n">
        <v>376</v>
      </c>
    </row>
    <row r="12" customFormat="false" ht="12.8" hidden="false" customHeight="false" outlineLevel="0" collapsed="false">
      <c r="A12" s="1" t="s">
        <v>17</v>
      </c>
      <c r="B12" s="1" t="n">
        <v>-750</v>
      </c>
      <c r="C12" s="1" t="n">
        <v>0</v>
      </c>
      <c r="D12" s="1" t="n">
        <v>0</v>
      </c>
      <c r="E12" s="1" t="n">
        <v>3</v>
      </c>
      <c r="F12" s="1" t="n">
        <v>12700</v>
      </c>
      <c r="G12" s="1" t="n">
        <v>2316</v>
      </c>
    </row>
    <row r="13" customFormat="false" ht="12.8" hidden="false" customHeight="false" outlineLevel="0" collapsed="false">
      <c r="A13" s="1" t="s">
        <v>18</v>
      </c>
      <c r="B13" s="1" t="n">
        <v>-650</v>
      </c>
      <c r="C13" s="1" t="n">
        <v>12</v>
      </c>
      <c r="D13" s="1" t="n">
        <v>0</v>
      </c>
      <c r="E13" s="1" t="n">
        <v>2</v>
      </c>
      <c r="F13" s="1" t="n">
        <v>5213</v>
      </c>
      <c r="G13" s="1" t="n">
        <v>1185</v>
      </c>
    </row>
    <row r="14" customFormat="false" ht="12.8" hidden="false" customHeight="false" outlineLevel="0" collapsed="false">
      <c r="A14" s="1" t="s">
        <v>19</v>
      </c>
      <c r="B14" s="1" t="n">
        <v>-599</v>
      </c>
      <c r="C14" s="1" t="n">
        <v>2</v>
      </c>
      <c r="D14" s="1" t="n">
        <v>0</v>
      </c>
      <c r="E14" s="1" t="n">
        <v>2</v>
      </c>
      <c r="F14" s="1" t="n">
        <v>18821</v>
      </c>
      <c r="G14" s="1" t="n">
        <v>3201</v>
      </c>
    </row>
    <row r="15" customFormat="false" ht="12.8" hidden="false" customHeight="false" outlineLevel="0" collapsed="false">
      <c r="A15" s="1" t="s">
        <v>20</v>
      </c>
      <c r="B15" s="1" t="n">
        <v>-599</v>
      </c>
      <c r="C15" s="1" t="n">
        <v>0</v>
      </c>
      <c r="D15" s="1" t="n">
        <v>0</v>
      </c>
      <c r="E15" s="1" t="n">
        <v>0</v>
      </c>
      <c r="F15" s="1" t="n">
        <v>15570</v>
      </c>
      <c r="G15" s="1" t="n">
        <v>2811</v>
      </c>
    </row>
    <row r="16" customFormat="false" ht="12.8" hidden="false" customHeight="false" outlineLevel="0" collapsed="false">
      <c r="A16" s="1" t="s">
        <v>21</v>
      </c>
      <c r="B16" s="1" t="n">
        <v>-550</v>
      </c>
      <c r="C16" s="1" t="n">
        <v>0</v>
      </c>
      <c r="D16" s="1" t="n">
        <v>0</v>
      </c>
      <c r="E16" s="1" t="n">
        <v>0</v>
      </c>
      <c r="F16" s="1" t="n">
        <v>750</v>
      </c>
      <c r="G16" s="1" t="n">
        <v>133</v>
      </c>
    </row>
    <row r="17" customFormat="false" ht="12.8" hidden="false" customHeight="false" outlineLevel="0" collapsed="false">
      <c r="A17" s="1" t="s">
        <v>22</v>
      </c>
      <c r="B17" s="1" t="n">
        <v>-550</v>
      </c>
      <c r="C17" s="1" t="n">
        <v>0</v>
      </c>
      <c r="D17" s="1" t="n">
        <v>0</v>
      </c>
      <c r="E17" s="1" t="n">
        <v>1</v>
      </c>
      <c r="F17" s="1" t="n">
        <v>1088</v>
      </c>
      <c r="G17" s="1" t="n">
        <v>207</v>
      </c>
    </row>
    <row r="18" customFormat="false" ht="12.8" hidden="false" customHeight="false" outlineLevel="0" collapsed="false">
      <c r="A18" s="1" t="s">
        <v>23</v>
      </c>
      <c r="B18" s="1" t="n">
        <v>-550</v>
      </c>
      <c r="C18" s="1" t="n">
        <v>0</v>
      </c>
      <c r="D18" s="1" t="n">
        <v>0</v>
      </c>
      <c r="E18" s="1" t="n">
        <v>3</v>
      </c>
      <c r="F18" s="1" t="n">
        <v>3120</v>
      </c>
      <c r="G18" s="1" t="n">
        <v>668</v>
      </c>
    </row>
    <row r="19" customFormat="false" ht="12.8" hidden="false" customHeight="false" outlineLevel="0" collapsed="false">
      <c r="A19" s="1" t="s">
        <v>24</v>
      </c>
      <c r="B19" s="1" t="n">
        <v>-550</v>
      </c>
      <c r="C19" s="1" t="n">
        <v>1</v>
      </c>
      <c r="D19" s="1" t="n">
        <v>0</v>
      </c>
      <c r="E19" s="1" t="n">
        <v>3</v>
      </c>
      <c r="F19" s="1" t="n">
        <v>2648</v>
      </c>
      <c r="G19" s="1" t="n">
        <v>561</v>
      </c>
    </row>
    <row r="20" customFormat="false" ht="12.8" hidden="false" customHeight="false" outlineLevel="0" collapsed="false">
      <c r="A20" s="1" t="s">
        <v>25</v>
      </c>
      <c r="B20" s="1" t="n">
        <v>-550</v>
      </c>
      <c r="C20" s="1" t="n">
        <v>0</v>
      </c>
      <c r="D20" s="1" t="n">
        <v>0</v>
      </c>
      <c r="E20" s="1" t="n">
        <v>0</v>
      </c>
      <c r="F20" s="1" t="n">
        <v>504</v>
      </c>
      <c r="G20" s="1" t="n">
        <v>115</v>
      </c>
    </row>
    <row r="21" customFormat="false" ht="12.8" hidden="false" customHeight="false" outlineLevel="0" collapsed="false">
      <c r="A21" s="1" t="s">
        <v>26</v>
      </c>
      <c r="B21" s="1" t="n">
        <v>-550</v>
      </c>
      <c r="C21" s="1" t="n">
        <v>0</v>
      </c>
      <c r="D21" s="1" t="n">
        <v>0</v>
      </c>
      <c r="E21" s="1" t="n">
        <v>0</v>
      </c>
      <c r="F21" s="1" t="n">
        <v>1317</v>
      </c>
      <c r="G21" s="1" t="n">
        <v>263</v>
      </c>
    </row>
    <row r="22" customFormat="false" ht="12.8" hidden="false" customHeight="false" outlineLevel="0" collapsed="false">
      <c r="A22" s="1" t="s">
        <v>27</v>
      </c>
      <c r="B22" s="1" t="n">
        <v>-550</v>
      </c>
      <c r="C22" s="1" t="n">
        <v>1</v>
      </c>
      <c r="D22" s="1" t="n">
        <v>0</v>
      </c>
      <c r="E22" s="1" t="n">
        <v>0</v>
      </c>
      <c r="F22" s="1" t="n">
        <v>1154</v>
      </c>
      <c r="G22" s="1" t="n">
        <v>239</v>
      </c>
    </row>
    <row r="23" customFormat="false" ht="12.8" hidden="false" customHeight="false" outlineLevel="0" collapsed="false">
      <c r="A23" s="1" t="s">
        <v>28</v>
      </c>
      <c r="B23" s="1" t="n">
        <v>-550</v>
      </c>
      <c r="C23" s="1" t="n">
        <v>1</v>
      </c>
      <c r="D23" s="1" t="n">
        <v>0</v>
      </c>
      <c r="E23" s="1" t="n">
        <v>0</v>
      </c>
      <c r="F23" s="1" t="n">
        <v>6778</v>
      </c>
      <c r="G23" s="1" t="n">
        <v>1323</v>
      </c>
    </row>
    <row r="24" customFormat="false" ht="12.8" hidden="false" customHeight="false" outlineLevel="0" collapsed="false">
      <c r="A24" s="1" t="s">
        <v>29</v>
      </c>
      <c r="B24" s="1" t="n">
        <v>-550</v>
      </c>
      <c r="C24" s="1" t="n">
        <v>0</v>
      </c>
      <c r="D24" s="1" t="n">
        <v>0</v>
      </c>
      <c r="E24" s="1" t="n">
        <v>0</v>
      </c>
      <c r="F24" s="1" t="n">
        <v>177</v>
      </c>
      <c r="G24" s="1" t="n">
        <v>30</v>
      </c>
    </row>
    <row r="25" customFormat="false" ht="12.8" hidden="false" customHeight="false" outlineLevel="0" collapsed="false">
      <c r="A25" s="1" t="s">
        <v>30</v>
      </c>
      <c r="B25" s="1" t="n">
        <v>-550</v>
      </c>
      <c r="C25" s="1" t="n">
        <v>0</v>
      </c>
      <c r="D25" s="1" t="n">
        <v>0</v>
      </c>
      <c r="E25" s="1" t="n">
        <v>0</v>
      </c>
      <c r="F25" s="1" t="n">
        <v>1999</v>
      </c>
      <c r="G25" s="1" t="n">
        <v>419</v>
      </c>
    </row>
    <row r="26" customFormat="false" ht="12.8" hidden="false" customHeight="false" outlineLevel="0" collapsed="false">
      <c r="A26" s="1" t="s">
        <v>31</v>
      </c>
      <c r="B26" s="1" t="n">
        <v>-550</v>
      </c>
      <c r="C26" s="1" t="n">
        <v>0</v>
      </c>
      <c r="D26" s="1" t="n">
        <v>0</v>
      </c>
      <c r="E26" s="1" t="n">
        <v>0</v>
      </c>
      <c r="F26" s="1" t="n">
        <v>81</v>
      </c>
      <c r="G26" s="1" t="n">
        <v>18</v>
      </c>
    </row>
    <row r="27" customFormat="false" ht="12.8" hidden="false" customHeight="false" outlineLevel="0" collapsed="false">
      <c r="A27" s="1" t="s">
        <v>32</v>
      </c>
      <c r="B27" s="1" t="n">
        <v>-550</v>
      </c>
      <c r="C27" s="1" t="n">
        <v>0</v>
      </c>
      <c r="D27" s="1" t="n">
        <v>0</v>
      </c>
      <c r="E27" s="1" t="n">
        <v>0</v>
      </c>
      <c r="F27" s="1" t="n">
        <v>661</v>
      </c>
      <c r="G27" s="1" t="n">
        <v>111</v>
      </c>
    </row>
    <row r="28" customFormat="false" ht="12.8" hidden="false" customHeight="false" outlineLevel="0" collapsed="false">
      <c r="A28" s="1" t="s">
        <v>33</v>
      </c>
      <c r="B28" s="1" t="n">
        <v>-550</v>
      </c>
      <c r="C28" s="1" t="n">
        <v>0</v>
      </c>
      <c r="D28" s="1" t="n">
        <v>1</v>
      </c>
      <c r="E28" s="1" t="n">
        <v>2</v>
      </c>
      <c r="F28" s="1" t="n">
        <v>4602</v>
      </c>
      <c r="G28" s="1" t="n">
        <v>892</v>
      </c>
    </row>
    <row r="29" customFormat="false" ht="12.8" hidden="false" customHeight="false" outlineLevel="0" collapsed="false">
      <c r="A29" s="1" t="s">
        <v>34</v>
      </c>
      <c r="B29" s="1" t="n">
        <v>-549</v>
      </c>
      <c r="C29" s="1" t="n">
        <v>0</v>
      </c>
      <c r="D29" s="1" t="n">
        <v>0</v>
      </c>
      <c r="E29" s="1" t="n">
        <v>0</v>
      </c>
      <c r="F29" s="1" t="n">
        <v>807</v>
      </c>
      <c r="G29" s="1" t="n">
        <v>135</v>
      </c>
    </row>
    <row r="30" customFormat="false" ht="12.8" hidden="false" customHeight="false" outlineLevel="0" collapsed="false">
      <c r="A30" s="1" t="s">
        <v>35</v>
      </c>
      <c r="B30" s="1" t="n">
        <v>-499</v>
      </c>
      <c r="C30" s="1" t="n">
        <v>0</v>
      </c>
      <c r="D30" s="1" t="n">
        <v>0</v>
      </c>
      <c r="E30" s="1" t="n">
        <v>0</v>
      </c>
      <c r="F30" s="1" t="n">
        <v>843</v>
      </c>
      <c r="G30" s="1" t="n">
        <v>173</v>
      </c>
    </row>
    <row r="31" customFormat="false" ht="12.8" hidden="false" customHeight="false" outlineLevel="0" collapsed="false">
      <c r="A31" s="1" t="s">
        <v>36</v>
      </c>
      <c r="B31" s="1" t="n">
        <v>-499</v>
      </c>
      <c r="C31" s="1" t="n">
        <v>0</v>
      </c>
      <c r="D31" s="1" t="n">
        <v>0</v>
      </c>
      <c r="E31" s="1" t="n">
        <v>0</v>
      </c>
      <c r="F31" s="1" t="n">
        <v>861</v>
      </c>
      <c r="G31" s="1" t="n">
        <v>187</v>
      </c>
    </row>
    <row r="32" customFormat="false" ht="12.8" hidden="false" customHeight="false" outlineLevel="0" collapsed="false">
      <c r="A32" s="1" t="s">
        <v>37</v>
      </c>
      <c r="B32" s="1" t="n">
        <v>-499</v>
      </c>
      <c r="C32" s="1" t="n">
        <v>0</v>
      </c>
      <c r="D32" s="1" t="n">
        <v>0</v>
      </c>
      <c r="E32" s="1" t="n">
        <v>1</v>
      </c>
      <c r="F32" s="1" t="n">
        <v>517</v>
      </c>
      <c r="G32" s="1" t="n">
        <v>128</v>
      </c>
    </row>
    <row r="33" customFormat="false" ht="12.8" hidden="false" customHeight="false" outlineLevel="0" collapsed="false">
      <c r="A33" s="1" t="s">
        <v>38</v>
      </c>
      <c r="B33" s="1" t="n">
        <v>-499</v>
      </c>
      <c r="C33" s="1" t="n">
        <v>0</v>
      </c>
      <c r="D33" s="1" t="n">
        <v>0</v>
      </c>
      <c r="E33" s="1" t="n">
        <v>0</v>
      </c>
      <c r="F33" s="1" t="n">
        <v>938</v>
      </c>
      <c r="G33" s="1" t="n">
        <v>179</v>
      </c>
    </row>
    <row r="34" customFormat="false" ht="12.8" hidden="false" customHeight="false" outlineLevel="0" collapsed="false">
      <c r="A34" s="1" t="s">
        <v>39</v>
      </c>
      <c r="B34" s="1" t="n">
        <v>-499</v>
      </c>
      <c r="C34" s="1" t="n">
        <v>1</v>
      </c>
      <c r="D34" s="1" t="n">
        <v>0</v>
      </c>
      <c r="E34" s="1" t="n">
        <v>0</v>
      </c>
      <c r="F34" s="1" t="n">
        <v>106</v>
      </c>
      <c r="G34" s="1" t="n">
        <v>20</v>
      </c>
    </row>
    <row r="35" customFormat="false" ht="12.8" hidden="false" customHeight="false" outlineLevel="0" collapsed="false">
      <c r="A35" s="1" t="s">
        <v>40</v>
      </c>
      <c r="B35" s="1" t="n">
        <v>-499</v>
      </c>
      <c r="C35" s="1" t="n">
        <v>1</v>
      </c>
      <c r="D35" s="1" t="n">
        <v>0</v>
      </c>
      <c r="E35" s="1" t="n">
        <v>0</v>
      </c>
      <c r="F35" s="1" t="n">
        <v>747</v>
      </c>
      <c r="G35" s="1" t="n">
        <v>138</v>
      </c>
    </row>
    <row r="36" customFormat="false" ht="12.8" hidden="false" customHeight="false" outlineLevel="0" collapsed="false">
      <c r="A36" s="1" t="s">
        <v>41</v>
      </c>
      <c r="B36" s="1" t="n">
        <v>-499</v>
      </c>
      <c r="C36" s="1" t="n">
        <v>2</v>
      </c>
      <c r="D36" s="1" t="n">
        <v>0</v>
      </c>
      <c r="E36" s="1" t="n">
        <v>0</v>
      </c>
      <c r="F36" s="1" t="n">
        <v>407</v>
      </c>
      <c r="G36" s="1" t="n">
        <v>46</v>
      </c>
    </row>
    <row r="37" customFormat="false" ht="12.8" hidden="false" customHeight="false" outlineLevel="0" collapsed="false">
      <c r="A37" s="1" t="s">
        <v>42</v>
      </c>
      <c r="C37" s="2" t="n">
        <f aca="false">SUM(C2:C36)</f>
        <v>1261</v>
      </c>
      <c r="D37" s="2" t="n">
        <f aca="false">SUM(D2:D36)</f>
        <v>191</v>
      </c>
      <c r="E37" s="2" t="n">
        <f aca="false">SUM(E2:E36)</f>
        <v>1013</v>
      </c>
      <c r="F37" s="2" t="n">
        <f aca="false">SUM(F2:F36)</f>
        <v>403218</v>
      </c>
      <c r="G37" s="2" t="n">
        <f aca="false">SUM(G2:G36)</f>
        <v>78567</v>
      </c>
    </row>
    <row r="38" customFormat="false" ht="12.8" hidden="false" customHeight="true" outlineLevel="0" collapsed="false">
      <c r="C38" s="0" t="n">
        <f aca="false">C37/78567*100</f>
        <v>1.60499955452035</v>
      </c>
      <c r="D38" s="0" t="n">
        <f aca="false">D37/78567*100</f>
        <v>0.243104611350822</v>
      </c>
      <c r="E38" s="0" t="n">
        <f aca="false">E37/78567*100</f>
        <v>1.28934539946797</v>
      </c>
    </row>
    <row r="39" customFormat="false" ht="12.8" hidden="false" customHeight="true" outlineLevel="0" collapsed="false">
      <c r="C39" s="0" t="n">
        <f aca="false">(C37+D37+E37)/78567*100</f>
        <v>3.13744956533914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2026-02-26T10:24:15Z</dcterms:created>
  <dc:creator/>
  <dc:description/>
  <dc:language>ru-RU</dc:language>
  <cp:lastModifiedBy/>
  <dcterms:modified xsi:type="dcterms:W3CDTF">2026-02-26T10:54:26Z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